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tables/table7.xml" ContentType="application/vnd.openxmlformats-officedocument.spreadsheetml.table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3" codeName="{00000000-0000-0000-0000-000000000000}"/>
  <workbookPr codeName="Workbook________" hidePivotFieldList="1"/>
  <mc:AlternateContent xmlns:mc="http://schemas.openxmlformats.org/markup-compatibility/2006">
    <mc:Choice Requires="x15">
      <x15ac:absPath xmlns:x15ac="http://schemas.microsoft.com/office/spreadsheetml/2010/11/ac" url="https://d.docs.live.net/fab62264453d23df/"/>
    </mc:Choice>
  </mc:AlternateContent>
  <xr:revisionPtr revIDLastSave="0" documentId="8_{E1560C80-1A6C-4E69-B4C6-D2855048041C}" xr6:coauthVersionLast="47" xr6:coauthVersionMax="47" xr10:uidLastSave="{00000000-0000-0000-0000-000000000000}"/>
  <bookViews>
    <workbookView xWindow="-120" yWindow="-120" windowWidth="29040" windowHeight="15840" tabRatio="708" activeTab="1" xr2:uid="{7700206E-BDD6-4FA6-B99D-44D10B35F9A0}"/>
  </bookViews>
  <sheets>
    <sheet name="Sifaris blanki" sheetId="18" r:id="rId1"/>
    <sheet name="Sifarisler" sheetId="30" r:id="rId2"/>
    <sheet name="Müştərilər" sheetId="21" r:id="rId3"/>
    <sheet name="Şüşə" sheetId="19" r:id="rId4"/>
    <sheet name="Anbar" sheetId="22" r:id="rId5"/>
    <sheet name="data" sheetId="5" state="hidden" r:id="rId6"/>
    <sheet name="Statistika" sheetId="26" r:id="rId7"/>
    <sheet name="Məlumatlar" sheetId="20" r:id="rId8"/>
    <sheet name="Istifadeci" sheetId="25" r:id="rId9"/>
    <sheet name="Kəsim ve təhvil" sheetId="28" r:id="rId10"/>
    <sheet name="pvt_melumatlar" sheetId="27" r:id="rId11"/>
    <sheet name="Qeydiyyat" sheetId="29" r:id="rId12"/>
    <sheet name="Ayarlar" sheetId="1" r:id="rId13"/>
  </sheets>
  <definedNames>
    <definedName name="_xleta.COUNTIF" hidden="1" xlm="1">#NAME?</definedName>
    <definedName name="_xleta.T" hidden="1" xlm="1">#NAME?</definedName>
    <definedName name="Güzgü">Şüşə!$U$26:$U$34</definedName>
    <definedName name="_xlnm.Print_Area" localSheetId="0">'Sifaris blanki'!$D$1:$J$35</definedName>
    <definedName name="Status">Məlumatlar!$I$3:$I$14</definedName>
    <definedName name="Şüşə">Şüşə!$T$26:$T$34</definedName>
    <definedName name="Temper">Şüşə!$V$26:$V$34</definedName>
    <definedName name="Temper_şüşə">Şüşə!$V$26:$V$28</definedName>
  </definedNames>
  <calcPr calcId="191028"/>
  <pivotCaches>
    <pivotCache cacheId="4796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3" i="29" l="1"/>
  <c r="H82" i="29"/>
  <c r="H5" i="21"/>
  <c r="H81" i="29"/>
  <c r="H80" i="29"/>
  <c r="H79" i="29"/>
  <c r="H78" i="29"/>
  <c r="H77" i="29"/>
  <c r="H76" i="29"/>
  <c r="H75" i="29"/>
  <c r="H74" i="29"/>
  <c r="H73" i="29" l="1"/>
  <c r="H72" i="29"/>
  <c r="H71" i="29" l="1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O4" i="19"/>
  <c r="O5" i="19"/>
  <c r="O6" i="19"/>
  <c r="O7" i="19"/>
  <c r="O8" i="19"/>
  <c r="O9" i="19"/>
  <c r="O10" i="19"/>
  <c r="O11" i="19"/>
  <c r="S11" i="19" s="1"/>
  <c r="O12" i="19"/>
  <c r="S12" i="19" s="1"/>
  <c r="O13" i="19"/>
  <c r="S13" i="19" s="1"/>
  <c r="O14" i="19"/>
  <c r="S14" i="19" s="1"/>
  <c r="O15" i="19"/>
  <c r="S15" i="19" s="1"/>
  <c r="O16" i="19"/>
  <c r="S16" i="19" s="1"/>
  <c r="O17" i="19"/>
  <c r="S17" i="19" s="1"/>
  <c r="R4" i="19"/>
  <c r="R5" i="19"/>
  <c r="R6" i="19"/>
  <c r="R7" i="19"/>
  <c r="R8" i="19"/>
  <c r="R9" i="19"/>
  <c r="R10" i="19"/>
  <c r="R11" i="19"/>
  <c r="R12" i="19"/>
  <c r="R13" i="19"/>
  <c r="R14" i="19"/>
  <c r="R15" i="19"/>
  <c r="R16" i="19"/>
  <c r="R17" i="19"/>
  <c r="R3" i="19"/>
  <c r="O3" i="19"/>
  <c r="P14" i="19" l="1"/>
  <c r="P6" i="19"/>
  <c r="P10" i="19"/>
  <c r="P17" i="19"/>
  <c r="P9" i="19"/>
  <c r="P16" i="19"/>
  <c r="P8" i="19"/>
  <c r="P15" i="19"/>
  <c r="P7" i="19"/>
  <c r="P13" i="19"/>
  <c r="P5" i="19"/>
  <c r="P12" i="19"/>
  <c r="P4" i="19"/>
  <c r="P11" i="19"/>
  <c r="H70" i="29"/>
  <c r="AT4" i="30"/>
  <c r="AT5" i="30"/>
  <c r="AT6" i="30"/>
  <c r="AT7" i="30"/>
  <c r="AT8" i="30"/>
  <c r="AT9" i="30"/>
  <c r="AT10" i="30"/>
  <c r="AT11" i="30"/>
  <c r="AT12" i="30"/>
  <c r="AT13" i="30"/>
  <c r="AT14" i="30"/>
  <c r="AT15" i="30"/>
  <c r="AT16" i="30"/>
  <c r="AT17" i="30"/>
  <c r="AT18" i="30"/>
  <c r="AT19" i="30"/>
  <c r="AT20" i="30"/>
  <c r="AT21" i="30"/>
  <c r="AT22" i="30"/>
  <c r="AT23" i="30"/>
  <c r="AT24" i="30"/>
  <c r="AT25" i="30"/>
  <c r="AT26" i="30"/>
  <c r="AT27" i="30"/>
  <c r="AT28" i="30"/>
  <c r="AT29" i="30"/>
  <c r="AT30" i="30"/>
  <c r="AT31" i="30"/>
  <c r="AT32" i="30"/>
  <c r="AT33" i="30"/>
  <c r="AT34" i="30"/>
  <c r="AT35" i="30"/>
  <c r="AT36" i="30"/>
  <c r="AT37" i="30"/>
  <c r="AT38" i="30"/>
  <c r="AT39" i="30"/>
  <c r="AT40" i="30"/>
  <c r="AT41" i="30"/>
  <c r="AT42" i="30"/>
  <c r="AT43" i="30"/>
  <c r="AT44" i="30"/>
  <c r="AT45" i="30"/>
  <c r="AT46" i="30"/>
  <c r="AT47" i="30"/>
  <c r="AT48" i="30"/>
  <c r="AT49" i="30"/>
  <c r="AT50" i="30"/>
  <c r="AT51" i="30"/>
  <c r="AT52" i="30"/>
  <c r="AT53" i="30"/>
  <c r="AT54" i="30"/>
  <c r="AT55" i="30"/>
  <c r="AT56" i="30"/>
  <c r="AT57" i="30"/>
  <c r="AT58" i="30"/>
  <c r="AT59" i="30"/>
  <c r="AT60" i="30"/>
  <c r="AT61" i="30"/>
  <c r="AT62" i="30"/>
  <c r="AT63" i="30"/>
  <c r="AT64" i="30"/>
  <c r="AT65" i="30"/>
  <c r="AT66" i="30"/>
  <c r="AT67" i="30"/>
  <c r="AT68" i="30"/>
  <c r="AT69" i="30"/>
  <c r="AT70" i="30"/>
  <c r="AT71" i="30"/>
  <c r="AT72" i="30"/>
  <c r="AT73" i="30"/>
  <c r="AT74" i="30"/>
  <c r="AT75" i="30"/>
  <c r="AT76" i="30"/>
  <c r="AT77" i="30"/>
  <c r="AT78" i="30"/>
  <c r="AT79" i="30"/>
  <c r="AT80" i="30"/>
  <c r="AT81" i="30"/>
  <c r="AT82" i="30"/>
  <c r="AT83" i="30"/>
  <c r="AT84" i="30"/>
  <c r="AT85" i="30"/>
  <c r="AT86" i="30"/>
  <c r="AT87" i="30"/>
  <c r="AT88" i="30"/>
  <c r="AT89" i="30"/>
  <c r="AT90" i="30"/>
  <c r="AT91" i="30"/>
  <c r="AT92" i="30"/>
  <c r="AT93" i="30"/>
  <c r="AT94" i="30"/>
  <c r="AT95" i="30"/>
  <c r="AT96" i="30"/>
  <c r="AT97" i="30"/>
  <c r="AT98" i="30"/>
  <c r="AT99" i="30"/>
  <c r="AT100" i="30"/>
  <c r="AT101" i="30"/>
  <c r="AT102" i="30"/>
  <c r="AT103" i="30"/>
  <c r="AT104" i="30"/>
  <c r="AT105" i="30"/>
  <c r="AT106" i="30"/>
  <c r="AT107" i="30"/>
  <c r="AT108" i="30"/>
  <c r="AT109" i="30"/>
  <c r="AT110" i="30"/>
  <c r="AT111" i="30"/>
  <c r="AT112" i="30"/>
  <c r="AT113" i="30"/>
  <c r="AT114" i="30"/>
  <c r="AT115" i="30"/>
  <c r="AT116" i="30"/>
  <c r="AT117" i="30"/>
  <c r="AT118" i="30"/>
  <c r="AT119" i="30"/>
  <c r="AT120" i="30"/>
  <c r="AT121" i="30"/>
  <c r="AT122" i="30"/>
  <c r="AT123" i="30"/>
  <c r="AT124" i="30"/>
  <c r="AT125" i="30"/>
  <c r="AT126" i="30"/>
  <c r="AT127" i="30"/>
  <c r="AT128" i="30"/>
  <c r="AT129" i="30"/>
  <c r="AT130" i="30"/>
  <c r="AT131" i="30"/>
  <c r="AT132" i="30"/>
  <c r="AT133" i="30"/>
  <c r="AT134" i="30"/>
  <c r="AT135" i="30"/>
  <c r="AT136" i="30"/>
  <c r="AT137" i="30"/>
  <c r="AT138" i="30"/>
  <c r="AT139" i="30"/>
  <c r="AT140" i="30"/>
  <c r="AT141" i="30"/>
  <c r="AT142" i="30"/>
  <c r="AT143" i="30"/>
  <c r="AT144" i="30"/>
  <c r="AT145" i="30"/>
  <c r="AT146" i="30"/>
  <c r="AT147" i="30"/>
  <c r="AT148" i="30"/>
  <c r="AT149" i="30"/>
  <c r="AT150" i="30"/>
  <c r="AT151" i="30"/>
  <c r="AT152" i="30"/>
  <c r="AT153" i="30"/>
  <c r="AT154" i="30"/>
  <c r="AT155" i="30"/>
  <c r="AT156" i="30"/>
  <c r="AT157" i="30"/>
  <c r="AT158" i="30"/>
  <c r="AT159" i="30"/>
  <c r="AT160" i="30"/>
  <c r="AT161" i="30"/>
  <c r="AT162" i="30"/>
  <c r="AT163" i="30"/>
  <c r="AT164" i="30"/>
  <c r="AT165" i="30"/>
  <c r="AT166" i="30"/>
  <c r="AT167" i="30"/>
  <c r="AT168" i="30"/>
  <c r="AT169" i="30"/>
  <c r="AT170" i="30"/>
  <c r="AT171" i="30"/>
  <c r="AT172" i="30"/>
  <c r="AT173" i="30"/>
  <c r="AT174" i="30"/>
  <c r="AT175" i="30"/>
  <c r="AT176" i="30"/>
  <c r="AT177" i="30"/>
  <c r="AT178" i="30"/>
  <c r="AT179" i="30"/>
  <c r="AT180" i="30"/>
  <c r="AT181" i="30"/>
  <c r="AT182" i="30"/>
  <c r="AT183" i="30"/>
  <c r="AT184" i="30"/>
  <c r="AT185" i="30"/>
  <c r="AT186" i="30"/>
  <c r="AT187" i="30"/>
  <c r="AT188" i="30"/>
  <c r="AT189" i="30"/>
  <c r="AT190" i="30"/>
  <c r="AT191" i="30"/>
  <c r="AT192" i="30"/>
  <c r="AT193" i="30"/>
  <c r="AT194" i="30"/>
  <c r="AT195" i="30"/>
  <c r="AT196" i="30"/>
  <c r="AT197" i="30"/>
  <c r="AT198" i="30"/>
  <c r="AT199" i="30"/>
  <c r="AT200" i="30"/>
  <c r="AT201" i="30"/>
  <c r="AT202" i="30"/>
  <c r="AT203" i="30"/>
  <c r="AT204" i="30"/>
  <c r="AT205" i="30"/>
  <c r="AT206" i="30"/>
  <c r="AT207" i="30"/>
  <c r="AT208" i="30"/>
  <c r="AT209" i="30"/>
  <c r="AT210" i="30"/>
  <c r="AT211" i="30"/>
  <c r="AT212" i="30"/>
  <c r="AT213" i="30"/>
  <c r="AT214" i="30"/>
  <c r="AT215" i="30"/>
  <c r="AT216" i="30"/>
  <c r="AT217" i="30"/>
  <c r="AT218" i="30"/>
  <c r="AT219" i="30"/>
  <c r="AT220" i="30"/>
  <c r="AT221" i="30"/>
  <c r="AT222" i="30"/>
  <c r="AT223" i="30"/>
  <c r="AT224" i="30"/>
  <c r="AT225" i="30"/>
  <c r="AT226" i="30"/>
  <c r="AT227" i="30"/>
  <c r="AT228" i="30"/>
  <c r="AT229" i="30"/>
  <c r="AT230" i="30"/>
  <c r="AT231" i="30"/>
  <c r="AT232" i="30"/>
  <c r="AT233" i="30"/>
  <c r="AT234" i="30"/>
  <c r="AT235" i="30"/>
  <c r="AT236" i="30"/>
  <c r="AT237" i="30"/>
  <c r="AT238" i="30"/>
  <c r="AT239" i="30"/>
  <c r="AT240" i="30"/>
  <c r="AT241" i="30"/>
  <c r="AT242" i="30"/>
  <c r="AT243" i="30"/>
  <c r="AT244" i="30"/>
  <c r="AT245" i="30"/>
  <c r="AT246" i="30"/>
  <c r="AT247" i="30"/>
  <c r="AT248" i="30"/>
  <c r="AT249" i="30"/>
  <c r="AT250" i="30"/>
  <c r="AT251" i="30"/>
  <c r="AT252" i="30"/>
  <c r="AT253" i="30"/>
  <c r="AT254" i="30"/>
  <c r="AT255" i="30"/>
  <c r="AT256" i="30"/>
  <c r="AT257" i="30"/>
  <c r="AT258" i="30"/>
  <c r="AT259" i="30"/>
  <c r="AT260" i="30"/>
  <c r="AT261" i="30"/>
  <c r="AT262" i="30"/>
  <c r="AT263" i="30"/>
  <c r="AT264" i="30"/>
  <c r="AT265" i="30"/>
  <c r="AT266" i="30"/>
  <c r="AT267" i="30"/>
  <c r="AT268" i="30"/>
  <c r="AT269" i="30"/>
  <c r="AT270" i="30"/>
  <c r="AT271" i="30"/>
  <c r="AT272" i="30"/>
  <c r="AT273" i="30"/>
  <c r="AT274" i="30"/>
  <c r="AT275" i="30"/>
  <c r="AT276" i="30"/>
  <c r="AT277" i="30"/>
  <c r="AT278" i="30"/>
  <c r="AT279" i="30"/>
  <c r="AT280" i="30"/>
  <c r="AT281" i="30"/>
  <c r="AT282" i="30"/>
  <c r="AT283" i="30"/>
  <c r="AT284" i="30"/>
  <c r="AT285" i="30"/>
  <c r="AT286" i="30"/>
  <c r="AT287" i="30"/>
  <c r="AT288" i="30"/>
  <c r="AT289" i="30"/>
  <c r="AT290" i="30"/>
  <c r="AT291" i="30"/>
  <c r="AT292" i="30"/>
  <c r="AT293" i="30"/>
  <c r="AT294" i="30"/>
  <c r="AT295" i="30"/>
  <c r="AT296" i="30"/>
  <c r="AT297" i="30"/>
  <c r="AT298" i="30"/>
  <c r="AT299" i="30"/>
  <c r="AT300" i="30"/>
  <c r="AT301" i="30"/>
  <c r="AT302" i="30"/>
  <c r="AT303" i="30"/>
  <c r="AT304" i="30"/>
  <c r="AT305" i="30"/>
  <c r="AT306" i="30"/>
  <c r="AT307" i="30"/>
  <c r="AT308" i="30"/>
  <c r="AT309" i="30"/>
  <c r="AT310" i="30"/>
  <c r="AT311" i="30"/>
  <c r="AT312" i="30"/>
  <c r="AT313" i="30"/>
  <c r="AT314" i="30"/>
  <c r="AT315" i="30"/>
  <c r="AT316" i="30"/>
  <c r="AT317" i="30"/>
  <c r="AT318" i="30"/>
  <c r="AT319" i="30"/>
  <c r="AT320" i="30"/>
  <c r="AT321" i="30"/>
  <c r="AT322" i="30"/>
  <c r="AT323" i="30"/>
  <c r="AT324" i="30"/>
  <c r="AT325" i="30"/>
  <c r="AT326" i="30"/>
  <c r="AT327" i="30"/>
  <c r="AT328" i="30"/>
  <c r="AT329" i="30"/>
  <c r="AT330" i="30"/>
  <c r="AT331" i="30"/>
  <c r="AT332" i="30"/>
  <c r="AT333" i="30"/>
  <c r="AT3" i="30"/>
  <c r="AS4" i="30"/>
  <c r="AS5" i="30"/>
  <c r="AS6" i="30"/>
  <c r="AS7" i="30"/>
  <c r="AS8" i="30"/>
  <c r="AS9" i="30"/>
  <c r="AS10" i="30"/>
  <c r="AS11" i="30"/>
  <c r="AS12" i="30"/>
  <c r="AS13" i="30"/>
  <c r="AS14" i="30"/>
  <c r="AS15" i="30"/>
  <c r="AS16" i="30"/>
  <c r="AS17" i="30"/>
  <c r="AS18" i="30"/>
  <c r="AS19" i="30"/>
  <c r="AS20" i="30"/>
  <c r="AS21" i="30"/>
  <c r="AS22" i="30"/>
  <c r="AS23" i="30"/>
  <c r="AS24" i="30"/>
  <c r="AS25" i="30"/>
  <c r="AS26" i="30"/>
  <c r="AS27" i="30"/>
  <c r="AS28" i="30"/>
  <c r="AS29" i="30"/>
  <c r="AS30" i="30"/>
  <c r="AS31" i="30"/>
  <c r="AS32" i="30"/>
  <c r="AS33" i="30"/>
  <c r="AS34" i="30"/>
  <c r="AS35" i="30"/>
  <c r="AS36" i="30"/>
  <c r="AS37" i="30"/>
  <c r="AS38" i="30"/>
  <c r="AS39" i="30"/>
  <c r="AS40" i="30"/>
  <c r="AS41" i="30"/>
  <c r="AS42" i="30"/>
  <c r="AS43" i="30"/>
  <c r="AS44" i="30"/>
  <c r="AS45" i="30"/>
  <c r="AS46" i="30"/>
  <c r="AS47" i="30"/>
  <c r="AS48" i="30"/>
  <c r="AS49" i="30"/>
  <c r="AS50" i="30"/>
  <c r="AS51" i="30"/>
  <c r="AS52" i="30"/>
  <c r="AS53" i="30"/>
  <c r="AS54" i="30"/>
  <c r="AS55" i="30"/>
  <c r="AS56" i="30"/>
  <c r="AS57" i="30"/>
  <c r="AS58" i="30"/>
  <c r="AS59" i="30"/>
  <c r="AS60" i="30"/>
  <c r="AS61" i="30"/>
  <c r="AS62" i="30"/>
  <c r="AS63" i="30"/>
  <c r="AS64" i="30"/>
  <c r="AS65" i="30"/>
  <c r="AS66" i="30"/>
  <c r="AS67" i="30"/>
  <c r="AS68" i="30"/>
  <c r="AS69" i="30"/>
  <c r="AS70" i="30"/>
  <c r="AS71" i="30"/>
  <c r="AS72" i="30"/>
  <c r="AS73" i="30"/>
  <c r="AS74" i="30"/>
  <c r="AS75" i="30"/>
  <c r="AS76" i="30"/>
  <c r="AS77" i="30"/>
  <c r="AS78" i="30"/>
  <c r="AS79" i="30"/>
  <c r="AS80" i="30"/>
  <c r="AS81" i="30"/>
  <c r="AS82" i="30"/>
  <c r="AS83" i="30"/>
  <c r="AS84" i="30"/>
  <c r="AS85" i="30"/>
  <c r="AS86" i="30"/>
  <c r="AS87" i="30"/>
  <c r="AS88" i="30"/>
  <c r="AS89" i="30"/>
  <c r="AS90" i="30"/>
  <c r="AS91" i="30"/>
  <c r="AS92" i="30"/>
  <c r="AS93" i="30"/>
  <c r="AS94" i="30"/>
  <c r="AS95" i="30"/>
  <c r="AS96" i="30"/>
  <c r="AS97" i="30"/>
  <c r="AS98" i="30"/>
  <c r="AS99" i="30"/>
  <c r="AS100" i="30"/>
  <c r="AS101" i="30"/>
  <c r="AS102" i="30"/>
  <c r="AS103" i="30"/>
  <c r="AS104" i="30"/>
  <c r="AS105" i="30"/>
  <c r="AS106" i="30"/>
  <c r="AS107" i="30"/>
  <c r="AS108" i="30"/>
  <c r="AS109" i="30"/>
  <c r="AS110" i="30"/>
  <c r="AS111" i="30"/>
  <c r="AS112" i="30"/>
  <c r="AS113" i="30"/>
  <c r="AS114" i="30"/>
  <c r="AS115" i="30"/>
  <c r="AS116" i="30"/>
  <c r="AS117" i="30"/>
  <c r="AS118" i="30"/>
  <c r="AS119" i="30"/>
  <c r="AS120" i="30"/>
  <c r="AS121" i="30"/>
  <c r="AS122" i="30"/>
  <c r="AS123" i="30"/>
  <c r="AS124" i="30"/>
  <c r="AS125" i="30"/>
  <c r="AS126" i="30"/>
  <c r="AS127" i="30"/>
  <c r="AS128" i="30"/>
  <c r="AS129" i="30"/>
  <c r="AS130" i="30"/>
  <c r="AS131" i="30"/>
  <c r="AS132" i="30"/>
  <c r="AS133" i="30"/>
  <c r="AS134" i="30"/>
  <c r="AS135" i="30"/>
  <c r="AS136" i="30"/>
  <c r="AS137" i="30"/>
  <c r="AS138" i="30"/>
  <c r="AS139" i="30"/>
  <c r="AS140" i="30"/>
  <c r="AS141" i="30"/>
  <c r="AS142" i="30"/>
  <c r="AS143" i="30"/>
  <c r="AS144" i="30"/>
  <c r="AS145" i="30"/>
  <c r="AS146" i="30"/>
  <c r="AS147" i="30"/>
  <c r="AS148" i="30"/>
  <c r="AS149" i="30"/>
  <c r="AS150" i="30"/>
  <c r="AS151" i="30"/>
  <c r="AS152" i="30"/>
  <c r="AS153" i="30"/>
  <c r="AS154" i="30"/>
  <c r="AS155" i="30"/>
  <c r="AS156" i="30"/>
  <c r="AS157" i="30"/>
  <c r="AS158" i="30"/>
  <c r="AS159" i="30"/>
  <c r="AS160" i="30"/>
  <c r="AS161" i="30"/>
  <c r="AS162" i="30"/>
  <c r="AS163" i="30"/>
  <c r="AS164" i="30"/>
  <c r="AS165" i="30"/>
  <c r="AS166" i="30"/>
  <c r="AS167" i="30"/>
  <c r="AS168" i="30"/>
  <c r="AS169" i="30"/>
  <c r="AS170" i="30"/>
  <c r="AS171" i="30"/>
  <c r="AS172" i="30"/>
  <c r="AS173" i="30"/>
  <c r="AS174" i="30"/>
  <c r="AS175" i="30"/>
  <c r="AS176" i="30"/>
  <c r="AS177" i="30"/>
  <c r="AS178" i="30"/>
  <c r="AS179" i="30"/>
  <c r="AS180" i="30"/>
  <c r="AS181" i="30"/>
  <c r="AS182" i="30"/>
  <c r="AS183" i="30"/>
  <c r="AS184" i="30"/>
  <c r="AS185" i="30"/>
  <c r="AS186" i="30"/>
  <c r="AS187" i="30"/>
  <c r="AS188" i="30"/>
  <c r="AS189" i="30"/>
  <c r="AS190" i="30"/>
  <c r="AS191" i="30"/>
  <c r="AS192" i="30"/>
  <c r="AS193" i="30"/>
  <c r="AS194" i="30"/>
  <c r="AS195" i="30"/>
  <c r="AS196" i="30"/>
  <c r="AS197" i="30"/>
  <c r="AS198" i="30"/>
  <c r="AS199" i="30"/>
  <c r="AS200" i="30"/>
  <c r="AS201" i="30"/>
  <c r="AS202" i="30"/>
  <c r="AS203" i="30"/>
  <c r="AS204" i="30"/>
  <c r="AS205" i="30"/>
  <c r="AS206" i="30"/>
  <c r="AS207" i="30"/>
  <c r="AS208" i="30"/>
  <c r="AS209" i="30"/>
  <c r="AS210" i="30"/>
  <c r="AS211" i="30"/>
  <c r="AS212" i="30"/>
  <c r="AS213" i="30"/>
  <c r="AS214" i="30"/>
  <c r="AS215" i="30"/>
  <c r="AS216" i="30"/>
  <c r="AS217" i="30"/>
  <c r="AS218" i="30"/>
  <c r="AS219" i="30"/>
  <c r="AS220" i="30"/>
  <c r="AS221" i="30"/>
  <c r="AS222" i="30"/>
  <c r="AS223" i="30"/>
  <c r="AS224" i="30"/>
  <c r="AS225" i="30"/>
  <c r="AS226" i="30"/>
  <c r="AS227" i="30"/>
  <c r="AS228" i="30"/>
  <c r="AS229" i="30"/>
  <c r="AS230" i="30"/>
  <c r="AS231" i="30"/>
  <c r="AS232" i="30"/>
  <c r="AS233" i="30"/>
  <c r="AS234" i="30"/>
  <c r="AS235" i="30"/>
  <c r="AS236" i="30"/>
  <c r="AS237" i="30"/>
  <c r="AS238" i="30"/>
  <c r="AS239" i="30"/>
  <c r="AS240" i="30"/>
  <c r="AS241" i="30"/>
  <c r="AS242" i="30"/>
  <c r="AS243" i="30"/>
  <c r="AS244" i="30"/>
  <c r="AS245" i="30"/>
  <c r="AS246" i="30"/>
  <c r="AS247" i="30"/>
  <c r="AS248" i="30"/>
  <c r="AS249" i="30"/>
  <c r="AS250" i="30"/>
  <c r="AS251" i="30"/>
  <c r="AS252" i="30"/>
  <c r="AS253" i="30"/>
  <c r="AS254" i="30"/>
  <c r="AS255" i="30"/>
  <c r="AS256" i="30"/>
  <c r="AS257" i="30"/>
  <c r="AS258" i="30"/>
  <c r="AS259" i="30"/>
  <c r="AS260" i="30"/>
  <c r="AS261" i="30"/>
  <c r="AS262" i="30"/>
  <c r="AS263" i="30"/>
  <c r="AS264" i="30"/>
  <c r="AS265" i="30"/>
  <c r="AS266" i="30"/>
  <c r="AS267" i="30"/>
  <c r="AS268" i="30"/>
  <c r="AS269" i="30"/>
  <c r="AS270" i="30"/>
  <c r="AS271" i="30"/>
  <c r="AS272" i="30"/>
  <c r="AS273" i="30"/>
  <c r="AS274" i="30"/>
  <c r="AS275" i="30"/>
  <c r="AS276" i="30"/>
  <c r="AS277" i="30"/>
  <c r="AS278" i="30"/>
  <c r="AS279" i="30"/>
  <c r="AS280" i="30"/>
  <c r="AS281" i="30"/>
  <c r="AS282" i="30"/>
  <c r="AS283" i="30"/>
  <c r="AS284" i="30"/>
  <c r="AS285" i="30"/>
  <c r="AS286" i="30"/>
  <c r="AS287" i="30"/>
  <c r="AS288" i="30"/>
  <c r="AS289" i="30"/>
  <c r="AS290" i="30"/>
  <c r="AS291" i="30"/>
  <c r="AS292" i="30"/>
  <c r="AS293" i="30"/>
  <c r="AS294" i="30"/>
  <c r="AS295" i="30"/>
  <c r="AS296" i="30"/>
  <c r="AS297" i="30"/>
  <c r="AS298" i="30"/>
  <c r="AS299" i="30"/>
  <c r="AS300" i="30"/>
  <c r="AS301" i="30"/>
  <c r="AS302" i="30"/>
  <c r="AS303" i="30"/>
  <c r="AS304" i="30"/>
  <c r="AS305" i="30"/>
  <c r="AS306" i="30"/>
  <c r="AS307" i="30"/>
  <c r="AS308" i="30"/>
  <c r="AS309" i="30"/>
  <c r="AS310" i="30"/>
  <c r="AS311" i="30"/>
  <c r="AS312" i="30"/>
  <c r="AS313" i="30"/>
  <c r="AS314" i="30"/>
  <c r="AS315" i="30"/>
  <c r="AS316" i="30"/>
  <c r="AS317" i="30"/>
  <c r="AS318" i="30"/>
  <c r="AS319" i="30"/>
  <c r="AS320" i="30"/>
  <c r="AS321" i="30"/>
  <c r="AS322" i="30"/>
  <c r="AS323" i="30"/>
  <c r="AS324" i="30"/>
  <c r="AS325" i="30"/>
  <c r="AS326" i="30"/>
  <c r="AS327" i="30"/>
  <c r="AS328" i="30"/>
  <c r="AS329" i="30"/>
  <c r="AS330" i="30"/>
  <c r="AS331" i="30"/>
  <c r="AS332" i="30"/>
  <c r="AS333" i="30"/>
  <c r="AS3" i="30"/>
  <c r="H69" i="29" l="1"/>
  <c r="H68" i="29"/>
  <c r="Y3" i="18"/>
  <c r="X3" i="18"/>
  <c r="H311" i="21"/>
  <c r="H312" i="21"/>
  <c r="H313" i="21"/>
  <c r="G311" i="21"/>
  <c r="G312" i="21"/>
  <c r="G313" i="21"/>
  <c r="F311" i="21"/>
  <c r="F312" i="21"/>
  <c r="F313" i="21"/>
  <c r="I8" i="21"/>
  <c r="I12" i="21"/>
  <c r="I28" i="21"/>
  <c r="I45" i="21"/>
  <c r="I48" i="21"/>
  <c r="I53" i="21"/>
  <c r="I59" i="21"/>
  <c r="I60" i="21"/>
  <c r="I61" i="21"/>
  <c r="I62" i="21"/>
  <c r="I63" i="21"/>
  <c r="I64" i="21"/>
  <c r="I65" i="21"/>
  <c r="I67" i="21"/>
  <c r="I68" i="21"/>
  <c r="I69" i="21"/>
  <c r="I70" i="21"/>
  <c r="I71" i="21"/>
  <c r="I72" i="21"/>
  <c r="I74" i="21"/>
  <c r="I75" i="21"/>
  <c r="I77" i="21"/>
  <c r="I78" i="21"/>
  <c r="I80" i="21"/>
  <c r="I81" i="21"/>
  <c r="I82" i="21"/>
  <c r="I83" i="21"/>
  <c r="I84" i="21"/>
  <c r="I85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1" i="21"/>
  <c r="I102" i="21"/>
  <c r="I103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3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4" i="21"/>
  <c r="I155" i="21"/>
  <c r="I157" i="21"/>
  <c r="I160" i="21"/>
  <c r="I161" i="21"/>
  <c r="I162" i="21"/>
  <c r="I163" i="21"/>
  <c r="I164" i="21"/>
  <c r="I165" i="21"/>
  <c r="I167" i="21"/>
  <c r="I168" i="21"/>
  <c r="I170" i="21"/>
  <c r="I171" i="21"/>
  <c r="I172" i="21"/>
  <c r="I173" i="21"/>
  <c r="I174" i="21"/>
  <c r="I175" i="21"/>
  <c r="I176" i="21"/>
  <c r="I178" i="21"/>
  <c r="I179" i="21"/>
  <c r="I180" i="21"/>
  <c r="I182" i="21"/>
  <c r="I183" i="21"/>
  <c r="I184" i="21"/>
  <c r="I185" i="21"/>
  <c r="I186" i="21"/>
  <c r="I188" i="21"/>
  <c r="I189" i="21"/>
  <c r="I191" i="21"/>
  <c r="I192" i="21"/>
  <c r="I193" i="21"/>
  <c r="I194" i="21"/>
  <c r="I196" i="21"/>
  <c r="I197" i="21"/>
  <c r="I198" i="21"/>
  <c r="I199" i="21"/>
  <c r="I200" i="21"/>
  <c r="I201" i="21"/>
  <c r="I203" i="21"/>
  <c r="I204" i="21"/>
  <c r="I205" i="21"/>
  <c r="I207" i="21"/>
  <c r="I210" i="21"/>
  <c r="I211" i="21"/>
  <c r="I213" i="21"/>
  <c r="I214" i="21"/>
  <c r="I219" i="21"/>
  <c r="I220" i="21"/>
  <c r="I223" i="21"/>
  <c r="I224" i="21"/>
  <c r="I225" i="21"/>
  <c r="I226" i="21"/>
  <c r="I228" i="21"/>
  <c r="I229" i="21"/>
  <c r="I231" i="21"/>
  <c r="I232" i="21"/>
  <c r="I233" i="21"/>
  <c r="I234" i="21"/>
  <c r="I235" i="21"/>
  <c r="I236" i="21"/>
  <c r="I242" i="21"/>
  <c r="I245" i="21"/>
  <c r="I247" i="21"/>
  <c r="I251" i="21"/>
  <c r="I254" i="21"/>
  <c r="I255" i="21"/>
  <c r="I257" i="21"/>
  <c r="I259" i="21"/>
  <c r="I260" i="21"/>
  <c r="I261" i="21"/>
  <c r="I264" i="21"/>
  <c r="I265" i="21"/>
  <c r="I267" i="21"/>
  <c r="I274" i="21"/>
  <c r="I275" i="21"/>
  <c r="I279" i="21"/>
  <c r="I281" i="21"/>
  <c r="I282" i="21"/>
  <c r="I283" i="21"/>
  <c r="I284" i="21"/>
  <c r="I287" i="21"/>
  <c r="I289" i="21"/>
  <c r="I290" i="21"/>
  <c r="I291" i="21"/>
  <c r="I299" i="21"/>
  <c r="I301" i="21"/>
  <c r="I303" i="21"/>
  <c r="I309" i="21"/>
  <c r="I3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97" i="21"/>
  <c r="H98" i="21"/>
  <c r="H99" i="21"/>
  <c r="H100" i="21"/>
  <c r="H101" i="21"/>
  <c r="H102" i="21"/>
  <c r="H103" i="21"/>
  <c r="H104" i="21"/>
  <c r="H105" i="21"/>
  <c r="H106" i="21"/>
  <c r="H107" i="21"/>
  <c r="H108" i="21"/>
  <c r="H109" i="21"/>
  <c r="H110" i="21"/>
  <c r="H111" i="21"/>
  <c r="H112" i="21"/>
  <c r="H113" i="21"/>
  <c r="H114" i="21"/>
  <c r="H115" i="21"/>
  <c r="H116" i="21"/>
  <c r="H117" i="21"/>
  <c r="H118" i="21"/>
  <c r="H119" i="21"/>
  <c r="H120" i="21"/>
  <c r="H121" i="21"/>
  <c r="H122" i="21"/>
  <c r="H123" i="21"/>
  <c r="H124" i="21"/>
  <c r="H125" i="21"/>
  <c r="H126" i="21"/>
  <c r="H127" i="21"/>
  <c r="H128" i="21"/>
  <c r="H129" i="21"/>
  <c r="H130" i="21"/>
  <c r="H131" i="21"/>
  <c r="H132" i="21"/>
  <c r="H133" i="21"/>
  <c r="H134" i="21"/>
  <c r="H135" i="21"/>
  <c r="H136" i="21"/>
  <c r="H137" i="21"/>
  <c r="H138" i="21"/>
  <c r="H139" i="21"/>
  <c r="H140" i="21"/>
  <c r="H141" i="21"/>
  <c r="H142" i="21"/>
  <c r="H143" i="21"/>
  <c r="H144" i="21"/>
  <c r="H145" i="21"/>
  <c r="H146" i="21"/>
  <c r="H147" i="21"/>
  <c r="H148" i="21"/>
  <c r="H149" i="21"/>
  <c r="H150" i="21"/>
  <c r="H151" i="21"/>
  <c r="H152" i="21"/>
  <c r="H153" i="21"/>
  <c r="H154" i="21"/>
  <c r="H155" i="21"/>
  <c r="H156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H221" i="21"/>
  <c r="H222" i="21"/>
  <c r="H223" i="21"/>
  <c r="H224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98" i="21"/>
  <c r="H299" i="21"/>
  <c r="H300" i="21"/>
  <c r="H301" i="21"/>
  <c r="H302" i="21"/>
  <c r="H303" i="21"/>
  <c r="H304" i="21"/>
  <c r="H305" i="21"/>
  <c r="H306" i="21"/>
  <c r="H307" i="21"/>
  <c r="H308" i="21"/>
  <c r="H309" i="21"/>
  <c r="H310" i="21"/>
  <c r="H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G205" i="21"/>
  <c r="G206" i="21"/>
  <c r="G207" i="21"/>
  <c r="G208" i="21"/>
  <c r="G209" i="21"/>
  <c r="G210" i="21"/>
  <c r="G211" i="21"/>
  <c r="G212" i="21"/>
  <c r="G213" i="21"/>
  <c r="G214" i="21"/>
  <c r="G215" i="21"/>
  <c r="G216" i="21"/>
  <c r="G217" i="21"/>
  <c r="G218" i="21"/>
  <c r="G219" i="21"/>
  <c r="G220" i="21"/>
  <c r="G221" i="21"/>
  <c r="G222" i="21"/>
  <c r="G223" i="21"/>
  <c r="G224" i="21"/>
  <c r="G225" i="21"/>
  <c r="G226" i="21"/>
  <c r="G227" i="21"/>
  <c r="G228" i="21"/>
  <c r="G229" i="21"/>
  <c r="G230" i="21"/>
  <c r="G231" i="21"/>
  <c r="G232" i="21"/>
  <c r="G233" i="21"/>
  <c r="G234" i="21"/>
  <c r="G235" i="21"/>
  <c r="G236" i="21"/>
  <c r="G237" i="21"/>
  <c r="G238" i="21"/>
  <c r="G239" i="21"/>
  <c r="G240" i="21"/>
  <c r="G241" i="21"/>
  <c r="G242" i="21"/>
  <c r="G243" i="21"/>
  <c r="G244" i="21"/>
  <c r="G245" i="21"/>
  <c r="G246" i="21"/>
  <c r="G247" i="21"/>
  <c r="G248" i="21"/>
  <c r="G249" i="21"/>
  <c r="G250" i="21"/>
  <c r="G251" i="21"/>
  <c r="G252" i="21"/>
  <c r="G253" i="21"/>
  <c r="G254" i="21"/>
  <c r="G255" i="21"/>
  <c r="G256" i="21"/>
  <c r="G257" i="21"/>
  <c r="G258" i="21"/>
  <c r="G259" i="21"/>
  <c r="G260" i="21"/>
  <c r="G261" i="21"/>
  <c r="G262" i="21"/>
  <c r="G263" i="21"/>
  <c r="G264" i="21"/>
  <c r="G265" i="21"/>
  <c r="G266" i="21"/>
  <c r="G267" i="21"/>
  <c r="G268" i="21"/>
  <c r="G269" i="21"/>
  <c r="G270" i="21"/>
  <c r="G271" i="21"/>
  <c r="G272" i="21"/>
  <c r="G273" i="21"/>
  <c r="G274" i="21"/>
  <c r="G275" i="21"/>
  <c r="G276" i="21"/>
  <c r="G277" i="21"/>
  <c r="G278" i="21"/>
  <c r="G279" i="21"/>
  <c r="G280" i="21"/>
  <c r="G281" i="21"/>
  <c r="G282" i="21"/>
  <c r="G283" i="21"/>
  <c r="G284" i="21"/>
  <c r="G285" i="21"/>
  <c r="G286" i="21"/>
  <c r="G287" i="21"/>
  <c r="G288" i="21"/>
  <c r="G289" i="21"/>
  <c r="G290" i="21"/>
  <c r="G291" i="21"/>
  <c r="G292" i="21"/>
  <c r="G293" i="21"/>
  <c r="G294" i="21"/>
  <c r="G295" i="21"/>
  <c r="G296" i="21"/>
  <c r="G297" i="21"/>
  <c r="G298" i="21"/>
  <c r="G299" i="21"/>
  <c r="G300" i="21"/>
  <c r="G301" i="21"/>
  <c r="G302" i="21"/>
  <c r="G303" i="21"/>
  <c r="G304" i="21"/>
  <c r="G305" i="21"/>
  <c r="G306" i="21"/>
  <c r="G307" i="21"/>
  <c r="G308" i="21"/>
  <c r="G309" i="21"/>
  <c r="G310" i="21"/>
  <c r="G3" i="21"/>
  <c r="K27" i="18"/>
  <c r="K28" i="18"/>
  <c r="K26" i="18"/>
  <c r="J3" i="18"/>
  <c r="N5" i="22"/>
  <c r="N6" i="22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4" i="22"/>
  <c r="H67" i="29"/>
  <c r="N3" i="22" l="1"/>
  <c r="H66" i="29" l="1"/>
  <c r="AP3" i="30"/>
  <c r="AV3" i="30"/>
  <c r="AR3" i="30" s="1"/>
  <c r="AX3" i="30"/>
  <c r="AW3" i="30" s="1"/>
  <c r="V42" i="18"/>
  <c r="AA23" i="18"/>
  <c r="AA22" i="18"/>
  <c r="I4" i="22"/>
  <c r="I5" i="22"/>
  <c r="I6" i="22"/>
  <c r="I7" i="22"/>
  <c r="I8" i="22"/>
  <c r="I9" i="22"/>
  <c r="I10" i="22"/>
  <c r="I11" i="22"/>
  <c r="I12" i="22"/>
  <c r="I13" i="22"/>
  <c r="I14" i="22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I28" i="22"/>
  <c r="I29" i="22"/>
  <c r="I30" i="22"/>
  <c r="I31" i="22"/>
  <c r="I32" i="22"/>
  <c r="I33" i="22"/>
  <c r="I34" i="22"/>
  <c r="I35" i="22"/>
  <c r="I36" i="22"/>
  <c r="I37" i="22"/>
  <c r="I38" i="22"/>
  <c r="I39" i="22"/>
  <c r="I40" i="22"/>
  <c r="I41" i="22"/>
  <c r="I42" i="22"/>
  <c r="I43" i="22"/>
  <c r="I44" i="22"/>
  <c r="I45" i="22"/>
  <c r="I46" i="22"/>
  <c r="I47" i="22"/>
  <c r="I48" i="22"/>
  <c r="I49" i="22"/>
  <c r="I50" i="22"/>
  <c r="I51" i="22"/>
  <c r="I52" i="22"/>
  <c r="I53" i="22"/>
  <c r="I54" i="22"/>
  <c r="I55" i="22"/>
  <c r="I56" i="22"/>
  <c r="I57" i="22"/>
  <c r="I58" i="22"/>
  <c r="I59" i="22"/>
  <c r="I60" i="22"/>
  <c r="I61" i="22"/>
  <c r="I62" i="22"/>
  <c r="I63" i="22"/>
  <c r="I64" i="22"/>
  <c r="I65" i="22"/>
  <c r="I66" i="22"/>
  <c r="I67" i="22"/>
  <c r="I68" i="22"/>
  <c r="I69" i="22"/>
  <c r="I70" i="22"/>
  <c r="I71" i="22"/>
  <c r="I72" i="22"/>
  <c r="I73" i="22"/>
  <c r="I74" i="22"/>
  <c r="I75" i="22"/>
  <c r="I76" i="22"/>
  <c r="I77" i="22"/>
  <c r="I78" i="22"/>
  <c r="I79" i="22"/>
  <c r="I80" i="22"/>
  <c r="I81" i="22"/>
  <c r="I82" i="22"/>
  <c r="I83" i="22"/>
  <c r="I84" i="22"/>
  <c r="I85" i="22"/>
  <c r="I86" i="22"/>
  <c r="I87" i="22"/>
  <c r="I88" i="22"/>
  <c r="I89" i="22"/>
  <c r="I90" i="22"/>
  <c r="I91" i="22"/>
  <c r="I92" i="22"/>
  <c r="I93" i="22"/>
  <c r="I94" i="22"/>
  <c r="I95" i="22"/>
  <c r="I96" i="22"/>
  <c r="I97" i="22"/>
  <c r="I98" i="22"/>
  <c r="I99" i="22"/>
  <c r="I100" i="22"/>
  <c r="I101" i="22"/>
  <c r="I102" i="22"/>
  <c r="I103" i="22"/>
  <c r="I104" i="22"/>
  <c r="I105" i="22"/>
  <c r="I106" i="22"/>
  <c r="I107" i="22"/>
  <c r="I108" i="22"/>
  <c r="I109" i="22"/>
  <c r="I110" i="22"/>
  <c r="I111" i="22"/>
  <c r="I112" i="22"/>
  <c r="I113" i="22"/>
  <c r="I114" i="22"/>
  <c r="I115" i="22"/>
  <c r="I116" i="22"/>
  <c r="I117" i="22"/>
  <c r="I118" i="22"/>
  <c r="I119" i="22"/>
  <c r="I120" i="22"/>
  <c r="I121" i="22"/>
  <c r="I122" i="22"/>
  <c r="I123" i="22"/>
  <c r="I124" i="22"/>
  <c r="I125" i="22"/>
  <c r="I126" i="22"/>
  <c r="I127" i="22"/>
  <c r="I128" i="22"/>
  <c r="I129" i="22"/>
  <c r="I130" i="22"/>
  <c r="I131" i="22"/>
  <c r="I132" i="22"/>
  <c r="I133" i="22"/>
  <c r="I134" i="22"/>
  <c r="I135" i="22"/>
  <c r="I136" i="22"/>
  <c r="I137" i="22"/>
  <c r="I138" i="22"/>
  <c r="I139" i="22"/>
  <c r="I140" i="22"/>
  <c r="I141" i="22"/>
  <c r="I142" i="22"/>
  <c r="I143" i="22"/>
  <c r="I144" i="22"/>
  <c r="I145" i="22"/>
  <c r="I146" i="22"/>
  <c r="I147" i="22"/>
  <c r="I148" i="22"/>
  <c r="I149" i="22"/>
  <c r="I150" i="22"/>
  <c r="I151" i="22"/>
  <c r="I152" i="22"/>
  <c r="I153" i="22"/>
  <c r="I154" i="22"/>
  <c r="I155" i="22"/>
  <c r="I156" i="22"/>
  <c r="I157" i="22"/>
  <c r="I158" i="22"/>
  <c r="I159" i="22"/>
  <c r="I160" i="22"/>
  <c r="I161" i="22"/>
  <c r="I162" i="22"/>
  <c r="I163" i="22"/>
  <c r="I164" i="22"/>
  <c r="I165" i="22"/>
  <c r="I166" i="22"/>
  <c r="I167" i="22"/>
  <c r="I168" i="22"/>
  <c r="I169" i="22"/>
  <c r="I170" i="22"/>
  <c r="I171" i="22"/>
  <c r="I172" i="22"/>
  <c r="I173" i="22"/>
  <c r="I174" i="22"/>
  <c r="I175" i="22"/>
  <c r="I176" i="22"/>
  <c r="I177" i="22"/>
  <c r="I178" i="22"/>
  <c r="I179" i="22"/>
  <c r="I180" i="22"/>
  <c r="I181" i="22"/>
  <c r="I182" i="22"/>
  <c r="I183" i="22"/>
  <c r="I184" i="22"/>
  <c r="I3" i="22"/>
  <c r="H65" i="29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3" i="22"/>
  <c r="AU3" i="30" l="1"/>
  <c r="AQ3" i="30" s="1"/>
  <c r="M9" i="30"/>
  <c r="M18" i="30"/>
  <c r="M26" i="30"/>
  <c r="M34" i="30"/>
  <c r="M42" i="30"/>
  <c r="M50" i="30"/>
  <c r="M58" i="30"/>
  <c r="M66" i="30"/>
  <c r="M74" i="30"/>
  <c r="M82" i="30"/>
  <c r="M90" i="30"/>
  <c r="M98" i="30"/>
  <c r="M106" i="30"/>
  <c r="M114" i="30"/>
  <c r="M122" i="30"/>
  <c r="M130" i="30"/>
  <c r="M138" i="30"/>
  <c r="M146" i="30"/>
  <c r="M154" i="30"/>
  <c r="M162" i="30"/>
  <c r="M170" i="30"/>
  <c r="M178" i="30"/>
  <c r="M186" i="30"/>
  <c r="M194" i="30"/>
  <c r="M202" i="30"/>
  <c r="M210" i="30"/>
  <c r="M218" i="30"/>
  <c r="M226" i="30"/>
  <c r="M234" i="30"/>
  <c r="M242" i="30"/>
  <c r="M250" i="30"/>
  <c r="M258" i="30"/>
  <c r="M266" i="30"/>
  <c r="M274" i="30"/>
  <c r="M282" i="30"/>
  <c r="M290" i="30"/>
  <c r="M298" i="30"/>
  <c r="M306" i="30"/>
  <c r="M314" i="30"/>
  <c r="M322" i="30"/>
  <c r="M330" i="30"/>
  <c r="Q8" i="30"/>
  <c r="Q16" i="30"/>
  <c r="Q24" i="30"/>
  <c r="Q32" i="30"/>
  <c r="Q40" i="30"/>
  <c r="Q48" i="30"/>
  <c r="Q56" i="30"/>
  <c r="Q64" i="30"/>
  <c r="Q72" i="30"/>
  <c r="Q80" i="30"/>
  <c r="Q88" i="30"/>
  <c r="Q96" i="30"/>
  <c r="Q104" i="30"/>
  <c r="Q112" i="30"/>
  <c r="Q120" i="30"/>
  <c r="Q128" i="30"/>
  <c r="Q136" i="30"/>
  <c r="Q144" i="30"/>
  <c r="Q152" i="30"/>
  <c r="Q160" i="30"/>
  <c r="Q168" i="30"/>
  <c r="Q176" i="30"/>
  <c r="Q184" i="30"/>
  <c r="Q192" i="30"/>
  <c r="Q200" i="30"/>
  <c r="Q208" i="30"/>
  <c r="Q216" i="30"/>
  <c r="M4" i="30"/>
  <c r="M13" i="30"/>
  <c r="M23" i="30"/>
  <c r="M32" i="30"/>
  <c r="M41" i="30"/>
  <c r="M51" i="30"/>
  <c r="M60" i="30"/>
  <c r="M69" i="30"/>
  <c r="M78" i="30"/>
  <c r="M87" i="30"/>
  <c r="M96" i="30"/>
  <c r="M105" i="30"/>
  <c r="M115" i="30"/>
  <c r="M124" i="30"/>
  <c r="M133" i="30"/>
  <c r="M142" i="30"/>
  <c r="M151" i="30"/>
  <c r="M160" i="30"/>
  <c r="M169" i="30"/>
  <c r="M179" i="30"/>
  <c r="M188" i="30"/>
  <c r="M197" i="30"/>
  <c r="M206" i="30"/>
  <c r="M215" i="30"/>
  <c r="M224" i="30"/>
  <c r="M233" i="30"/>
  <c r="M243" i="30"/>
  <c r="M252" i="30"/>
  <c r="M261" i="30"/>
  <c r="M270" i="30"/>
  <c r="M17" i="30"/>
  <c r="M6" i="30"/>
  <c r="M15" i="30"/>
  <c r="M25" i="30"/>
  <c r="M35" i="30"/>
  <c r="M44" i="30"/>
  <c r="M53" i="30"/>
  <c r="M62" i="30"/>
  <c r="M71" i="30"/>
  <c r="M80" i="30"/>
  <c r="M89" i="30"/>
  <c r="M99" i="30"/>
  <c r="M108" i="30"/>
  <c r="M117" i="30"/>
  <c r="M126" i="30"/>
  <c r="M135" i="30"/>
  <c r="M144" i="30"/>
  <c r="M153" i="30"/>
  <c r="M163" i="30"/>
  <c r="M172" i="30"/>
  <c r="M181" i="30"/>
  <c r="M190" i="30"/>
  <c r="M199" i="30"/>
  <c r="M208" i="30"/>
  <c r="M217" i="30"/>
  <c r="M227" i="30"/>
  <c r="M236" i="30"/>
  <c r="M245" i="30"/>
  <c r="M254" i="30"/>
  <c r="M263" i="30"/>
  <c r="M272" i="30"/>
  <c r="M281" i="30"/>
  <c r="M291" i="30"/>
  <c r="M300" i="30"/>
  <c r="M309" i="30"/>
  <c r="M318" i="30"/>
  <c r="M327" i="30"/>
  <c r="Q6" i="30"/>
  <c r="Q15" i="30"/>
  <c r="Q25" i="30"/>
  <c r="Q34" i="30"/>
  <c r="Q43" i="30"/>
  <c r="Q52" i="30"/>
  <c r="Q61" i="30"/>
  <c r="Q70" i="30"/>
  <c r="Q79" i="30"/>
  <c r="Q89" i="30"/>
  <c r="Q98" i="30"/>
  <c r="Q107" i="30"/>
  <c r="Q116" i="30"/>
  <c r="Q125" i="30"/>
  <c r="Q134" i="30"/>
  <c r="Q143" i="30"/>
  <c r="Q153" i="30"/>
  <c r="Q162" i="30"/>
  <c r="Q171" i="30"/>
  <c r="Q180" i="30"/>
  <c r="Q189" i="30"/>
  <c r="Q198" i="30"/>
  <c r="Q207" i="30"/>
  <c r="Q217" i="30"/>
  <c r="Q225" i="30"/>
  <c r="Q233" i="30"/>
  <c r="Q241" i="30"/>
  <c r="Q249" i="30"/>
  <c r="Q257" i="30"/>
  <c r="Q265" i="30"/>
  <c r="Q273" i="30"/>
  <c r="Q281" i="30"/>
  <c r="M8" i="30"/>
  <c r="M19" i="30"/>
  <c r="M28" i="30"/>
  <c r="M37" i="30"/>
  <c r="M46" i="30"/>
  <c r="M55" i="30"/>
  <c r="M64" i="30"/>
  <c r="M73" i="30"/>
  <c r="M83" i="30"/>
  <c r="M92" i="30"/>
  <c r="M101" i="30"/>
  <c r="M110" i="30"/>
  <c r="M119" i="30"/>
  <c r="M128" i="30"/>
  <c r="M137" i="30"/>
  <c r="M147" i="30"/>
  <c r="M156" i="30"/>
  <c r="M165" i="30"/>
  <c r="M174" i="30"/>
  <c r="M183" i="30"/>
  <c r="M192" i="30"/>
  <c r="M201" i="30"/>
  <c r="M211" i="30"/>
  <c r="M220" i="30"/>
  <c r="M229" i="30"/>
  <c r="M238" i="30"/>
  <c r="M247" i="30"/>
  <c r="M256" i="30"/>
  <c r="M265" i="30"/>
  <c r="M275" i="30"/>
  <c r="M284" i="30"/>
  <c r="M293" i="30"/>
  <c r="M302" i="30"/>
  <c r="M311" i="30"/>
  <c r="M320" i="30"/>
  <c r="M329" i="30"/>
  <c r="Q9" i="30"/>
  <c r="Q18" i="30"/>
  <c r="Q27" i="30"/>
  <c r="Q36" i="30"/>
  <c r="Q45" i="30"/>
  <c r="Q54" i="30"/>
  <c r="Q63" i="30"/>
  <c r="Q73" i="30"/>
  <c r="Q82" i="30"/>
  <c r="Q91" i="30"/>
  <c r="Q100" i="30"/>
  <c r="Q109" i="30"/>
  <c r="Q118" i="30"/>
  <c r="Q127" i="30"/>
  <c r="Q137" i="30"/>
  <c r="Q146" i="30"/>
  <c r="Q155" i="30"/>
  <c r="Q164" i="30"/>
  <c r="Q173" i="30"/>
  <c r="Q182" i="30"/>
  <c r="Q191" i="30"/>
  <c r="Q201" i="30"/>
  <c r="Q210" i="30"/>
  <c r="Q219" i="30"/>
  <c r="Q227" i="30"/>
  <c r="Q235" i="30"/>
  <c r="Q243" i="30"/>
  <c r="Q251" i="30"/>
  <c r="Q259" i="30"/>
  <c r="Q267" i="30"/>
  <c r="Q275" i="30"/>
  <c r="Q283" i="30"/>
  <c r="Q291" i="30"/>
  <c r="Q299" i="30"/>
  <c r="Q307" i="30"/>
  <c r="Q315" i="30"/>
  <c r="Q323" i="30"/>
  <c r="Q331" i="30"/>
  <c r="U9" i="30"/>
  <c r="U17" i="30"/>
  <c r="U25" i="30"/>
  <c r="U33" i="30"/>
  <c r="U41" i="30"/>
  <c r="U49" i="30"/>
  <c r="U57" i="30"/>
  <c r="U65" i="30"/>
  <c r="U73" i="30"/>
  <c r="U81" i="30"/>
  <c r="U89" i="30"/>
  <c r="M10" i="30"/>
  <c r="M20" i="30"/>
  <c r="M29" i="30"/>
  <c r="M38" i="30"/>
  <c r="M47" i="30"/>
  <c r="M56" i="30"/>
  <c r="M65" i="30"/>
  <c r="M75" i="30"/>
  <c r="M84" i="30"/>
  <c r="M93" i="30"/>
  <c r="M102" i="30"/>
  <c r="M111" i="30"/>
  <c r="M120" i="30"/>
  <c r="M129" i="30"/>
  <c r="M139" i="30"/>
  <c r="M148" i="30"/>
  <c r="M157" i="30"/>
  <c r="M166" i="30"/>
  <c r="M175" i="30"/>
  <c r="M184" i="30"/>
  <c r="M193" i="30"/>
  <c r="M203" i="30"/>
  <c r="M212" i="30"/>
  <c r="M221" i="30"/>
  <c r="M230" i="30"/>
  <c r="M239" i="30"/>
  <c r="M248" i="30"/>
  <c r="M257" i="30"/>
  <c r="M267" i="30"/>
  <c r="M276" i="30"/>
  <c r="M285" i="30"/>
  <c r="M294" i="30"/>
  <c r="M303" i="30"/>
  <c r="M312" i="30"/>
  <c r="M321" i="30"/>
  <c r="M331" i="30"/>
  <c r="Q10" i="30"/>
  <c r="Q19" i="30"/>
  <c r="Q28" i="30"/>
  <c r="Q37" i="30"/>
  <c r="Q46" i="30"/>
  <c r="Q55" i="30"/>
  <c r="Q65" i="30"/>
  <c r="Q74" i="30"/>
  <c r="Q83" i="30"/>
  <c r="Q92" i="30"/>
  <c r="Q101" i="30"/>
  <c r="Q110" i="30"/>
  <c r="Q119" i="30"/>
  <c r="Q129" i="30"/>
  <c r="Q138" i="30"/>
  <c r="Q147" i="30"/>
  <c r="Q156" i="30"/>
  <c r="Q165" i="30"/>
  <c r="Q174" i="30"/>
  <c r="Q183" i="30"/>
  <c r="Q193" i="30"/>
  <c r="Q202" i="30"/>
  <c r="Q211" i="30"/>
  <c r="Q220" i="30"/>
  <c r="Q228" i="30"/>
  <c r="Q236" i="30"/>
  <c r="Q244" i="30"/>
  <c r="Q252" i="30"/>
  <c r="Q260" i="30"/>
  <c r="Q268" i="30"/>
  <c r="Q276" i="30"/>
  <c r="Q284" i="30"/>
  <c r="Q292" i="30"/>
  <c r="Q300" i="30"/>
  <c r="Q308" i="30"/>
  <c r="Q316" i="30"/>
  <c r="Q324" i="30"/>
  <c r="Q332" i="30"/>
  <c r="U10" i="30"/>
  <c r="U18" i="30"/>
  <c r="U26" i="30"/>
  <c r="U34" i="30"/>
  <c r="U42" i="30"/>
  <c r="U50" i="30"/>
  <c r="U58" i="30"/>
  <c r="U66" i="30"/>
  <c r="U74" i="30"/>
  <c r="U82" i="30"/>
  <c r="U90" i="30"/>
  <c r="U98" i="30"/>
  <c r="U106" i="30"/>
  <c r="U114" i="30"/>
  <c r="U122" i="30"/>
  <c r="U130" i="30"/>
  <c r="U138" i="30"/>
  <c r="M5" i="30"/>
  <c r="M24" i="30"/>
  <c r="M43" i="30"/>
  <c r="M61" i="30"/>
  <c r="M79" i="30"/>
  <c r="M97" i="30"/>
  <c r="M116" i="30"/>
  <c r="M134" i="30"/>
  <c r="M152" i="30"/>
  <c r="M171" i="30"/>
  <c r="M189" i="30"/>
  <c r="M207" i="30"/>
  <c r="M225" i="30"/>
  <c r="M244" i="30"/>
  <c r="M262" i="30"/>
  <c r="M279" i="30"/>
  <c r="M295" i="30"/>
  <c r="M308" i="30"/>
  <c r="M324" i="30"/>
  <c r="Q7" i="30"/>
  <c r="Q22" i="30"/>
  <c r="Q38" i="30"/>
  <c r="Q51" i="30"/>
  <c r="Q67" i="30"/>
  <c r="Q81" i="30"/>
  <c r="Q95" i="30"/>
  <c r="Q111" i="30"/>
  <c r="Q124" i="30"/>
  <c r="Q140" i="30"/>
  <c r="Q154" i="30"/>
  <c r="Q169" i="30"/>
  <c r="Q185" i="30"/>
  <c r="Q197" i="30"/>
  <c r="Q213" i="30"/>
  <c r="Q226" i="30"/>
  <c r="Q239" i="30"/>
  <c r="Q253" i="30"/>
  <c r="Q264" i="30"/>
  <c r="Q278" i="30"/>
  <c r="Q289" i="30"/>
  <c r="Q301" i="30"/>
  <c r="Q311" i="30"/>
  <c r="Q321" i="30"/>
  <c r="Q333" i="30"/>
  <c r="U13" i="30"/>
  <c r="U23" i="30"/>
  <c r="U35" i="30"/>
  <c r="U45" i="30"/>
  <c r="U55" i="30"/>
  <c r="U67" i="30"/>
  <c r="U77" i="30"/>
  <c r="U87" i="30"/>
  <c r="U97" i="30"/>
  <c r="U107" i="30"/>
  <c r="U116" i="30"/>
  <c r="U125" i="30"/>
  <c r="U134" i="30"/>
  <c r="U143" i="30"/>
  <c r="U151" i="30"/>
  <c r="U159" i="30"/>
  <c r="U167" i="30"/>
  <c r="U175" i="30"/>
  <c r="U183" i="30"/>
  <c r="U191" i="30"/>
  <c r="U199" i="30"/>
  <c r="U207" i="30"/>
  <c r="M11" i="30"/>
  <c r="M30" i="30"/>
  <c r="M48" i="30"/>
  <c r="M67" i="30"/>
  <c r="M85" i="30"/>
  <c r="M103" i="30"/>
  <c r="M121" i="30"/>
  <c r="M140" i="30"/>
  <c r="M158" i="30"/>
  <c r="M176" i="30"/>
  <c r="M195" i="30"/>
  <c r="M213" i="30"/>
  <c r="M231" i="30"/>
  <c r="M249" i="30"/>
  <c r="M268" i="30"/>
  <c r="M283" i="30"/>
  <c r="M297" i="30"/>
  <c r="M313" i="30"/>
  <c r="M326" i="30"/>
  <c r="Q12" i="30"/>
  <c r="Q26" i="30"/>
  <c r="Q41" i="30"/>
  <c r="Q57" i="30"/>
  <c r="Q69" i="30"/>
  <c r="Q85" i="30"/>
  <c r="Q99" i="30"/>
  <c r="Q114" i="30"/>
  <c r="Q130" i="30"/>
  <c r="Q142" i="30"/>
  <c r="Q158" i="30"/>
  <c r="Q172" i="30"/>
  <c r="Q187" i="30"/>
  <c r="Q203" i="30"/>
  <c r="Q215" i="30"/>
  <c r="Q230" i="30"/>
  <c r="Q242" i="30"/>
  <c r="Q255" i="30"/>
  <c r="Q269" i="30"/>
  <c r="Q280" i="30"/>
  <c r="Q293" i="30"/>
  <c r="Q303" i="30"/>
  <c r="Q313" i="30"/>
  <c r="Q325" i="30"/>
  <c r="U5" i="30"/>
  <c r="U15" i="30"/>
  <c r="U27" i="30"/>
  <c r="U37" i="30"/>
  <c r="U47" i="30"/>
  <c r="U59" i="30"/>
  <c r="U69" i="30"/>
  <c r="U79" i="30"/>
  <c r="U91" i="30"/>
  <c r="U100" i="30"/>
  <c r="U109" i="30"/>
  <c r="U118" i="30"/>
  <c r="U127" i="30"/>
  <c r="U136" i="30"/>
  <c r="U145" i="30"/>
  <c r="U153" i="30"/>
  <c r="U161" i="30"/>
  <c r="U169" i="30"/>
  <c r="U177" i="30"/>
  <c r="U185" i="30"/>
  <c r="U193" i="30"/>
  <c r="U201" i="30"/>
  <c r="U209" i="30"/>
  <c r="U217" i="30"/>
  <c r="U225" i="30"/>
  <c r="U233" i="30"/>
  <c r="U241" i="30"/>
  <c r="U249" i="30"/>
  <c r="U257" i="30"/>
  <c r="U265" i="30"/>
  <c r="U273" i="30"/>
  <c r="U281" i="30"/>
  <c r="U289" i="30"/>
  <c r="U297" i="30"/>
  <c r="U305" i="30"/>
  <c r="U313" i="30"/>
  <c r="U321" i="30"/>
  <c r="U329" i="30"/>
  <c r="AC7" i="30"/>
  <c r="AC15" i="30"/>
  <c r="AC23" i="30"/>
  <c r="AC31" i="30"/>
  <c r="M14" i="30"/>
  <c r="M33" i="30"/>
  <c r="M52" i="30"/>
  <c r="M70" i="30"/>
  <c r="M88" i="30"/>
  <c r="M107" i="30"/>
  <c r="M125" i="30"/>
  <c r="M143" i="30"/>
  <c r="M161" i="30"/>
  <c r="M180" i="30"/>
  <c r="M198" i="30"/>
  <c r="M216" i="30"/>
  <c r="M235" i="30"/>
  <c r="M253" i="30"/>
  <c r="M271" i="30"/>
  <c r="M287" i="30"/>
  <c r="M301" i="30"/>
  <c r="M316" i="30"/>
  <c r="M332" i="30"/>
  <c r="Q14" i="30"/>
  <c r="Q30" i="30"/>
  <c r="Q44" i="30"/>
  <c r="Q59" i="30"/>
  <c r="Q75" i="30"/>
  <c r="Q87" i="30"/>
  <c r="Q103" i="30"/>
  <c r="Q117" i="30"/>
  <c r="Q132" i="30"/>
  <c r="Q148" i="30"/>
  <c r="Q161" i="30"/>
  <c r="Q177" i="30"/>
  <c r="Q190" i="30"/>
  <c r="Q205" i="30"/>
  <c r="Q221" i="30"/>
  <c r="Q232" i="30"/>
  <c r="Q246" i="30"/>
  <c r="Q258" i="30"/>
  <c r="Q271" i="30"/>
  <c r="Q285" i="30"/>
  <c r="Q295" i="30"/>
  <c r="Q305" i="30"/>
  <c r="Q317" i="30"/>
  <c r="Q327" i="30"/>
  <c r="U7" i="30"/>
  <c r="U19" i="30"/>
  <c r="U29" i="30"/>
  <c r="U39" i="30"/>
  <c r="U51" i="30"/>
  <c r="U61" i="30"/>
  <c r="U71" i="30"/>
  <c r="U83" i="30"/>
  <c r="U93" i="30"/>
  <c r="U102" i="30"/>
  <c r="U111" i="30"/>
  <c r="U120" i="30"/>
  <c r="U129" i="30"/>
  <c r="U139" i="30"/>
  <c r="U147" i="30"/>
  <c r="U155" i="30"/>
  <c r="U163" i="30"/>
  <c r="U171" i="30"/>
  <c r="U179" i="30"/>
  <c r="U187" i="30"/>
  <c r="U195" i="30"/>
  <c r="U203" i="30"/>
  <c r="M21" i="30"/>
  <c r="M39" i="30"/>
  <c r="M57" i="30"/>
  <c r="M76" i="30"/>
  <c r="M94" i="30"/>
  <c r="M112" i="30"/>
  <c r="M131" i="30"/>
  <c r="M149" i="30"/>
  <c r="M167" i="30"/>
  <c r="M185" i="30"/>
  <c r="M204" i="30"/>
  <c r="M222" i="30"/>
  <c r="M240" i="30"/>
  <c r="M259" i="30"/>
  <c r="M277" i="30"/>
  <c r="M289" i="30"/>
  <c r="M305" i="30"/>
  <c r="M319" i="30"/>
  <c r="Q4" i="30"/>
  <c r="Q20" i="30"/>
  <c r="Q33" i="30"/>
  <c r="Q49" i="30"/>
  <c r="Q62" i="30"/>
  <c r="Q77" i="30"/>
  <c r="Q93" i="30"/>
  <c r="Q106" i="30"/>
  <c r="Q122" i="30"/>
  <c r="Q135" i="30"/>
  <c r="Q150" i="30"/>
  <c r="Q166" i="30"/>
  <c r="Q179" i="30"/>
  <c r="Q195" i="30"/>
  <c r="Q209" i="30"/>
  <c r="Q223" i="30"/>
  <c r="Q237" i="30"/>
  <c r="Q248" i="30"/>
  <c r="Q262" i="30"/>
  <c r="Q274" i="30"/>
  <c r="Q287" i="30"/>
  <c r="Q297" i="30"/>
  <c r="Q309" i="30"/>
  <c r="Q319" i="30"/>
  <c r="Q329" i="30"/>
  <c r="U11" i="30"/>
  <c r="U21" i="30"/>
  <c r="U31" i="30"/>
  <c r="U43" i="30"/>
  <c r="U53" i="30"/>
  <c r="U63" i="30"/>
  <c r="U75" i="30"/>
  <c r="U85" i="30"/>
  <c r="U95" i="30"/>
  <c r="U104" i="30"/>
  <c r="U113" i="30"/>
  <c r="U123" i="30"/>
  <c r="U132" i="30"/>
  <c r="U141" i="30"/>
  <c r="U149" i="30"/>
  <c r="U157" i="30"/>
  <c r="U165" i="30"/>
  <c r="U173" i="30"/>
  <c r="U181" i="30"/>
  <c r="U189" i="30"/>
  <c r="U197" i="30"/>
  <c r="U205" i="30"/>
  <c r="U213" i="30"/>
  <c r="U221" i="30"/>
  <c r="U229" i="30"/>
  <c r="U237" i="30"/>
  <c r="U245" i="30"/>
  <c r="U253" i="30"/>
  <c r="U261" i="30"/>
  <c r="U269" i="30"/>
  <c r="U277" i="30"/>
  <c r="U285" i="30"/>
  <c r="U293" i="30"/>
  <c r="U301" i="30"/>
  <c r="U309" i="30"/>
  <c r="U317" i="30"/>
  <c r="U325" i="30"/>
  <c r="U333" i="30"/>
  <c r="AC11" i="30"/>
  <c r="AC19" i="30"/>
  <c r="AC27" i="30"/>
  <c r="M12" i="30"/>
  <c r="M49" i="30"/>
  <c r="M86" i="30"/>
  <c r="M123" i="30"/>
  <c r="M159" i="30"/>
  <c r="M196" i="30"/>
  <c r="M232" i="30"/>
  <c r="M269" i="30"/>
  <c r="M299" i="30"/>
  <c r="M328" i="30"/>
  <c r="Q29" i="30"/>
  <c r="Q58" i="30"/>
  <c r="Q86" i="30"/>
  <c r="Q115" i="30"/>
  <c r="Q145" i="30"/>
  <c r="Q175" i="30"/>
  <c r="Q204" i="30"/>
  <c r="Q231" i="30"/>
  <c r="Q256" i="30"/>
  <c r="Q282" i="30"/>
  <c r="Q304" i="30"/>
  <c r="Q326" i="30"/>
  <c r="U16" i="30"/>
  <c r="U38" i="30"/>
  <c r="U60" i="30"/>
  <c r="U80" i="30"/>
  <c r="U101" i="30"/>
  <c r="U119" i="30"/>
  <c r="U137" i="30"/>
  <c r="U154" i="30"/>
  <c r="U170" i="30"/>
  <c r="U186" i="30"/>
  <c r="U202" i="30"/>
  <c r="U215" i="30"/>
  <c r="U226" i="30"/>
  <c r="U236" i="30"/>
  <c r="U247" i="30"/>
  <c r="U258" i="30"/>
  <c r="U268" i="30"/>
  <c r="U279" i="30"/>
  <c r="U290" i="30"/>
  <c r="U300" i="30"/>
  <c r="U311" i="30"/>
  <c r="U322" i="30"/>
  <c r="U332" i="30"/>
  <c r="AC13" i="30"/>
  <c r="AC24" i="30"/>
  <c r="AC34" i="30"/>
  <c r="AC42" i="30"/>
  <c r="AC50" i="30"/>
  <c r="AC58" i="30"/>
  <c r="AC66" i="30"/>
  <c r="M16" i="30"/>
  <c r="M54" i="30"/>
  <c r="M91" i="30"/>
  <c r="M127" i="30"/>
  <c r="M164" i="30"/>
  <c r="M200" i="30"/>
  <c r="M237" i="30"/>
  <c r="M273" i="30"/>
  <c r="M304" i="30"/>
  <c r="M333" i="30"/>
  <c r="Q31" i="30"/>
  <c r="Q60" i="30"/>
  <c r="Q90" i="30"/>
  <c r="Q121" i="30"/>
  <c r="Q149" i="30"/>
  <c r="Q178" i="30"/>
  <c r="Q206" i="30"/>
  <c r="Q234" i="30"/>
  <c r="Q261" i="30"/>
  <c r="Q286" i="30"/>
  <c r="Q306" i="30"/>
  <c r="Q328" i="30"/>
  <c r="U20" i="30"/>
  <c r="U40" i="30"/>
  <c r="U62" i="30"/>
  <c r="U84" i="30"/>
  <c r="U103" i="30"/>
  <c r="U121" i="30"/>
  <c r="U140" i="30"/>
  <c r="U156" i="30"/>
  <c r="U172" i="30"/>
  <c r="U188" i="30"/>
  <c r="U204" i="30"/>
  <c r="U216" i="30"/>
  <c r="U227" i="30"/>
  <c r="U238" i="30"/>
  <c r="U248" i="30"/>
  <c r="U259" i="30"/>
  <c r="U270" i="30"/>
  <c r="U280" i="30"/>
  <c r="U291" i="30"/>
  <c r="U302" i="30"/>
  <c r="U312" i="30"/>
  <c r="U323" i="30"/>
  <c r="AC4" i="30"/>
  <c r="AC14" i="30"/>
  <c r="AC25" i="30"/>
  <c r="AC35" i="30"/>
  <c r="AC43" i="30"/>
  <c r="AC51" i="30"/>
  <c r="AC59" i="30"/>
  <c r="AC67" i="30"/>
  <c r="AC75" i="30"/>
  <c r="AC83" i="30"/>
  <c r="AC91" i="30"/>
  <c r="AC99" i="30"/>
  <c r="AC107" i="30"/>
  <c r="AC115" i="30"/>
  <c r="AC123" i="30"/>
  <c r="AC131" i="30"/>
  <c r="AC139" i="30"/>
  <c r="AC147" i="30"/>
  <c r="AC155" i="30"/>
  <c r="AC163" i="30"/>
  <c r="AC171" i="30"/>
  <c r="AC179" i="30"/>
  <c r="AC187" i="30"/>
  <c r="AC195" i="30"/>
  <c r="AC203" i="30"/>
  <c r="AC211" i="30"/>
  <c r="AC219" i="30"/>
  <c r="AC227" i="30"/>
  <c r="AC235" i="30"/>
  <c r="AC243" i="30"/>
  <c r="AC251" i="30"/>
  <c r="AC259" i="30"/>
  <c r="AC267" i="30"/>
  <c r="AC275" i="30"/>
  <c r="AC283" i="30"/>
  <c r="AC291" i="30"/>
  <c r="AC299" i="30"/>
  <c r="AC307" i="30"/>
  <c r="AC315" i="30"/>
  <c r="AC323" i="30"/>
  <c r="AC331" i="30"/>
  <c r="M27" i="30"/>
  <c r="M63" i="30"/>
  <c r="M100" i="30"/>
  <c r="M136" i="30"/>
  <c r="M173" i="30"/>
  <c r="M209" i="30"/>
  <c r="M246" i="30"/>
  <c r="M280" i="30"/>
  <c r="M310" i="30"/>
  <c r="Q11" i="30"/>
  <c r="Q39" i="30"/>
  <c r="Q68" i="30"/>
  <c r="Q97" i="30"/>
  <c r="Q126" i="30"/>
  <c r="Q157" i="30"/>
  <c r="Q186" i="30"/>
  <c r="Q214" i="30"/>
  <c r="Q240" i="30"/>
  <c r="Q266" i="30"/>
  <c r="Q290" i="30"/>
  <c r="Q312" i="30"/>
  <c r="U4" i="30"/>
  <c r="U24" i="30"/>
  <c r="U46" i="30"/>
  <c r="U68" i="30"/>
  <c r="U88" i="30"/>
  <c r="U108" i="30"/>
  <c r="U126" i="30"/>
  <c r="U144" i="30"/>
  <c r="U160" i="30"/>
  <c r="U176" i="30"/>
  <c r="U192" i="30"/>
  <c r="U208" i="30"/>
  <c r="U219" i="30"/>
  <c r="U230" i="30"/>
  <c r="U240" i="30"/>
  <c r="U251" i="30"/>
  <c r="U262" i="30"/>
  <c r="U272" i="30"/>
  <c r="U283" i="30"/>
  <c r="U294" i="30"/>
  <c r="U304" i="30"/>
  <c r="U315" i="30"/>
  <c r="U326" i="30"/>
  <c r="AC6" i="30"/>
  <c r="AC17" i="30"/>
  <c r="AC28" i="30"/>
  <c r="AC37" i="30"/>
  <c r="AC45" i="30"/>
  <c r="AC53" i="30"/>
  <c r="AC61" i="30"/>
  <c r="AC69" i="30"/>
  <c r="AC77" i="30"/>
  <c r="AC85" i="30"/>
  <c r="AC93" i="30"/>
  <c r="AC101" i="30"/>
  <c r="AC109" i="30"/>
  <c r="AC117" i="30"/>
  <c r="AC125" i="30"/>
  <c r="AC133" i="30"/>
  <c r="AC141" i="30"/>
  <c r="AC149" i="30"/>
  <c r="AC157" i="30"/>
  <c r="AC165" i="30"/>
  <c r="AC173" i="30"/>
  <c r="AC181" i="30"/>
  <c r="AC189" i="30"/>
  <c r="AC197" i="30"/>
  <c r="AC205" i="30"/>
  <c r="AC213" i="30"/>
  <c r="AC221" i="30"/>
  <c r="AC229" i="30"/>
  <c r="AC237" i="30"/>
  <c r="AC245" i="30"/>
  <c r="AC253" i="30"/>
  <c r="AC261" i="30"/>
  <c r="AC269" i="30"/>
  <c r="AC277" i="30"/>
  <c r="AC285" i="30"/>
  <c r="AC293" i="30"/>
  <c r="AC301" i="30"/>
  <c r="AC309" i="30"/>
  <c r="AC317" i="30"/>
  <c r="AC325" i="30"/>
  <c r="AC333" i="30"/>
  <c r="M36" i="30"/>
  <c r="M72" i="30"/>
  <c r="M109" i="30"/>
  <c r="M145" i="30"/>
  <c r="M182" i="30"/>
  <c r="M219" i="30"/>
  <c r="M255" i="30"/>
  <c r="M288" i="30"/>
  <c r="M317" i="30"/>
  <c r="Q17" i="30"/>
  <c r="Q47" i="30"/>
  <c r="Q76" i="30"/>
  <c r="Q105" i="30"/>
  <c r="Q133" i="30"/>
  <c r="Q163" i="30"/>
  <c r="Q194" i="30"/>
  <c r="Q222" i="30"/>
  <c r="Q247" i="30"/>
  <c r="Q272" i="30"/>
  <c r="Q296" i="30"/>
  <c r="Q318" i="30"/>
  <c r="U8" i="30"/>
  <c r="U30" i="30"/>
  <c r="U52" i="30"/>
  <c r="U72" i="30"/>
  <c r="U94" i="30"/>
  <c r="U112" i="30"/>
  <c r="U131" i="30"/>
  <c r="U148" i="30"/>
  <c r="U164" i="30"/>
  <c r="U180" i="30"/>
  <c r="U196" i="30"/>
  <c r="U211" i="30"/>
  <c r="U222" i="30"/>
  <c r="U232" i="30"/>
  <c r="U243" i="30"/>
  <c r="U254" i="30"/>
  <c r="U264" i="30"/>
  <c r="U275" i="30"/>
  <c r="U286" i="30"/>
  <c r="U296" i="30"/>
  <c r="U307" i="30"/>
  <c r="U318" i="30"/>
  <c r="U328" i="30"/>
  <c r="AC9" i="30"/>
  <c r="AC20" i="30"/>
  <c r="AC30" i="30"/>
  <c r="AC39" i="30"/>
  <c r="AC47" i="30"/>
  <c r="AC55" i="30"/>
  <c r="AC63" i="30"/>
  <c r="AC71" i="30"/>
  <c r="AC79" i="30"/>
  <c r="AC87" i="30"/>
  <c r="AC95" i="30"/>
  <c r="AC103" i="30"/>
  <c r="AC111" i="30"/>
  <c r="AC119" i="30"/>
  <c r="AC127" i="30"/>
  <c r="AC135" i="30"/>
  <c r="AC143" i="30"/>
  <c r="AC151" i="30"/>
  <c r="AC159" i="30"/>
  <c r="AC167" i="30"/>
  <c r="AC175" i="30"/>
  <c r="AC183" i="30"/>
  <c r="AC191" i="30"/>
  <c r="AC199" i="30"/>
  <c r="AC207" i="30"/>
  <c r="AC215" i="30"/>
  <c r="AC223" i="30"/>
  <c r="AC231" i="30"/>
  <c r="AC239" i="30"/>
  <c r="AC247" i="30"/>
  <c r="M40" i="30"/>
  <c r="M77" i="30"/>
  <c r="M113" i="30"/>
  <c r="M150" i="30"/>
  <c r="M187" i="30"/>
  <c r="M223" i="30"/>
  <c r="M260" i="30"/>
  <c r="M292" i="30"/>
  <c r="M323" i="30"/>
  <c r="Q21" i="30"/>
  <c r="Q50" i="30"/>
  <c r="Q78" i="30"/>
  <c r="Q108" i="30"/>
  <c r="Q139" i="30"/>
  <c r="Q167" i="30"/>
  <c r="Q196" i="30"/>
  <c r="Q224" i="30"/>
  <c r="Q250" i="30"/>
  <c r="Q277" i="30"/>
  <c r="Q298" i="30"/>
  <c r="Q320" i="30"/>
  <c r="U12" i="30"/>
  <c r="U32" i="30"/>
  <c r="U54" i="30"/>
  <c r="U76" i="30"/>
  <c r="U96" i="30"/>
  <c r="U115" i="30"/>
  <c r="U133" i="30"/>
  <c r="U150" i="30"/>
  <c r="U166" i="30"/>
  <c r="U182" i="30"/>
  <c r="U198" i="30"/>
  <c r="U212" i="30"/>
  <c r="U223" i="30"/>
  <c r="U234" i="30"/>
  <c r="U244" i="30"/>
  <c r="U255" i="30"/>
  <c r="U266" i="30"/>
  <c r="U276" i="30"/>
  <c r="U287" i="30"/>
  <c r="U298" i="30"/>
  <c r="U308" i="30"/>
  <c r="U319" i="30"/>
  <c r="U330" i="30"/>
  <c r="AC10" i="30"/>
  <c r="AC21" i="30"/>
  <c r="AC32" i="30"/>
  <c r="AC40" i="30"/>
  <c r="AC48" i="30"/>
  <c r="AC56" i="30"/>
  <c r="AC64" i="30"/>
  <c r="AC72" i="30"/>
  <c r="AC80" i="30"/>
  <c r="AC88" i="30"/>
  <c r="AC96" i="30"/>
  <c r="AC104" i="30"/>
  <c r="AC112" i="30"/>
  <c r="AC120" i="30"/>
  <c r="AC128" i="30"/>
  <c r="AC136" i="30"/>
  <c r="AC144" i="30"/>
  <c r="AC152" i="30"/>
  <c r="AC160" i="30"/>
  <c r="AC168" i="30"/>
  <c r="AC176" i="30"/>
  <c r="AC184" i="30"/>
  <c r="AC192" i="30"/>
  <c r="AC200" i="30"/>
  <c r="AC208" i="30"/>
  <c r="AC216" i="30"/>
  <c r="M22" i="30"/>
  <c r="M118" i="30"/>
  <c r="M214" i="30"/>
  <c r="M307" i="30"/>
  <c r="Q53" i="30"/>
  <c r="Q131" i="30"/>
  <c r="Q212" i="30"/>
  <c r="Q279" i="30"/>
  <c r="U6" i="30"/>
  <c r="U64" i="30"/>
  <c r="U117" i="30"/>
  <c r="U162" i="30"/>
  <c r="U206" i="30"/>
  <c r="U235" i="30"/>
  <c r="U263" i="30"/>
  <c r="U292" i="30"/>
  <c r="U320" i="30"/>
  <c r="AC18" i="30"/>
  <c r="AC44" i="30"/>
  <c r="AC65" i="30"/>
  <c r="AC82" i="30"/>
  <c r="AC98" i="30"/>
  <c r="AC114" i="30"/>
  <c r="AC130" i="30"/>
  <c r="AC146" i="30"/>
  <c r="AC162" i="30"/>
  <c r="AC178" i="30"/>
  <c r="AC194" i="30"/>
  <c r="AC210" i="30"/>
  <c r="AC225" i="30"/>
  <c r="AC238" i="30"/>
  <c r="AC250" i="30"/>
  <c r="AC262" i="30"/>
  <c r="AC272" i="30"/>
  <c r="AC282" i="30"/>
  <c r="AC294" i="30"/>
  <c r="AC304" i="30"/>
  <c r="AC314" i="30"/>
  <c r="AC326" i="30"/>
  <c r="AG6" i="30"/>
  <c r="AG14" i="30"/>
  <c r="AG22" i="30"/>
  <c r="AG30" i="30"/>
  <c r="AG38" i="30"/>
  <c r="AG46" i="30"/>
  <c r="AG54" i="30"/>
  <c r="AG62" i="30"/>
  <c r="AG70" i="30"/>
  <c r="AG78" i="30"/>
  <c r="AG86" i="30"/>
  <c r="AG94" i="30"/>
  <c r="AG102" i="30"/>
  <c r="AG110" i="30"/>
  <c r="AG118" i="30"/>
  <c r="AG126" i="30"/>
  <c r="AG134" i="30"/>
  <c r="AG142" i="30"/>
  <c r="AG150" i="30"/>
  <c r="AG158" i="30"/>
  <c r="AG166" i="30"/>
  <c r="AG174" i="30"/>
  <c r="AG182" i="30"/>
  <c r="AG190" i="30"/>
  <c r="AG198" i="30"/>
  <c r="AG206" i="30"/>
  <c r="AG214" i="30"/>
  <c r="AG222" i="30"/>
  <c r="AG230" i="30"/>
  <c r="AG238" i="30"/>
  <c r="AG254" i="30"/>
  <c r="AG278" i="30"/>
  <c r="AG310" i="30"/>
  <c r="AG3" i="30"/>
  <c r="Q294" i="30"/>
  <c r="AC26" i="30"/>
  <c r="AC134" i="30"/>
  <c r="AC214" i="30"/>
  <c r="AC274" i="30"/>
  <c r="AC328" i="30"/>
  <c r="AG40" i="30"/>
  <c r="AG88" i="30"/>
  <c r="AG136" i="30"/>
  <c r="AG176" i="30"/>
  <c r="AG216" i="30"/>
  <c r="AG264" i="30"/>
  <c r="M31" i="30"/>
  <c r="M132" i="30"/>
  <c r="M228" i="30"/>
  <c r="M315" i="30"/>
  <c r="Q66" i="30"/>
  <c r="Q141" i="30"/>
  <c r="Q218" i="30"/>
  <c r="Q288" i="30"/>
  <c r="U14" i="30"/>
  <c r="U70" i="30"/>
  <c r="U124" i="30"/>
  <c r="U168" i="30"/>
  <c r="U210" i="30"/>
  <c r="U239" i="30"/>
  <c r="U267" i="30"/>
  <c r="U295" i="30"/>
  <c r="U324" i="30"/>
  <c r="AC22" i="30"/>
  <c r="AC46" i="30"/>
  <c r="AC68" i="30"/>
  <c r="AC84" i="30"/>
  <c r="AC100" i="30"/>
  <c r="AC116" i="30"/>
  <c r="AC132" i="30"/>
  <c r="AC148" i="30"/>
  <c r="AC164" i="30"/>
  <c r="AC180" i="30"/>
  <c r="AC196" i="30"/>
  <c r="AC212" i="30"/>
  <c r="AC226" i="30"/>
  <c r="AC240" i="30"/>
  <c r="AC252" i="30"/>
  <c r="AC263" i="30"/>
  <c r="AC273" i="30"/>
  <c r="AC284" i="30"/>
  <c r="AC295" i="30"/>
  <c r="AC305" i="30"/>
  <c r="AC316" i="30"/>
  <c r="AC327" i="30"/>
  <c r="AG7" i="30"/>
  <c r="AG15" i="30"/>
  <c r="AG23" i="30"/>
  <c r="AG31" i="30"/>
  <c r="AG39" i="30"/>
  <c r="AG47" i="30"/>
  <c r="AG55" i="30"/>
  <c r="AG63" i="30"/>
  <c r="AG71" i="30"/>
  <c r="AG79" i="30"/>
  <c r="AG87" i="30"/>
  <c r="AG95" i="30"/>
  <c r="AG103" i="30"/>
  <c r="AG111" i="30"/>
  <c r="AG119" i="30"/>
  <c r="AG127" i="30"/>
  <c r="AG135" i="30"/>
  <c r="AG143" i="30"/>
  <c r="AG151" i="30"/>
  <c r="AG159" i="30"/>
  <c r="AG167" i="30"/>
  <c r="AG175" i="30"/>
  <c r="AG183" i="30"/>
  <c r="AG191" i="30"/>
  <c r="AG199" i="30"/>
  <c r="AG207" i="30"/>
  <c r="AG215" i="30"/>
  <c r="AG223" i="30"/>
  <c r="AG231" i="30"/>
  <c r="AG239" i="30"/>
  <c r="AG247" i="30"/>
  <c r="AG255" i="30"/>
  <c r="AG263" i="30"/>
  <c r="AG271" i="30"/>
  <c r="AG279" i="30"/>
  <c r="AG287" i="30"/>
  <c r="AG295" i="30"/>
  <c r="AG303" i="30"/>
  <c r="AG311" i="30"/>
  <c r="AG319" i="30"/>
  <c r="AG327" i="30"/>
  <c r="AC3" i="30"/>
  <c r="M45" i="30"/>
  <c r="M325" i="30"/>
  <c r="Q229" i="30"/>
  <c r="U128" i="30"/>
  <c r="U271" i="30"/>
  <c r="AC70" i="30"/>
  <c r="AC150" i="30"/>
  <c r="AC241" i="30"/>
  <c r="AC296" i="30"/>
  <c r="AG8" i="30"/>
  <c r="AG64" i="30"/>
  <c r="AG112" i="30"/>
  <c r="AG152" i="30"/>
  <c r="AG208" i="30"/>
  <c r="AG256" i="30"/>
  <c r="AG304" i="30"/>
  <c r="M59" i="30"/>
  <c r="M155" i="30"/>
  <c r="M251" i="30"/>
  <c r="Q5" i="30"/>
  <c r="Q84" i="30"/>
  <c r="Q159" i="30"/>
  <c r="Q238" i="30"/>
  <c r="Q302" i="30"/>
  <c r="U28" i="30"/>
  <c r="U86" i="30"/>
  <c r="U135" i="30"/>
  <c r="U178" i="30"/>
  <c r="U218" i="30"/>
  <c r="U246" i="30"/>
  <c r="U274" i="30"/>
  <c r="U303" i="30"/>
  <c r="U331" i="30"/>
  <c r="AC29" i="30"/>
  <c r="AC52" i="30"/>
  <c r="AC73" i="30"/>
  <c r="AC89" i="30"/>
  <c r="AC105" i="30"/>
  <c r="AC121" i="30"/>
  <c r="AC137" i="30"/>
  <c r="AC153" i="30"/>
  <c r="AC169" i="30"/>
  <c r="AC185" i="30"/>
  <c r="AC201" i="30"/>
  <c r="AC217" i="30"/>
  <c r="AC230" i="30"/>
  <c r="AC242" i="30"/>
  <c r="AC255" i="30"/>
  <c r="AC265" i="30"/>
  <c r="AC276" i="30"/>
  <c r="AC287" i="30"/>
  <c r="AC297" i="30"/>
  <c r="AC308" i="30"/>
  <c r="AC319" i="30"/>
  <c r="AC329" i="30"/>
  <c r="AG9" i="30"/>
  <c r="AG17" i="30"/>
  <c r="AG25" i="30"/>
  <c r="AG33" i="30"/>
  <c r="AG41" i="30"/>
  <c r="AG49" i="30"/>
  <c r="AG57" i="30"/>
  <c r="AG65" i="30"/>
  <c r="AG73" i="30"/>
  <c r="AG81" i="30"/>
  <c r="AG89" i="30"/>
  <c r="AG97" i="30"/>
  <c r="AG105" i="30"/>
  <c r="AG113" i="30"/>
  <c r="AG121" i="30"/>
  <c r="AG129" i="30"/>
  <c r="AG137" i="30"/>
  <c r="AG145" i="30"/>
  <c r="AG153" i="30"/>
  <c r="AG161" i="30"/>
  <c r="AG169" i="30"/>
  <c r="AG177" i="30"/>
  <c r="AG185" i="30"/>
  <c r="AG193" i="30"/>
  <c r="AG201" i="30"/>
  <c r="AG209" i="30"/>
  <c r="AG217" i="30"/>
  <c r="AG225" i="30"/>
  <c r="AG233" i="30"/>
  <c r="AG241" i="30"/>
  <c r="AG249" i="30"/>
  <c r="AG257" i="30"/>
  <c r="AG265" i="30"/>
  <c r="AG273" i="30"/>
  <c r="AG281" i="30"/>
  <c r="AG289" i="30"/>
  <c r="AG297" i="30"/>
  <c r="AG305" i="30"/>
  <c r="AG313" i="30"/>
  <c r="AG321" i="30"/>
  <c r="AG329" i="30"/>
  <c r="Q3" i="30"/>
  <c r="U250" i="30"/>
  <c r="AC54" i="30"/>
  <c r="AC90" i="30"/>
  <c r="AC122" i="30"/>
  <c r="AC154" i="30"/>
  <c r="AC186" i="30"/>
  <c r="AC218" i="30"/>
  <c r="AC244" i="30"/>
  <c r="AC266" i="30"/>
  <c r="AC288" i="30"/>
  <c r="AC310" i="30"/>
  <c r="AC330" i="30"/>
  <c r="AG18" i="30"/>
  <c r="AG34" i="30"/>
  <c r="AG50" i="30"/>
  <c r="AG66" i="30"/>
  <c r="AG82" i="30"/>
  <c r="AG98" i="30"/>
  <c r="AG114" i="30"/>
  <c r="AG130" i="30"/>
  <c r="AG146" i="30"/>
  <c r="AG162" i="30"/>
  <c r="AG178" i="30"/>
  <c r="AG194" i="30"/>
  <c r="AG210" i="30"/>
  <c r="AG226" i="30"/>
  <c r="AG242" i="30"/>
  <c r="AG258" i="30"/>
  <c r="AG274" i="30"/>
  <c r="AG290" i="30"/>
  <c r="AG306" i="30"/>
  <c r="AG322" i="30"/>
  <c r="AG330" i="30"/>
  <c r="M141" i="30"/>
  <c r="Q151" i="30"/>
  <c r="U22" i="30"/>
  <c r="U174" i="30"/>
  <c r="U299" i="30"/>
  <c r="AC86" i="30"/>
  <c r="AC198" i="30"/>
  <c r="AC254" i="30"/>
  <c r="AC306" i="30"/>
  <c r="AG32" i="30"/>
  <c r="AG72" i="30"/>
  <c r="AG120" i="30"/>
  <c r="AG168" i="30"/>
  <c r="AG224" i="30"/>
  <c r="AG272" i="30"/>
  <c r="AG312" i="30"/>
  <c r="M68" i="30"/>
  <c r="M168" i="30"/>
  <c r="M264" i="30"/>
  <c r="Q13" i="30"/>
  <c r="Q94" i="30"/>
  <c r="Q170" i="30"/>
  <c r="Q245" i="30"/>
  <c r="Q310" i="30"/>
  <c r="U36" i="30"/>
  <c r="U92" i="30"/>
  <c r="U142" i="30"/>
  <c r="U184" i="30"/>
  <c r="U220" i="30"/>
  <c r="U278" i="30"/>
  <c r="U306" i="30"/>
  <c r="AC5" i="30"/>
  <c r="AC33" i="30"/>
  <c r="AC74" i="30"/>
  <c r="AC106" i="30"/>
  <c r="AC138" i="30"/>
  <c r="AC170" i="30"/>
  <c r="AC202" i="30"/>
  <c r="AC232" i="30"/>
  <c r="AC256" i="30"/>
  <c r="AC278" i="30"/>
  <c r="AC298" i="30"/>
  <c r="AC320" i="30"/>
  <c r="AG10" i="30"/>
  <c r="AG26" i="30"/>
  <c r="AG42" i="30"/>
  <c r="AG58" i="30"/>
  <c r="AG74" i="30"/>
  <c r="AG90" i="30"/>
  <c r="AG106" i="30"/>
  <c r="AG122" i="30"/>
  <c r="AG138" i="30"/>
  <c r="AG154" i="30"/>
  <c r="AG170" i="30"/>
  <c r="AG186" i="30"/>
  <c r="AG202" i="30"/>
  <c r="AG218" i="30"/>
  <c r="AG234" i="30"/>
  <c r="AG250" i="30"/>
  <c r="AG266" i="30"/>
  <c r="AG282" i="30"/>
  <c r="AG298" i="30"/>
  <c r="AG314" i="30"/>
  <c r="M3" i="30"/>
  <c r="M241" i="30"/>
  <c r="U78" i="30"/>
  <c r="U242" i="30"/>
  <c r="AC49" i="30"/>
  <c r="AC166" i="30"/>
  <c r="AC264" i="30"/>
  <c r="AC318" i="30"/>
  <c r="AG48" i="30"/>
  <c r="AG96" i="30"/>
  <c r="AG144" i="30"/>
  <c r="AG192" i="30"/>
  <c r="AG240" i="30"/>
  <c r="AG280" i="30"/>
  <c r="M81" i="30"/>
  <c r="M177" i="30"/>
  <c r="M278" i="30"/>
  <c r="Q23" i="30"/>
  <c r="Q102" i="30"/>
  <c r="Q181" i="30"/>
  <c r="Q254" i="30"/>
  <c r="Q314" i="30"/>
  <c r="U44" i="30"/>
  <c r="U99" i="30"/>
  <c r="U146" i="30"/>
  <c r="U190" i="30"/>
  <c r="U224" i="30"/>
  <c r="U252" i="30"/>
  <c r="U282" i="30"/>
  <c r="U310" i="30"/>
  <c r="AC8" i="30"/>
  <c r="AC36" i="30"/>
  <c r="AC57" i="30"/>
  <c r="AC76" i="30"/>
  <c r="AC92" i="30"/>
  <c r="AC108" i="30"/>
  <c r="AC124" i="30"/>
  <c r="AC140" i="30"/>
  <c r="AC156" i="30"/>
  <c r="AC172" i="30"/>
  <c r="AC188" i="30"/>
  <c r="AC204" i="30"/>
  <c r="AC220" i="30"/>
  <c r="AC233" i="30"/>
  <c r="AC246" i="30"/>
  <c r="AC257" i="30"/>
  <c r="AC268" i="30"/>
  <c r="AC279" i="30"/>
  <c r="AC289" i="30"/>
  <c r="AC300" i="30"/>
  <c r="AC311" i="30"/>
  <c r="AC321" i="30"/>
  <c r="AC332" i="30"/>
  <c r="AG11" i="30"/>
  <c r="AG19" i="30"/>
  <c r="AG27" i="30"/>
  <c r="AG35" i="30"/>
  <c r="AG43" i="30"/>
  <c r="AG51" i="30"/>
  <c r="AG59" i="30"/>
  <c r="AG67" i="30"/>
  <c r="AG75" i="30"/>
  <c r="AG83" i="30"/>
  <c r="AG91" i="30"/>
  <c r="AG99" i="30"/>
  <c r="AG107" i="30"/>
  <c r="AG115" i="30"/>
  <c r="AG123" i="30"/>
  <c r="AG131" i="30"/>
  <c r="AG139" i="30"/>
  <c r="AG147" i="30"/>
  <c r="AG155" i="30"/>
  <c r="AG163" i="30"/>
  <c r="AG171" i="30"/>
  <c r="AG179" i="30"/>
  <c r="AG187" i="30"/>
  <c r="AG195" i="30"/>
  <c r="AG203" i="30"/>
  <c r="AG211" i="30"/>
  <c r="AG219" i="30"/>
  <c r="AG227" i="30"/>
  <c r="AG235" i="30"/>
  <c r="AG243" i="30"/>
  <c r="AG251" i="30"/>
  <c r="AG259" i="30"/>
  <c r="AG267" i="30"/>
  <c r="AG275" i="30"/>
  <c r="AG283" i="30"/>
  <c r="AG291" i="30"/>
  <c r="AG299" i="30"/>
  <c r="AG307" i="30"/>
  <c r="AG315" i="30"/>
  <c r="AG323" i="30"/>
  <c r="AG331" i="30"/>
  <c r="V20" i="18"/>
  <c r="AG284" i="30"/>
  <c r="AG300" i="30"/>
  <c r="AG316" i="30"/>
  <c r="AG332" i="30"/>
  <c r="AG309" i="30"/>
  <c r="AG325" i="30"/>
  <c r="AG262" i="30"/>
  <c r="AG286" i="30"/>
  <c r="AG326" i="30"/>
  <c r="Q71" i="30"/>
  <c r="U214" i="30"/>
  <c r="U327" i="30"/>
  <c r="AC102" i="30"/>
  <c r="AC182" i="30"/>
  <c r="AC228" i="30"/>
  <c r="AC286" i="30"/>
  <c r="AG16" i="30"/>
  <c r="AG56" i="30"/>
  <c r="AG104" i="30"/>
  <c r="AG160" i="30"/>
  <c r="AG200" i="30"/>
  <c r="AG248" i="30"/>
  <c r="AG296" i="30"/>
  <c r="M95" i="30"/>
  <c r="M191" i="30"/>
  <c r="M286" i="30"/>
  <c r="Q35" i="30"/>
  <c r="Q113" i="30"/>
  <c r="Q188" i="30"/>
  <c r="Q263" i="30"/>
  <c r="Q322" i="30"/>
  <c r="U48" i="30"/>
  <c r="U105" i="30"/>
  <c r="U152" i="30"/>
  <c r="U194" i="30"/>
  <c r="U228" i="30"/>
  <c r="U256" i="30"/>
  <c r="U284" i="30"/>
  <c r="U314" i="30"/>
  <c r="AC12" i="30"/>
  <c r="AC38" i="30"/>
  <c r="AC60" i="30"/>
  <c r="AC78" i="30"/>
  <c r="AC94" i="30"/>
  <c r="AC110" i="30"/>
  <c r="AC126" i="30"/>
  <c r="AC142" i="30"/>
  <c r="AC158" i="30"/>
  <c r="AC174" i="30"/>
  <c r="AC190" i="30"/>
  <c r="AC206" i="30"/>
  <c r="AC222" i="30"/>
  <c r="AC234" i="30"/>
  <c r="AC248" i="30"/>
  <c r="AC258" i="30"/>
  <c r="AC270" i="30"/>
  <c r="AC280" i="30"/>
  <c r="AC290" i="30"/>
  <c r="AC302" i="30"/>
  <c r="AC312" i="30"/>
  <c r="AC322" i="30"/>
  <c r="AG4" i="30"/>
  <c r="AG12" i="30"/>
  <c r="AG20" i="30"/>
  <c r="AG28" i="30"/>
  <c r="AG36" i="30"/>
  <c r="AG44" i="30"/>
  <c r="AG52" i="30"/>
  <c r="AG60" i="30"/>
  <c r="AG68" i="30"/>
  <c r="AG76" i="30"/>
  <c r="AG84" i="30"/>
  <c r="AG92" i="30"/>
  <c r="AG100" i="30"/>
  <c r="AG108" i="30"/>
  <c r="AG116" i="30"/>
  <c r="AG124" i="30"/>
  <c r="AG132" i="30"/>
  <c r="AG140" i="30"/>
  <c r="AG148" i="30"/>
  <c r="AG156" i="30"/>
  <c r="AG164" i="30"/>
  <c r="AG172" i="30"/>
  <c r="AG180" i="30"/>
  <c r="AG188" i="30"/>
  <c r="AG196" i="30"/>
  <c r="AG204" i="30"/>
  <c r="AG212" i="30"/>
  <c r="AG220" i="30"/>
  <c r="AG228" i="30"/>
  <c r="AG236" i="30"/>
  <c r="AG244" i="30"/>
  <c r="AG252" i="30"/>
  <c r="AG260" i="30"/>
  <c r="AG268" i="30"/>
  <c r="AG276" i="30"/>
  <c r="AG292" i="30"/>
  <c r="AG308" i="30"/>
  <c r="AG324" i="30"/>
  <c r="AG246" i="30"/>
  <c r="AG302" i="30"/>
  <c r="AC118" i="30"/>
  <c r="AG24" i="30"/>
  <c r="AG80" i="30"/>
  <c r="AG128" i="30"/>
  <c r="AG184" i="30"/>
  <c r="AG232" i="30"/>
  <c r="AG288" i="30"/>
  <c r="M7" i="30"/>
  <c r="M104" i="30"/>
  <c r="M205" i="30"/>
  <c r="M296" i="30"/>
  <c r="Q42" i="30"/>
  <c r="Q123" i="30"/>
  <c r="Q199" i="30"/>
  <c r="Q270" i="30"/>
  <c r="Q330" i="30"/>
  <c r="U56" i="30"/>
  <c r="U110" i="30"/>
  <c r="U158" i="30"/>
  <c r="U200" i="30"/>
  <c r="U231" i="30"/>
  <c r="U260" i="30"/>
  <c r="U288" i="30"/>
  <c r="U316" i="30"/>
  <c r="AC16" i="30"/>
  <c r="AC41" i="30"/>
  <c r="AC62" i="30"/>
  <c r="AC81" i="30"/>
  <c r="AC97" i="30"/>
  <c r="AC113" i="30"/>
  <c r="AC129" i="30"/>
  <c r="AC145" i="30"/>
  <c r="AC161" i="30"/>
  <c r="AC177" i="30"/>
  <c r="AC193" i="30"/>
  <c r="AC209" i="30"/>
  <c r="AC224" i="30"/>
  <c r="AC236" i="30"/>
  <c r="AC249" i="30"/>
  <c r="AC260" i="30"/>
  <c r="AC271" i="30"/>
  <c r="AC281" i="30"/>
  <c r="AC292" i="30"/>
  <c r="AC303" i="30"/>
  <c r="AC313" i="30"/>
  <c r="AC324" i="30"/>
  <c r="AG5" i="30"/>
  <c r="AG13" i="30"/>
  <c r="AG21" i="30"/>
  <c r="AG29" i="30"/>
  <c r="AG37" i="30"/>
  <c r="AG45" i="30"/>
  <c r="AG53" i="30"/>
  <c r="AG61" i="30"/>
  <c r="AG69" i="30"/>
  <c r="AG77" i="30"/>
  <c r="AG85" i="30"/>
  <c r="AG93" i="30"/>
  <c r="AG101" i="30"/>
  <c r="AG109" i="30"/>
  <c r="AG117" i="30"/>
  <c r="AG125" i="30"/>
  <c r="AG133" i="30"/>
  <c r="AG141" i="30"/>
  <c r="AG149" i="30"/>
  <c r="AG157" i="30"/>
  <c r="AG165" i="30"/>
  <c r="AG173" i="30"/>
  <c r="AG181" i="30"/>
  <c r="AG189" i="30"/>
  <c r="AG197" i="30"/>
  <c r="AG205" i="30"/>
  <c r="AG213" i="30"/>
  <c r="AG221" i="30"/>
  <c r="AG229" i="30"/>
  <c r="AG237" i="30"/>
  <c r="AG245" i="30"/>
  <c r="AG253" i="30"/>
  <c r="AG261" i="30"/>
  <c r="AG269" i="30"/>
  <c r="AG277" i="30"/>
  <c r="AG285" i="30"/>
  <c r="AG293" i="30"/>
  <c r="AG301" i="30"/>
  <c r="AG317" i="30"/>
  <c r="AG333" i="30"/>
  <c r="AG270" i="30"/>
  <c r="AG294" i="30"/>
  <c r="AG318" i="30"/>
  <c r="U3" i="30"/>
  <c r="AG320" i="30"/>
  <c r="AG328" i="30"/>
  <c r="V36" i="18"/>
  <c r="V32" i="18"/>
  <c r="V24" i="18"/>
  <c r="V16" i="18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R12" i="22" l="1"/>
  <c r="R125" i="22"/>
  <c r="R38" i="22"/>
  <c r="R157" i="22"/>
  <c r="R112" i="22"/>
  <c r="R55" i="22"/>
  <c r="R182" i="22"/>
  <c r="R100" i="22"/>
  <c r="R22" i="22"/>
  <c r="R135" i="22"/>
  <c r="R103" i="22"/>
  <c r="R37" i="22"/>
  <c r="R173" i="22"/>
  <c r="R79" i="22"/>
  <c r="R21" i="22"/>
  <c r="R134" i="22"/>
  <c r="R95" i="22"/>
  <c r="R46" i="22"/>
  <c r="R172" i="22"/>
  <c r="R5" i="22"/>
  <c r="R158" i="22"/>
  <c r="R183" i="22"/>
  <c r="R101" i="22"/>
  <c r="R31" i="22"/>
  <c r="R151" i="22"/>
  <c r="R108" i="22"/>
  <c r="R51" i="22"/>
  <c r="R178" i="22"/>
  <c r="R96" i="22"/>
  <c r="R7" i="22"/>
  <c r="R131" i="22"/>
  <c r="R92" i="22"/>
  <c r="R33" i="22"/>
  <c r="R169" i="22"/>
  <c r="R75" i="22"/>
  <c r="R6" i="22"/>
  <c r="R130" i="22"/>
  <c r="R91" i="22"/>
  <c r="R36" i="22"/>
  <c r="R168" i="22"/>
  <c r="R63" i="22"/>
  <c r="R109" i="22"/>
  <c r="R52" i="22"/>
  <c r="R179" i="22"/>
  <c r="R97" i="22"/>
  <c r="R27" i="22"/>
  <c r="R147" i="22"/>
  <c r="R104" i="22"/>
  <c r="R48" i="22"/>
  <c r="R174" i="22"/>
  <c r="R76" i="22"/>
  <c r="R3" i="22"/>
  <c r="R127" i="22"/>
  <c r="R89" i="22"/>
  <c r="R18" i="22"/>
  <c r="R153" i="22"/>
  <c r="R64" i="22"/>
  <c r="R165" i="22"/>
  <c r="R126" i="22"/>
  <c r="R85" i="22"/>
  <c r="R17" i="22"/>
  <c r="R141" i="22"/>
  <c r="R49" i="22"/>
  <c r="R152" i="22"/>
  <c r="R105" i="22"/>
  <c r="R45" i="22"/>
  <c r="R94" i="22"/>
  <c r="R35" i="22"/>
  <c r="R16" i="22"/>
  <c r="R175" i="22"/>
  <c r="R90" i="22"/>
  <c r="R23" i="22"/>
  <c r="R136" i="22"/>
  <c r="R93" i="22"/>
  <c r="R44" i="22"/>
  <c r="R170" i="22"/>
  <c r="R72" i="22"/>
  <c r="R166" i="22"/>
  <c r="R121" i="22"/>
  <c r="R86" i="22"/>
  <c r="R14" i="22"/>
  <c r="R142" i="22"/>
  <c r="R50" i="22"/>
  <c r="R162" i="22"/>
  <c r="R117" i="22"/>
  <c r="R71" i="22"/>
  <c r="R13" i="22"/>
  <c r="R137" i="22"/>
  <c r="R39" i="22"/>
  <c r="R148" i="22"/>
  <c r="R42" i="22"/>
  <c r="R28" i="22"/>
  <c r="R171" i="22"/>
  <c r="R77" i="22"/>
  <c r="R19" i="22"/>
  <c r="R132" i="22"/>
  <c r="R87" i="22"/>
  <c r="R41" i="22"/>
  <c r="R160" i="22"/>
  <c r="R65" i="22"/>
  <c r="R163" i="22"/>
  <c r="R118" i="22"/>
  <c r="R68" i="22"/>
  <c r="R10" i="22"/>
  <c r="R138" i="22"/>
  <c r="R43" i="22"/>
  <c r="R159" i="22"/>
  <c r="R113" i="22"/>
  <c r="R67" i="22"/>
  <c r="R9" i="22"/>
  <c r="R120" i="22"/>
  <c r="R32" i="22"/>
  <c r="R144" i="22"/>
  <c r="R84" i="22"/>
  <c r="R133" i="22"/>
  <c r="R161" i="22"/>
  <c r="R73" i="22"/>
  <c r="R8" i="22"/>
  <c r="R128" i="22"/>
  <c r="R83" i="22"/>
  <c r="R34" i="22"/>
  <c r="R143" i="22"/>
  <c r="R58" i="22"/>
  <c r="R156" i="22"/>
  <c r="R114" i="22"/>
  <c r="R61" i="22"/>
  <c r="R4" i="22"/>
  <c r="R123" i="22"/>
  <c r="R40" i="22"/>
  <c r="R155" i="22"/>
  <c r="R110" i="22"/>
  <c r="R60" i="22"/>
  <c r="R184" i="22"/>
  <c r="R98" i="22"/>
  <c r="R81" i="22"/>
  <c r="R154" i="22"/>
  <c r="R66" i="22"/>
  <c r="R167" i="22"/>
  <c r="R119" i="22"/>
  <c r="R80" i="22"/>
  <c r="R15" i="22"/>
  <c r="R139" i="22"/>
  <c r="R30" i="22"/>
  <c r="R150" i="22"/>
  <c r="R111" i="22"/>
  <c r="R54" i="22"/>
  <c r="R181" i="22"/>
  <c r="R99" i="22"/>
  <c r="R29" i="22"/>
  <c r="R149" i="22"/>
  <c r="R106" i="22"/>
  <c r="R57" i="22"/>
  <c r="R180" i="22"/>
  <c r="R88" i="22"/>
  <c r="R24" i="22"/>
  <c r="R129" i="22"/>
  <c r="R70" i="22"/>
  <c r="R56" i="22"/>
  <c r="R140" i="22"/>
  <c r="R62" i="22"/>
  <c r="R164" i="22"/>
  <c r="R115" i="22"/>
  <c r="R69" i="22"/>
  <c r="R11" i="22"/>
  <c r="R124" i="22"/>
  <c r="R26" i="22"/>
  <c r="R146" i="22"/>
  <c r="R107" i="22"/>
  <c r="R47" i="22"/>
  <c r="R177" i="22"/>
  <c r="R82" i="22"/>
  <c r="R25" i="22"/>
  <c r="R145" i="22"/>
  <c r="R102" i="22"/>
  <c r="R53" i="22"/>
  <c r="R176" i="22"/>
  <c r="R78" i="22"/>
  <c r="R20" i="22"/>
  <c r="R122" i="22"/>
  <c r="R59" i="22"/>
  <c r="R74" i="22"/>
  <c r="R116" i="22"/>
  <c r="AP4" i="30"/>
  <c r="AV4" i="30"/>
  <c r="AR4" i="30" s="1"/>
  <c r="AX4" i="30"/>
  <c r="AW4" i="30" s="1"/>
  <c r="AP5" i="30"/>
  <c r="AU5" i="30" s="1"/>
  <c r="AQ5" i="30" s="1"/>
  <c r="AV5" i="30"/>
  <c r="AR5" i="30" s="1"/>
  <c r="AX5" i="30"/>
  <c r="AW5" i="30" s="1"/>
  <c r="AP6" i="30"/>
  <c r="AV6" i="30"/>
  <c r="AR6" i="30" s="1"/>
  <c r="AX6" i="30"/>
  <c r="AW6" i="30" s="1"/>
  <c r="AP7" i="30"/>
  <c r="AV7" i="30"/>
  <c r="AR7" i="30" s="1"/>
  <c r="AX7" i="30"/>
  <c r="AW7" i="30" s="1"/>
  <c r="AP8" i="30"/>
  <c r="AV8" i="30"/>
  <c r="AR8" i="30" s="1"/>
  <c r="AX8" i="30"/>
  <c r="AW8" i="30" s="1"/>
  <c r="H64" i="29"/>
  <c r="AP9" i="30"/>
  <c r="AV9" i="30"/>
  <c r="AR9" i="30" s="1"/>
  <c r="AX9" i="30"/>
  <c r="AW9" i="30" s="1"/>
  <c r="F4" i="21"/>
  <c r="L4" i="21"/>
  <c r="K4" i="21" s="1"/>
  <c r="AP10" i="30"/>
  <c r="AV10" i="30"/>
  <c r="AR10" i="30" s="1"/>
  <c r="AX10" i="30"/>
  <c r="AW10" i="30" s="1"/>
  <c r="F5" i="21"/>
  <c r="L5" i="21"/>
  <c r="K5" i="21" s="1"/>
  <c r="AP11" i="30"/>
  <c r="AV11" i="30"/>
  <c r="AR11" i="30" s="1"/>
  <c r="AX11" i="30"/>
  <c r="AW11" i="30" s="1"/>
  <c r="AP12" i="30"/>
  <c r="AV12" i="30"/>
  <c r="AR12" i="30" s="1"/>
  <c r="AX12" i="30"/>
  <c r="AW12" i="30" s="1"/>
  <c r="AP13" i="30"/>
  <c r="AV13" i="30"/>
  <c r="AR13" i="30" s="1"/>
  <c r="AX13" i="30"/>
  <c r="AW13" i="30" s="1"/>
  <c r="F6" i="21"/>
  <c r="L6" i="21"/>
  <c r="K6" i="21" s="1"/>
  <c r="AP14" i="30"/>
  <c r="AU14" i="30" s="1"/>
  <c r="AQ14" i="30" s="1"/>
  <c r="AV14" i="30"/>
  <c r="AR14" i="30" s="1"/>
  <c r="AX14" i="30"/>
  <c r="AW14" i="30" s="1"/>
  <c r="AP15" i="30"/>
  <c r="AV15" i="30"/>
  <c r="AR15" i="30" s="1"/>
  <c r="AX15" i="30"/>
  <c r="AW15" i="30" s="1"/>
  <c r="AP16" i="30"/>
  <c r="AV16" i="30"/>
  <c r="AR16" i="30" s="1"/>
  <c r="AX16" i="30"/>
  <c r="AW16" i="30" s="1"/>
  <c r="AP17" i="30"/>
  <c r="AV17" i="30"/>
  <c r="AR17" i="30" s="1"/>
  <c r="AX17" i="30"/>
  <c r="AW17" i="30" s="1"/>
  <c r="AP18" i="30"/>
  <c r="AU18" i="30" s="1"/>
  <c r="AQ18" i="30" s="1"/>
  <c r="AV18" i="30"/>
  <c r="AR18" i="30" s="1"/>
  <c r="AX18" i="30"/>
  <c r="AW18" i="30" s="1"/>
  <c r="AP19" i="30"/>
  <c r="AU19" i="30" s="1"/>
  <c r="AQ19" i="30" s="1"/>
  <c r="AV19" i="30"/>
  <c r="AR19" i="30" s="1"/>
  <c r="AX19" i="30"/>
  <c r="AW19" i="30" s="1"/>
  <c r="AP20" i="30"/>
  <c r="AU20" i="30" s="1"/>
  <c r="AQ20" i="30" s="1"/>
  <c r="AV20" i="30"/>
  <c r="AR20" i="30" s="1"/>
  <c r="AX20" i="30"/>
  <c r="AW20" i="30" s="1"/>
  <c r="AP21" i="30"/>
  <c r="AU21" i="30" s="1"/>
  <c r="AQ21" i="30" s="1"/>
  <c r="AV21" i="30"/>
  <c r="AR21" i="30" s="1"/>
  <c r="AX21" i="30"/>
  <c r="AW21" i="30" s="1"/>
  <c r="AP22" i="30"/>
  <c r="AU22" i="30" s="1"/>
  <c r="AQ22" i="30" s="1"/>
  <c r="AV22" i="30"/>
  <c r="AR22" i="30" s="1"/>
  <c r="AX22" i="30"/>
  <c r="AW22" i="30" s="1"/>
  <c r="AP23" i="30"/>
  <c r="AU23" i="30" s="1"/>
  <c r="AQ23" i="30" s="1"/>
  <c r="AV23" i="30"/>
  <c r="AR23" i="30" s="1"/>
  <c r="AX23" i="30"/>
  <c r="AW23" i="30" s="1"/>
  <c r="AP24" i="30"/>
  <c r="AU24" i="30" s="1"/>
  <c r="AQ24" i="30" s="1"/>
  <c r="AV24" i="30"/>
  <c r="AR24" i="30" s="1"/>
  <c r="AX24" i="30"/>
  <c r="AW24" i="30" s="1"/>
  <c r="AP25" i="30"/>
  <c r="AU25" i="30" s="1"/>
  <c r="AQ25" i="30" s="1"/>
  <c r="AV25" i="30"/>
  <c r="AR25" i="30" s="1"/>
  <c r="AX25" i="30"/>
  <c r="AW25" i="30" s="1"/>
  <c r="AP26" i="30"/>
  <c r="AV26" i="30"/>
  <c r="AR26" i="30" s="1"/>
  <c r="AX26" i="30"/>
  <c r="AW26" i="30" s="1"/>
  <c r="AP27" i="30"/>
  <c r="AV27" i="30"/>
  <c r="AR27" i="30" s="1"/>
  <c r="AX27" i="30"/>
  <c r="AW27" i="30" s="1"/>
  <c r="F7" i="21"/>
  <c r="L7" i="21"/>
  <c r="K7" i="21" s="1"/>
  <c r="H63" i="29"/>
  <c r="AP28" i="30"/>
  <c r="AV28" i="30"/>
  <c r="AR28" i="30" s="1"/>
  <c r="AX28" i="30"/>
  <c r="AW28" i="30" s="1"/>
  <c r="AP29" i="30"/>
  <c r="AU29" i="30" s="1"/>
  <c r="AQ29" i="30" s="1"/>
  <c r="AV29" i="30"/>
  <c r="AR29" i="30" s="1"/>
  <c r="AX29" i="30"/>
  <c r="AW29" i="30" s="1"/>
  <c r="AP30" i="30"/>
  <c r="AV30" i="30"/>
  <c r="AR30" i="30" s="1"/>
  <c r="AX30" i="30"/>
  <c r="AW30" i="30" s="1"/>
  <c r="F8" i="21"/>
  <c r="L8" i="21"/>
  <c r="K8" i="21" s="1"/>
  <c r="AP31" i="30"/>
  <c r="AV31" i="30"/>
  <c r="AR31" i="30" s="1"/>
  <c r="AX31" i="30"/>
  <c r="AW31" i="30" s="1"/>
  <c r="AP32" i="30"/>
  <c r="AV32" i="30"/>
  <c r="AR32" i="30" s="1"/>
  <c r="AX32" i="30"/>
  <c r="AW32" i="30" s="1"/>
  <c r="F9" i="21"/>
  <c r="L9" i="21"/>
  <c r="K9" i="21" s="1"/>
  <c r="AP33" i="30"/>
  <c r="AV33" i="30"/>
  <c r="AR33" i="30" s="1"/>
  <c r="AX33" i="30"/>
  <c r="AW33" i="30" s="1"/>
  <c r="AP34" i="30"/>
  <c r="AV34" i="30"/>
  <c r="AR34" i="30" s="1"/>
  <c r="AX34" i="30"/>
  <c r="AW34" i="30" s="1"/>
  <c r="AP35" i="30"/>
  <c r="AV35" i="30"/>
  <c r="AR35" i="30" s="1"/>
  <c r="AX35" i="30"/>
  <c r="AW35" i="30" s="1"/>
  <c r="F10" i="21"/>
  <c r="L10" i="21"/>
  <c r="K10" i="21" s="1"/>
  <c r="AP36" i="30"/>
  <c r="AV36" i="30"/>
  <c r="AR36" i="30" s="1"/>
  <c r="AX36" i="30"/>
  <c r="AW36" i="30" s="1"/>
  <c r="F11" i="21"/>
  <c r="L11" i="21"/>
  <c r="K11" i="21" s="1"/>
  <c r="H62" i="29"/>
  <c r="H61" i="29"/>
  <c r="H60" i="29"/>
  <c r="AP37" i="30"/>
  <c r="AU37" i="30" s="1"/>
  <c r="AQ37" i="30" s="1"/>
  <c r="AV37" i="30"/>
  <c r="AR37" i="30" s="1"/>
  <c r="AX37" i="30"/>
  <c r="AW37" i="30" s="1"/>
  <c r="AP38" i="30"/>
  <c r="AU38" i="30" s="1"/>
  <c r="AQ38" i="30" s="1"/>
  <c r="AV38" i="30"/>
  <c r="AR38" i="30" s="1"/>
  <c r="AX38" i="30"/>
  <c r="AW38" i="30" s="1"/>
  <c r="H59" i="29"/>
  <c r="AP39" i="30"/>
  <c r="AU39" i="30" s="1"/>
  <c r="AQ39" i="30" s="1"/>
  <c r="AV39" i="30"/>
  <c r="AR39" i="30" s="1"/>
  <c r="AX39" i="30"/>
  <c r="AW39" i="30" s="1"/>
  <c r="AP40" i="30"/>
  <c r="AV40" i="30"/>
  <c r="AR40" i="30" s="1"/>
  <c r="AX40" i="30"/>
  <c r="AW40" i="30" s="1"/>
  <c r="F12" i="21"/>
  <c r="L12" i="21"/>
  <c r="K12" i="21" s="1"/>
  <c r="H58" i="29"/>
  <c r="AP41" i="30"/>
  <c r="AV41" i="30"/>
  <c r="AR41" i="30" s="1"/>
  <c r="AX41" i="30"/>
  <c r="AW41" i="30" s="1"/>
  <c r="AP42" i="30"/>
  <c r="AU42" i="30" s="1"/>
  <c r="AQ42" i="30" s="1"/>
  <c r="AV42" i="30"/>
  <c r="AR42" i="30" s="1"/>
  <c r="AX42" i="30"/>
  <c r="AW42" i="30" s="1"/>
  <c r="AP43" i="30"/>
  <c r="AU43" i="30" s="1"/>
  <c r="AQ43" i="30" s="1"/>
  <c r="AV43" i="30"/>
  <c r="AR43" i="30" s="1"/>
  <c r="AX43" i="30"/>
  <c r="AW43" i="30" s="1"/>
  <c r="AP44" i="30"/>
  <c r="AU44" i="30" s="1"/>
  <c r="AQ44" i="30" s="1"/>
  <c r="AV44" i="30"/>
  <c r="AR44" i="30" s="1"/>
  <c r="AX44" i="30"/>
  <c r="AW44" i="30" s="1"/>
  <c r="H57" i="29"/>
  <c r="AP45" i="30"/>
  <c r="AV45" i="30"/>
  <c r="AR45" i="30" s="1"/>
  <c r="AX45" i="30"/>
  <c r="AW45" i="30" s="1"/>
  <c r="F13" i="21"/>
  <c r="L13" i="21"/>
  <c r="K13" i="21" s="1"/>
  <c r="AP46" i="30"/>
  <c r="AV46" i="30"/>
  <c r="AR46" i="30" s="1"/>
  <c r="AX46" i="30"/>
  <c r="AW46" i="30" s="1"/>
  <c r="AP47" i="30"/>
  <c r="AU47" i="30" s="1"/>
  <c r="AQ47" i="30" s="1"/>
  <c r="AV47" i="30"/>
  <c r="AR47" i="30" s="1"/>
  <c r="AX47" i="30"/>
  <c r="AW47" i="30" s="1"/>
  <c r="AP48" i="30"/>
  <c r="AV48" i="30"/>
  <c r="AR48" i="30" s="1"/>
  <c r="AX48" i="30"/>
  <c r="AW48" i="30" s="1"/>
  <c r="AP49" i="30"/>
  <c r="AV49" i="30"/>
  <c r="AR49" i="30" s="1"/>
  <c r="AX49" i="30"/>
  <c r="AW49" i="30" s="1"/>
  <c r="AP50" i="30"/>
  <c r="AV50" i="30"/>
  <c r="AR50" i="30" s="1"/>
  <c r="AX50" i="30"/>
  <c r="AW50" i="30" s="1"/>
  <c r="AP51" i="30"/>
  <c r="AU51" i="30" s="1"/>
  <c r="AQ51" i="30" s="1"/>
  <c r="AV51" i="30"/>
  <c r="AR51" i="30" s="1"/>
  <c r="AX51" i="30"/>
  <c r="AW51" i="30" s="1"/>
  <c r="AP52" i="30"/>
  <c r="AV52" i="30"/>
  <c r="AR52" i="30" s="1"/>
  <c r="AX52" i="30"/>
  <c r="AW52" i="30" s="1"/>
  <c r="F14" i="21"/>
  <c r="L14" i="21"/>
  <c r="K14" i="21" s="1"/>
  <c r="AP53" i="30"/>
  <c r="AV53" i="30"/>
  <c r="AR53" i="30" s="1"/>
  <c r="AX53" i="30"/>
  <c r="AW53" i="30" s="1"/>
  <c r="AP54" i="30"/>
  <c r="AV54" i="30"/>
  <c r="AR54" i="30" s="1"/>
  <c r="AX54" i="30"/>
  <c r="AW54" i="30" s="1"/>
  <c r="F15" i="21"/>
  <c r="L15" i="21"/>
  <c r="K15" i="21" s="1"/>
  <c r="AP55" i="30"/>
  <c r="AV55" i="30"/>
  <c r="AR55" i="30" s="1"/>
  <c r="AX55" i="30"/>
  <c r="AW55" i="30" s="1"/>
  <c r="F16" i="21"/>
  <c r="L16" i="21"/>
  <c r="K16" i="21" s="1"/>
  <c r="AP56" i="30"/>
  <c r="AV56" i="30"/>
  <c r="AR56" i="30" s="1"/>
  <c r="AX56" i="30"/>
  <c r="AW56" i="30" s="1"/>
  <c r="AP57" i="30"/>
  <c r="AV57" i="30"/>
  <c r="AR57" i="30" s="1"/>
  <c r="AX57" i="30"/>
  <c r="AW57" i="30" s="1"/>
  <c r="F17" i="21"/>
  <c r="L17" i="21"/>
  <c r="K17" i="21" s="1"/>
  <c r="AP58" i="30"/>
  <c r="AU58" i="30" s="1"/>
  <c r="AQ58" i="30" s="1"/>
  <c r="AV58" i="30"/>
  <c r="AR58" i="30" s="1"/>
  <c r="AX58" i="30"/>
  <c r="AW58" i="30" s="1"/>
  <c r="AP59" i="30"/>
  <c r="AU59" i="30" s="1"/>
  <c r="AQ59" i="30" s="1"/>
  <c r="AV59" i="30"/>
  <c r="AR59" i="30" s="1"/>
  <c r="AX59" i="30"/>
  <c r="AW59" i="30" s="1"/>
  <c r="AP60" i="30"/>
  <c r="AU60" i="30" s="1"/>
  <c r="AQ60" i="30" s="1"/>
  <c r="AV60" i="30"/>
  <c r="AR60" i="30" s="1"/>
  <c r="AX60" i="30"/>
  <c r="AW60" i="30" s="1"/>
  <c r="F18" i="21"/>
  <c r="L18" i="21"/>
  <c r="K18" i="21" s="1"/>
  <c r="AP61" i="30"/>
  <c r="AV61" i="30"/>
  <c r="AR61" i="30" s="1"/>
  <c r="AX61" i="30"/>
  <c r="AW61" i="30" s="1"/>
  <c r="AP62" i="30"/>
  <c r="AV62" i="30"/>
  <c r="AR62" i="30" s="1"/>
  <c r="AX62" i="30"/>
  <c r="AW62" i="30" s="1"/>
  <c r="F19" i="21"/>
  <c r="L19" i="21"/>
  <c r="K19" i="21" s="1"/>
  <c r="AU33" i="30" l="1"/>
  <c r="AQ33" i="30" s="1"/>
  <c r="I13" i="21"/>
  <c r="AU12" i="30"/>
  <c r="AQ12" i="30" s="1"/>
  <c r="I6" i="21"/>
  <c r="Q99" i="22"/>
  <c r="P99" i="22"/>
  <c r="S99" i="22"/>
  <c r="AU41" i="30"/>
  <c r="AQ41" i="30" s="1"/>
  <c r="AU40" i="30"/>
  <c r="AQ40" i="30" s="1"/>
  <c r="AU28" i="30"/>
  <c r="AQ28" i="30" s="1"/>
  <c r="AU27" i="30"/>
  <c r="AQ27" i="30" s="1"/>
  <c r="AU13" i="30"/>
  <c r="AQ13" i="30" s="1"/>
  <c r="AU9" i="30"/>
  <c r="AQ9" i="30" s="1"/>
  <c r="I4" i="21"/>
  <c r="M4" i="21" s="1"/>
  <c r="J4" i="21" s="1"/>
  <c r="AU6" i="30"/>
  <c r="AQ6" i="30" s="1"/>
  <c r="P47" i="22"/>
  <c r="S47" i="22"/>
  <c r="Q47" i="22"/>
  <c r="AU35" i="30"/>
  <c r="AQ35" i="30" s="1"/>
  <c r="I11" i="21"/>
  <c r="AU10" i="30"/>
  <c r="AQ10" i="30" s="1"/>
  <c r="P176" i="22"/>
  <c r="S176" i="22"/>
  <c r="Q176" i="22"/>
  <c r="Q107" i="22"/>
  <c r="P107" i="22"/>
  <c r="S107" i="22"/>
  <c r="Q62" i="22"/>
  <c r="S62" i="22"/>
  <c r="P62" i="22"/>
  <c r="S57" i="22"/>
  <c r="Q57" i="22"/>
  <c r="P57" i="22"/>
  <c r="S150" i="22"/>
  <c r="Q150" i="22"/>
  <c r="P150" i="22"/>
  <c r="Q154" i="22"/>
  <c r="S154" i="22"/>
  <c r="P154" i="22"/>
  <c r="Q123" i="22"/>
  <c r="P123" i="22"/>
  <c r="S123" i="22"/>
  <c r="Q83" i="22"/>
  <c r="S83" i="22"/>
  <c r="P83" i="22"/>
  <c r="Q32" i="22"/>
  <c r="P32" i="22"/>
  <c r="S32" i="22"/>
  <c r="Q10" i="22"/>
  <c r="S10" i="22"/>
  <c r="P10" i="22"/>
  <c r="P132" i="22"/>
  <c r="Q132" i="22"/>
  <c r="S132" i="22"/>
  <c r="S137" i="22"/>
  <c r="P137" i="22"/>
  <c r="Q137" i="22"/>
  <c r="S86" i="22"/>
  <c r="Q86" i="22"/>
  <c r="P86" i="22"/>
  <c r="P23" i="22"/>
  <c r="Q23" i="22"/>
  <c r="S23" i="22"/>
  <c r="Q152" i="22"/>
  <c r="S152" i="22"/>
  <c r="P152" i="22"/>
  <c r="P153" i="22"/>
  <c r="S153" i="22"/>
  <c r="Q153" i="22"/>
  <c r="Q104" i="22"/>
  <c r="S104" i="22"/>
  <c r="P104" i="22"/>
  <c r="Q168" i="22"/>
  <c r="S168" i="22"/>
  <c r="P168" i="22"/>
  <c r="P92" i="22"/>
  <c r="S92" i="22"/>
  <c r="Q92" i="22"/>
  <c r="P31" i="22"/>
  <c r="S31" i="22"/>
  <c r="Q31" i="22"/>
  <c r="S134" i="22"/>
  <c r="Q134" i="22"/>
  <c r="P134" i="22"/>
  <c r="P100" i="22"/>
  <c r="Q100" i="22"/>
  <c r="S100" i="22"/>
  <c r="AU49" i="30"/>
  <c r="AQ49" i="30" s="1"/>
  <c r="AU62" i="30"/>
  <c r="AQ62" i="30" s="1"/>
  <c r="AU54" i="30"/>
  <c r="AQ54" i="30" s="1"/>
  <c r="I16" i="21"/>
  <c r="AU48" i="30"/>
  <c r="AQ48" i="30" s="1"/>
  <c r="AU36" i="30"/>
  <c r="AQ36" i="30" s="1"/>
  <c r="I66" i="21"/>
  <c r="AU32" i="30"/>
  <c r="AQ32" i="30" s="1"/>
  <c r="AU17" i="30"/>
  <c r="AQ17" i="30" s="1"/>
  <c r="AU11" i="30"/>
  <c r="AQ11" i="30" s="1"/>
  <c r="I187" i="21"/>
  <c r="AU4" i="30"/>
  <c r="AQ4" i="30" s="1"/>
  <c r="P53" i="22"/>
  <c r="S53" i="22"/>
  <c r="Q53" i="22"/>
  <c r="P146" i="22"/>
  <c r="Q146" i="22"/>
  <c r="S146" i="22"/>
  <c r="P140" i="22"/>
  <c r="S140" i="22"/>
  <c r="Q140" i="22"/>
  <c r="P106" i="22"/>
  <c r="Q106" i="22"/>
  <c r="S106" i="22"/>
  <c r="S30" i="22"/>
  <c r="Q30" i="22"/>
  <c r="P30" i="22"/>
  <c r="S81" i="22"/>
  <c r="Q81" i="22"/>
  <c r="P81" i="22"/>
  <c r="P4" i="22"/>
  <c r="S4" i="22"/>
  <c r="Q4" i="22"/>
  <c r="Q128" i="22"/>
  <c r="P128" i="22"/>
  <c r="S128" i="22"/>
  <c r="Q120" i="22"/>
  <c r="S120" i="22"/>
  <c r="P120" i="22"/>
  <c r="P68" i="22"/>
  <c r="S68" i="22"/>
  <c r="Q68" i="22"/>
  <c r="Q19" i="22"/>
  <c r="S19" i="22"/>
  <c r="P19" i="22"/>
  <c r="P13" i="22"/>
  <c r="Q13" i="22"/>
  <c r="S13" i="22"/>
  <c r="Q121" i="22"/>
  <c r="S121" i="22"/>
  <c r="P121" i="22"/>
  <c r="Q90" i="22"/>
  <c r="S90" i="22"/>
  <c r="P90" i="22"/>
  <c r="P49" i="22"/>
  <c r="S49" i="22"/>
  <c r="Q49" i="22"/>
  <c r="Q18" i="22"/>
  <c r="S18" i="22"/>
  <c r="P18" i="22"/>
  <c r="Q147" i="22"/>
  <c r="P147" i="22"/>
  <c r="S147" i="22"/>
  <c r="P36" i="22"/>
  <c r="S36" i="22"/>
  <c r="Q36" i="22"/>
  <c r="Q131" i="22"/>
  <c r="P131" i="22"/>
  <c r="S131" i="22"/>
  <c r="P101" i="22"/>
  <c r="Q101" i="22"/>
  <c r="S101" i="22"/>
  <c r="P21" i="22"/>
  <c r="Q21" i="22"/>
  <c r="S21" i="22"/>
  <c r="Q182" i="22"/>
  <c r="S182" i="22"/>
  <c r="P182" i="22"/>
  <c r="Q102" i="22"/>
  <c r="S102" i="22"/>
  <c r="P102" i="22"/>
  <c r="P26" i="22"/>
  <c r="S26" i="22"/>
  <c r="Q26" i="22"/>
  <c r="Q56" i="22"/>
  <c r="S56" i="22"/>
  <c r="P56" i="22"/>
  <c r="S149" i="22"/>
  <c r="Q149" i="22"/>
  <c r="P149" i="22"/>
  <c r="Q139" i="22"/>
  <c r="P139" i="22"/>
  <c r="S139" i="22"/>
  <c r="Q98" i="22"/>
  <c r="P98" i="22"/>
  <c r="S98" i="22"/>
  <c r="P61" i="22"/>
  <c r="Q61" i="22"/>
  <c r="S61" i="22"/>
  <c r="Q8" i="22"/>
  <c r="S8" i="22"/>
  <c r="P8" i="22"/>
  <c r="P9" i="22"/>
  <c r="S9" i="22"/>
  <c r="Q9" i="22"/>
  <c r="S118" i="22"/>
  <c r="P118" i="22"/>
  <c r="Q118" i="22"/>
  <c r="P77" i="22"/>
  <c r="Q77" i="22"/>
  <c r="S77" i="22"/>
  <c r="Q71" i="22"/>
  <c r="P71" i="22"/>
  <c r="S71" i="22"/>
  <c r="S166" i="22"/>
  <c r="P166" i="22"/>
  <c r="Q166" i="22"/>
  <c r="P175" i="22"/>
  <c r="Q175" i="22"/>
  <c r="S175" i="22"/>
  <c r="S141" i="22"/>
  <c r="Q141" i="22"/>
  <c r="P141" i="22"/>
  <c r="P89" i="22"/>
  <c r="S89" i="22"/>
  <c r="Q89" i="22"/>
  <c r="Q27" i="22"/>
  <c r="S27" i="22"/>
  <c r="P27" i="22"/>
  <c r="S91" i="22"/>
  <c r="Q91" i="22"/>
  <c r="P91" i="22"/>
  <c r="P7" i="22"/>
  <c r="Q7" i="22"/>
  <c r="S7" i="22"/>
  <c r="P183" i="22"/>
  <c r="S183" i="22"/>
  <c r="Q183" i="22"/>
  <c r="P79" i="22"/>
  <c r="S79" i="22"/>
  <c r="Q79" i="22"/>
  <c r="P55" i="22"/>
  <c r="S55" i="22"/>
  <c r="Q55" i="22"/>
  <c r="AU55" i="30"/>
  <c r="AQ55" i="30" s="1"/>
  <c r="AU45" i="30"/>
  <c r="AQ45" i="30" s="1"/>
  <c r="AU15" i="30"/>
  <c r="AQ15" i="30" s="1"/>
  <c r="P74" i="22"/>
  <c r="Q74" i="22"/>
  <c r="S74" i="22"/>
  <c r="Q145" i="22"/>
  <c r="S145" i="22"/>
  <c r="P145" i="22"/>
  <c r="Q124" i="22"/>
  <c r="P124" i="22"/>
  <c r="S124" i="22"/>
  <c r="S70" i="22"/>
  <c r="Q70" i="22"/>
  <c r="P70" i="22"/>
  <c r="P29" i="22"/>
  <c r="Q29" i="22"/>
  <c r="S29" i="22"/>
  <c r="P15" i="22"/>
  <c r="S15" i="22"/>
  <c r="Q15" i="22"/>
  <c r="S184" i="22"/>
  <c r="P184" i="22"/>
  <c r="Q184" i="22"/>
  <c r="P114" i="22"/>
  <c r="Q114" i="22"/>
  <c r="S114" i="22"/>
  <c r="S73" i="22"/>
  <c r="Q73" i="22"/>
  <c r="P73" i="22"/>
  <c r="Q67" i="22"/>
  <c r="P67" i="22"/>
  <c r="S67" i="22"/>
  <c r="Q163" i="22"/>
  <c r="S163" i="22"/>
  <c r="P163" i="22"/>
  <c r="S171" i="22"/>
  <c r="Q171" i="22"/>
  <c r="P171" i="22"/>
  <c r="P117" i="22"/>
  <c r="S117" i="22"/>
  <c r="Q117" i="22"/>
  <c r="Q72" i="22"/>
  <c r="P72" i="22"/>
  <c r="S72" i="22"/>
  <c r="Q16" i="22"/>
  <c r="P16" i="22"/>
  <c r="S16" i="22"/>
  <c r="S17" i="22"/>
  <c r="Q17" i="22"/>
  <c r="P17" i="22"/>
  <c r="P127" i="22"/>
  <c r="Q127" i="22"/>
  <c r="S127" i="22"/>
  <c r="S97" i="22"/>
  <c r="P97" i="22"/>
  <c r="Q97" i="22"/>
  <c r="Q130" i="22"/>
  <c r="S130" i="22"/>
  <c r="P130" i="22"/>
  <c r="Q96" i="22"/>
  <c r="P96" i="22"/>
  <c r="S96" i="22"/>
  <c r="S158" i="22"/>
  <c r="Q158" i="22"/>
  <c r="P158" i="22"/>
  <c r="S173" i="22"/>
  <c r="Q173" i="22"/>
  <c r="P173" i="22"/>
  <c r="Q112" i="22"/>
  <c r="S112" i="22"/>
  <c r="P112" i="22"/>
  <c r="S25" i="22"/>
  <c r="Q25" i="22"/>
  <c r="P25" i="22"/>
  <c r="P28" i="22"/>
  <c r="Q28" i="22"/>
  <c r="S28" i="22"/>
  <c r="Q162" i="22"/>
  <c r="S162" i="22"/>
  <c r="P162" i="22"/>
  <c r="Q170" i="22"/>
  <c r="P170" i="22"/>
  <c r="S170" i="22"/>
  <c r="S35" i="22"/>
  <c r="Q35" i="22"/>
  <c r="P35" i="22"/>
  <c r="P85" i="22"/>
  <c r="S85" i="22"/>
  <c r="Q85" i="22"/>
  <c r="P3" i="22"/>
  <c r="Q3" i="22"/>
  <c r="Q179" i="22"/>
  <c r="P179" i="22"/>
  <c r="S179" i="22"/>
  <c r="S6" i="22"/>
  <c r="Q6" i="22"/>
  <c r="P6" i="22"/>
  <c r="P178" i="22"/>
  <c r="S178" i="22"/>
  <c r="Q178" i="22"/>
  <c r="P5" i="22"/>
  <c r="Q5" i="22"/>
  <c r="S5" i="22"/>
  <c r="P37" i="22"/>
  <c r="S37" i="22"/>
  <c r="Q37" i="22"/>
  <c r="S157" i="22"/>
  <c r="Q157" i="22"/>
  <c r="P157" i="22"/>
  <c r="AU7" i="30"/>
  <c r="AQ7" i="30" s="1"/>
  <c r="AU46" i="30"/>
  <c r="AQ46" i="30" s="1"/>
  <c r="I14" i="21"/>
  <c r="Q59" i="22"/>
  <c r="P59" i="22"/>
  <c r="S59" i="22"/>
  <c r="S80" i="22"/>
  <c r="Q80" i="22"/>
  <c r="P80" i="22"/>
  <c r="P156" i="22"/>
  <c r="Q156" i="22"/>
  <c r="S156" i="22"/>
  <c r="S113" i="22"/>
  <c r="P113" i="22"/>
  <c r="Q113" i="22"/>
  <c r="S65" i="22"/>
  <c r="Q65" i="22"/>
  <c r="P65" i="22"/>
  <c r="AU52" i="30"/>
  <c r="AQ52" i="30" s="1"/>
  <c r="AU34" i="30"/>
  <c r="AQ34" i="30" s="1"/>
  <c r="I10" i="21"/>
  <c r="AU30" i="30"/>
  <c r="AQ30" i="30" s="1"/>
  <c r="AU8" i="30"/>
  <c r="AQ8" i="30" s="1"/>
  <c r="I5" i="21"/>
  <c r="M5" i="21" s="1"/>
  <c r="J5" i="21" s="1"/>
  <c r="P122" i="22"/>
  <c r="Q122" i="22"/>
  <c r="S122" i="22"/>
  <c r="Q82" i="22"/>
  <c r="S82" i="22"/>
  <c r="P82" i="22"/>
  <c r="P69" i="22"/>
  <c r="S69" i="22"/>
  <c r="Q69" i="22"/>
  <c r="Q24" i="22"/>
  <c r="S24" i="22"/>
  <c r="P24" i="22"/>
  <c r="S181" i="22"/>
  <c r="P181" i="22"/>
  <c r="Q181" i="22"/>
  <c r="Q119" i="22"/>
  <c r="S119" i="22"/>
  <c r="P119" i="22"/>
  <c r="S110" i="22"/>
  <c r="Q110" i="22"/>
  <c r="P110" i="22"/>
  <c r="P58" i="22"/>
  <c r="Q58" i="22"/>
  <c r="S58" i="22"/>
  <c r="P133" i="22"/>
  <c r="Q133" i="22"/>
  <c r="S133" i="22"/>
  <c r="Q159" i="22"/>
  <c r="S159" i="22"/>
  <c r="P159" i="22"/>
  <c r="Q160" i="22"/>
  <c r="S160" i="22"/>
  <c r="P160" i="22"/>
  <c r="Q42" i="22"/>
  <c r="P42" i="22"/>
  <c r="S42" i="22"/>
  <c r="P50" i="22"/>
  <c r="Q50" i="22"/>
  <c r="S50" i="22"/>
  <c r="P44" i="22"/>
  <c r="Q44" i="22"/>
  <c r="S44" i="22"/>
  <c r="S94" i="22"/>
  <c r="P94" i="22"/>
  <c r="Q94" i="22"/>
  <c r="Q126" i="22"/>
  <c r="S126" i="22"/>
  <c r="P126" i="22"/>
  <c r="P76" i="22"/>
  <c r="Q76" i="22"/>
  <c r="S76" i="22"/>
  <c r="P52" i="22"/>
  <c r="S52" i="22"/>
  <c r="Q52" i="22"/>
  <c r="Q75" i="22"/>
  <c r="P75" i="22"/>
  <c r="S75" i="22"/>
  <c r="S51" i="22"/>
  <c r="Q51" i="22"/>
  <c r="P51" i="22"/>
  <c r="Q172" i="22"/>
  <c r="S172" i="22"/>
  <c r="P172" i="22"/>
  <c r="P103" i="22"/>
  <c r="Q103" i="22"/>
  <c r="S103" i="22"/>
  <c r="Q38" i="22"/>
  <c r="S38" i="22"/>
  <c r="P38" i="22"/>
  <c r="P11" i="22"/>
  <c r="Q11" i="22"/>
  <c r="S11" i="22"/>
  <c r="P60" i="22"/>
  <c r="Q60" i="22"/>
  <c r="S60" i="22"/>
  <c r="Q161" i="22"/>
  <c r="P161" i="22"/>
  <c r="S161" i="22"/>
  <c r="AU61" i="30"/>
  <c r="AQ61" i="30" s="1"/>
  <c r="I19" i="21"/>
  <c r="AU57" i="30"/>
  <c r="AQ57" i="30" s="1"/>
  <c r="I18" i="21"/>
  <c r="AU53" i="30"/>
  <c r="AQ53" i="30" s="1"/>
  <c r="I15" i="21"/>
  <c r="AU31" i="30"/>
  <c r="AQ31" i="30" s="1"/>
  <c r="I9" i="21"/>
  <c r="AU16" i="30"/>
  <c r="AQ16" i="30" s="1"/>
  <c r="P20" i="22"/>
  <c r="S20" i="22"/>
  <c r="Q20" i="22"/>
  <c r="S177" i="22"/>
  <c r="P177" i="22"/>
  <c r="Q177" i="22"/>
  <c r="Q115" i="22"/>
  <c r="S115" i="22"/>
  <c r="P115" i="22"/>
  <c r="Q88" i="22"/>
  <c r="S88" i="22"/>
  <c r="P88" i="22"/>
  <c r="S54" i="22"/>
  <c r="P54" i="22"/>
  <c r="Q54" i="22"/>
  <c r="Q167" i="22"/>
  <c r="P167" i="22"/>
  <c r="S167" i="22"/>
  <c r="Q155" i="22"/>
  <c r="S155" i="22"/>
  <c r="P155" i="22"/>
  <c r="Q143" i="22"/>
  <c r="P143" i="22"/>
  <c r="S143" i="22"/>
  <c r="P84" i="22"/>
  <c r="Q84" i="22"/>
  <c r="S84" i="22"/>
  <c r="Q43" i="22"/>
  <c r="P43" i="22"/>
  <c r="S43" i="22"/>
  <c r="Q41" i="22"/>
  <c r="S41" i="22"/>
  <c r="P41" i="22"/>
  <c r="P148" i="22"/>
  <c r="S148" i="22"/>
  <c r="Q148" i="22"/>
  <c r="S142" i="22"/>
  <c r="Q142" i="22"/>
  <c r="P142" i="22"/>
  <c r="P93" i="22"/>
  <c r="S93" i="22"/>
  <c r="Q93" i="22"/>
  <c r="P45" i="22"/>
  <c r="Q45" i="22"/>
  <c r="S45" i="22"/>
  <c r="S165" i="22"/>
  <c r="P165" i="22"/>
  <c r="Q165" i="22"/>
  <c r="S174" i="22"/>
  <c r="P174" i="22"/>
  <c r="Q174" i="22"/>
  <c r="P109" i="22"/>
  <c r="S109" i="22"/>
  <c r="Q109" i="22"/>
  <c r="P169" i="22"/>
  <c r="Q169" i="22"/>
  <c r="S169" i="22"/>
  <c r="P108" i="22"/>
  <c r="Q108" i="22"/>
  <c r="S108" i="22"/>
  <c r="S46" i="22"/>
  <c r="Q46" i="22"/>
  <c r="P46" i="22"/>
  <c r="P135" i="22"/>
  <c r="Q135" i="22"/>
  <c r="S135" i="22"/>
  <c r="P125" i="22"/>
  <c r="Q125" i="22"/>
  <c r="S125" i="22"/>
  <c r="P116" i="22"/>
  <c r="S116" i="22"/>
  <c r="Q116" i="22"/>
  <c r="AU56" i="30"/>
  <c r="AQ56" i="30" s="1"/>
  <c r="I17" i="21"/>
  <c r="AU26" i="30"/>
  <c r="AQ26" i="30" s="1"/>
  <c r="I7" i="21"/>
  <c r="M7" i="21" s="1"/>
  <c r="J7" i="21" s="1"/>
  <c r="S129" i="22"/>
  <c r="Q129" i="22"/>
  <c r="P129" i="22"/>
  <c r="AU50" i="30"/>
  <c r="AQ50" i="30" s="1"/>
  <c r="S78" i="22"/>
  <c r="P78" i="22"/>
  <c r="Q78" i="22"/>
  <c r="P164" i="22"/>
  <c r="S164" i="22"/>
  <c r="Q164" i="22"/>
  <c r="Q180" i="22"/>
  <c r="S180" i="22"/>
  <c r="P180" i="22"/>
  <c r="P111" i="22"/>
  <c r="Q111" i="22"/>
  <c r="S111" i="22"/>
  <c r="P66" i="22"/>
  <c r="Q66" i="22"/>
  <c r="S66" i="22"/>
  <c r="Q40" i="22"/>
  <c r="P40" i="22"/>
  <c r="S40" i="22"/>
  <c r="P34" i="22"/>
  <c r="Q34" i="22"/>
  <c r="S34" i="22"/>
  <c r="Q144" i="22"/>
  <c r="P144" i="22"/>
  <c r="S144" i="22"/>
  <c r="S138" i="22"/>
  <c r="Q138" i="22"/>
  <c r="P138" i="22"/>
  <c r="Q87" i="22"/>
  <c r="P87" i="22"/>
  <c r="S87" i="22"/>
  <c r="P39" i="22"/>
  <c r="Q39" i="22"/>
  <c r="S39" i="22"/>
  <c r="S14" i="22"/>
  <c r="Q14" i="22"/>
  <c r="P14" i="22"/>
  <c r="Q136" i="22"/>
  <c r="S136" i="22"/>
  <c r="P136" i="22"/>
  <c r="S105" i="22"/>
  <c r="P105" i="22"/>
  <c r="Q105" i="22"/>
  <c r="Q64" i="22"/>
  <c r="S64" i="22"/>
  <c r="P64" i="22"/>
  <c r="Q48" i="22"/>
  <c r="S48" i="22"/>
  <c r="P48" i="22"/>
  <c r="P63" i="22"/>
  <c r="S63" i="22"/>
  <c r="Q63" i="22"/>
  <c r="P33" i="22"/>
  <c r="S33" i="22"/>
  <c r="Q33" i="22"/>
  <c r="P151" i="22"/>
  <c r="S151" i="22"/>
  <c r="Q151" i="22"/>
  <c r="Q95" i="22"/>
  <c r="P95" i="22"/>
  <c r="S95" i="22"/>
  <c r="S22" i="22"/>
  <c r="Q22" i="22"/>
  <c r="P22" i="22"/>
  <c r="P12" i="22"/>
  <c r="S12" i="22"/>
  <c r="Q12" i="22"/>
  <c r="M6" i="21"/>
  <c r="J6" i="21" s="1"/>
  <c r="AP63" i="30"/>
  <c r="AV63" i="30"/>
  <c r="AR63" i="30" s="1"/>
  <c r="AX63" i="30"/>
  <c r="AW63" i="30" s="1"/>
  <c r="H56" i="29"/>
  <c r="AP64" i="30"/>
  <c r="AU64" i="30" s="1"/>
  <c r="AQ64" i="30" s="1"/>
  <c r="AV64" i="30"/>
  <c r="AR64" i="30" s="1"/>
  <c r="AX64" i="30"/>
  <c r="AW64" i="30" s="1"/>
  <c r="AP65" i="30"/>
  <c r="AU65" i="30" s="1"/>
  <c r="AQ65" i="30" s="1"/>
  <c r="AV65" i="30"/>
  <c r="AR65" i="30" s="1"/>
  <c r="AX65" i="30"/>
  <c r="AW65" i="30" s="1"/>
  <c r="AP66" i="30"/>
  <c r="AV66" i="30"/>
  <c r="AR66" i="30" s="1"/>
  <c r="AX66" i="30"/>
  <c r="AW66" i="30" s="1"/>
  <c r="AP67" i="30"/>
  <c r="AU67" i="30" s="1"/>
  <c r="AQ67" i="30" s="1"/>
  <c r="AV67" i="30"/>
  <c r="AR67" i="30" s="1"/>
  <c r="AX67" i="30"/>
  <c r="AW67" i="30" s="1"/>
  <c r="F20" i="21"/>
  <c r="L20" i="21"/>
  <c r="K20" i="21" s="1"/>
  <c r="AP68" i="30"/>
  <c r="AU68" i="30" s="1"/>
  <c r="AQ68" i="30" s="1"/>
  <c r="AV68" i="30"/>
  <c r="AR68" i="30" s="1"/>
  <c r="AX68" i="30"/>
  <c r="AW68" i="30" s="1"/>
  <c r="AU69" i="30"/>
  <c r="AQ69" i="30" s="1"/>
  <c r="AV69" i="30"/>
  <c r="AR69" i="30" s="1"/>
  <c r="AX69" i="30"/>
  <c r="AW69" i="30" s="1"/>
  <c r="H55" i="29"/>
  <c r="AP235" i="30"/>
  <c r="AU235" i="30" s="1"/>
  <c r="AQ235" i="30" s="1"/>
  <c r="AP70" i="30"/>
  <c r="AV70" i="30"/>
  <c r="AR70" i="30" s="1"/>
  <c r="AX70" i="30"/>
  <c r="AW70" i="30" s="1"/>
  <c r="H54" i="29"/>
  <c r="AP71" i="30"/>
  <c r="AU71" i="30" s="1"/>
  <c r="AQ71" i="30" s="1"/>
  <c r="AV71" i="30"/>
  <c r="AR71" i="30" s="1"/>
  <c r="AX71" i="30"/>
  <c r="AW71" i="30" s="1"/>
  <c r="AP72" i="30"/>
  <c r="AV72" i="30"/>
  <c r="AR72" i="30" s="1"/>
  <c r="AX72" i="30"/>
  <c r="AW72" i="30" s="1"/>
  <c r="AP73" i="30"/>
  <c r="AU73" i="30" s="1"/>
  <c r="AQ73" i="30" s="1"/>
  <c r="AV73" i="30"/>
  <c r="AR73" i="30" s="1"/>
  <c r="AX73" i="30"/>
  <c r="AW73" i="30" s="1"/>
  <c r="AP74" i="30"/>
  <c r="AV74" i="30"/>
  <c r="AR74" i="30" s="1"/>
  <c r="AX74" i="30"/>
  <c r="AW74" i="30" s="1"/>
  <c r="AP125" i="30"/>
  <c r="AP75" i="30"/>
  <c r="AU75" i="30" s="1"/>
  <c r="AQ75" i="30" s="1"/>
  <c r="AV75" i="30"/>
  <c r="AR75" i="30" s="1"/>
  <c r="AX75" i="30"/>
  <c r="AW75" i="30" s="1"/>
  <c r="AP76" i="30"/>
  <c r="AV76" i="30"/>
  <c r="AR76" i="30" s="1"/>
  <c r="AX76" i="30"/>
  <c r="AW76" i="30" s="1"/>
  <c r="AP77" i="30"/>
  <c r="AU77" i="30" s="1"/>
  <c r="AQ77" i="30" s="1"/>
  <c r="AV77" i="30"/>
  <c r="AR77" i="30" s="1"/>
  <c r="AX77" i="30"/>
  <c r="AW77" i="30" s="1"/>
  <c r="AP78" i="30"/>
  <c r="AV78" i="30"/>
  <c r="AR78" i="30" s="1"/>
  <c r="AX78" i="30"/>
  <c r="AW78" i="30" s="1"/>
  <c r="AP79" i="30"/>
  <c r="AV79" i="30"/>
  <c r="AR79" i="30" s="1"/>
  <c r="AX79" i="30"/>
  <c r="AW79" i="30" s="1"/>
  <c r="F21" i="21"/>
  <c r="L21" i="21"/>
  <c r="K21" i="21" s="1"/>
  <c r="AP80" i="30"/>
  <c r="AV80" i="30"/>
  <c r="AR80" i="30" s="1"/>
  <c r="AX80" i="30"/>
  <c r="AW80" i="30" s="1"/>
  <c r="AP81" i="30"/>
  <c r="AV81" i="30"/>
  <c r="AR81" i="30" s="1"/>
  <c r="AX81" i="30"/>
  <c r="AW81" i="30" s="1"/>
  <c r="AP82" i="30"/>
  <c r="AV82" i="30"/>
  <c r="AR82" i="30" s="1"/>
  <c r="AX82" i="30"/>
  <c r="AW82" i="30" s="1"/>
  <c r="AP83" i="30"/>
  <c r="AU83" i="30" s="1"/>
  <c r="AQ83" i="30" s="1"/>
  <c r="AV83" i="30"/>
  <c r="AR83" i="30" s="1"/>
  <c r="AX83" i="30"/>
  <c r="AW83" i="30" s="1"/>
  <c r="AP84" i="30"/>
  <c r="AV84" i="30"/>
  <c r="AR84" i="30" s="1"/>
  <c r="AX84" i="30"/>
  <c r="AW84" i="30" s="1"/>
  <c r="AP85" i="30"/>
  <c r="AU85" i="30" s="1"/>
  <c r="AQ85" i="30" s="1"/>
  <c r="AV85" i="30"/>
  <c r="AR85" i="30" s="1"/>
  <c r="AX85" i="30"/>
  <c r="AW85" i="30" s="1"/>
  <c r="AP86" i="30"/>
  <c r="AU86" i="30" s="1"/>
  <c r="AQ86" i="30" s="1"/>
  <c r="AV86" i="30"/>
  <c r="AR86" i="30" s="1"/>
  <c r="AX86" i="30"/>
  <c r="AW86" i="30" s="1"/>
  <c r="AP87" i="30"/>
  <c r="AU87" i="30" s="1"/>
  <c r="AQ87" i="30" s="1"/>
  <c r="AV87" i="30"/>
  <c r="AR87" i="30" s="1"/>
  <c r="AX87" i="30"/>
  <c r="AW87" i="30" s="1"/>
  <c r="AP88" i="30"/>
  <c r="AV88" i="30"/>
  <c r="AR88" i="30" s="1"/>
  <c r="AX88" i="30"/>
  <c r="AW88" i="30" s="1"/>
  <c r="AP89" i="30"/>
  <c r="AV89" i="30"/>
  <c r="AR89" i="30" s="1"/>
  <c r="AX89" i="30"/>
  <c r="AW89" i="30" s="1"/>
  <c r="AP90" i="30"/>
  <c r="AV90" i="30"/>
  <c r="AR90" i="30" s="1"/>
  <c r="AX90" i="30"/>
  <c r="AW90" i="30" s="1"/>
  <c r="AP91" i="30"/>
  <c r="AV91" i="30"/>
  <c r="AR91" i="30" s="1"/>
  <c r="AX91" i="30"/>
  <c r="AW91" i="30" s="1"/>
  <c r="AP92" i="30"/>
  <c r="AV92" i="30"/>
  <c r="AR92" i="30" s="1"/>
  <c r="AX92" i="30"/>
  <c r="AW92" i="30" s="1"/>
  <c r="F22" i="21"/>
  <c r="L22" i="21"/>
  <c r="K22" i="21" s="1"/>
  <c r="AP93" i="30"/>
  <c r="AV93" i="30"/>
  <c r="AR93" i="30" s="1"/>
  <c r="AX93" i="30"/>
  <c r="AW93" i="30" s="1"/>
  <c r="AP94" i="30"/>
  <c r="AU94" i="30" s="1"/>
  <c r="AQ94" i="30" s="1"/>
  <c r="AV94" i="30"/>
  <c r="AR94" i="30" s="1"/>
  <c r="AX94" i="30"/>
  <c r="AW94" i="30" s="1"/>
  <c r="H53" i="29"/>
  <c r="H52" i="29"/>
  <c r="AP95" i="30"/>
  <c r="AU95" i="30" s="1"/>
  <c r="AQ95" i="30" s="1"/>
  <c r="AV95" i="30"/>
  <c r="AR95" i="30" s="1"/>
  <c r="AX95" i="30"/>
  <c r="AW95" i="30" s="1"/>
  <c r="AP238" i="30"/>
  <c r="AP96" i="30"/>
  <c r="AU96" i="30" s="1"/>
  <c r="AQ96" i="30" s="1"/>
  <c r="AV96" i="30"/>
  <c r="AR96" i="30" s="1"/>
  <c r="AX96" i="30"/>
  <c r="AW96" i="30" s="1"/>
  <c r="AP97" i="30"/>
  <c r="AU97" i="30" s="1"/>
  <c r="AQ97" i="30" s="1"/>
  <c r="AV97" i="30"/>
  <c r="AR97" i="30" s="1"/>
  <c r="AX97" i="30"/>
  <c r="AW97" i="30" s="1"/>
  <c r="AP98" i="30"/>
  <c r="AU98" i="30" s="1"/>
  <c r="AQ98" i="30" s="1"/>
  <c r="AV98" i="30"/>
  <c r="AR98" i="30" s="1"/>
  <c r="AX98" i="30"/>
  <c r="AW98" i="30" s="1"/>
  <c r="AP99" i="30"/>
  <c r="AU99" i="30" s="1"/>
  <c r="AQ99" i="30" s="1"/>
  <c r="AV99" i="30"/>
  <c r="AR99" i="30" s="1"/>
  <c r="AX99" i="30"/>
  <c r="AW99" i="30" s="1"/>
  <c r="AP100" i="30"/>
  <c r="AU100" i="30" s="1"/>
  <c r="AQ100" i="30" s="1"/>
  <c r="AV100" i="30"/>
  <c r="AR100" i="30" s="1"/>
  <c r="AX100" i="30"/>
  <c r="AW100" i="30" s="1"/>
  <c r="AP101" i="30"/>
  <c r="AV101" i="30"/>
  <c r="AR101" i="30" s="1"/>
  <c r="AX101" i="30"/>
  <c r="AW101" i="30" s="1"/>
  <c r="AP295" i="30"/>
  <c r="AP102" i="30"/>
  <c r="AU102" i="30" s="1"/>
  <c r="AQ102" i="30" s="1"/>
  <c r="AV102" i="30"/>
  <c r="AR102" i="30" s="1"/>
  <c r="AX102" i="30"/>
  <c r="AW102" i="30" s="1"/>
  <c r="F23" i="21"/>
  <c r="L23" i="21"/>
  <c r="K23" i="21" s="1"/>
  <c r="AP103" i="30"/>
  <c r="AV103" i="30"/>
  <c r="AR103" i="30" s="1"/>
  <c r="AX103" i="30"/>
  <c r="AW103" i="30" s="1"/>
  <c r="AP104" i="30"/>
  <c r="AU104" i="30" s="1"/>
  <c r="AQ104" i="30" s="1"/>
  <c r="AV104" i="30"/>
  <c r="AR104" i="30" s="1"/>
  <c r="AX104" i="30"/>
  <c r="AW104" i="30" s="1"/>
  <c r="AP105" i="30"/>
  <c r="AV105" i="30"/>
  <c r="AR105" i="30" s="1"/>
  <c r="AX105" i="30"/>
  <c r="AW105" i="30" s="1"/>
  <c r="AP106" i="30"/>
  <c r="AU106" i="30" s="1"/>
  <c r="AQ106" i="30" s="1"/>
  <c r="AV106" i="30"/>
  <c r="AR106" i="30" s="1"/>
  <c r="AX106" i="30"/>
  <c r="AW106" i="30" s="1"/>
  <c r="F24" i="21"/>
  <c r="L24" i="21"/>
  <c r="K24" i="21" s="1"/>
  <c r="AP107" i="30"/>
  <c r="AU107" i="30" s="1"/>
  <c r="AQ107" i="30" s="1"/>
  <c r="AV107" i="30"/>
  <c r="AR107" i="30" s="1"/>
  <c r="AX107" i="30"/>
  <c r="AW107" i="30" s="1"/>
  <c r="AP108" i="30"/>
  <c r="AV108" i="30"/>
  <c r="AR108" i="30" s="1"/>
  <c r="AX108" i="30"/>
  <c r="AW108" i="30" s="1"/>
  <c r="AP109" i="30"/>
  <c r="AU109" i="30" s="1"/>
  <c r="AQ109" i="30" s="1"/>
  <c r="AV109" i="30"/>
  <c r="AR109" i="30" s="1"/>
  <c r="AX109" i="30"/>
  <c r="AW109" i="30" s="1"/>
  <c r="F25" i="21"/>
  <c r="L25" i="21"/>
  <c r="K25" i="21" s="1"/>
  <c r="AP110" i="30"/>
  <c r="AV110" i="30"/>
  <c r="AR110" i="30" s="1"/>
  <c r="AX110" i="30"/>
  <c r="AW110" i="30" s="1"/>
  <c r="AP111" i="30"/>
  <c r="AU111" i="30" s="1"/>
  <c r="AQ111" i="30" s="1"/>
  <c r="AV111" i="30"/>
  <c r="AR111" i="30" s="1"/>
  <c r="AX111" i="30"/>
  <c r="AW111" i="30" s="1"/>
  <c r="F26" i="21"/>
  <c r="L26" i="21"/>
  <c r="K26" i="21" s="1"/>
  <c r="AP112" i="30"/>
  <c r="AU112" i="30" s="1"/>
  <c r="AQ112" i="30" s="1"/>
  <c r="AV112" i="30"/>
  <c r="AR112" i="30" s="1"/>
  <c r="AX112" i="30"/>
  <c r="AW112" i="30" s="1"/>
  <c r="AP113" i="30"/>
  <c r="AU113" i="30" s="1"/>
  <c r="AQ113" i="30" s="1"/>
  <c r="AV113" i="30"/>
  <c r="AR113" i="30" s="1"/>
  <c r="AX113" i="30"/>
  <c r="AW113" i="30" s="1"/>
  <c r="AP114" i="30"/>
  <c r="AU114" i="30" s="1"/>
  <c r="AQ114" i="30" s="1"/>
  <c r="AV114" i="30"/>
  <c r="AR114" i="30" s="1"/>
  <c r="AX114" i="30"/>
  <c r="AW114" i="30" s="1"/>
  <c r="AP115" i="30"/>
  <c r="AU115" i="30" s="1"/>
  <c r="AQ115" i="30" s="1"/>
  <c r="AV115" i="30"/>
  <c r="AR115" i="30" s="1"/>
  <c r="AX115" i="30"/>
  <c r="AW115" i="30" s="1"/>
  <c r="AP116" i="30"/>
  <c r="AU116" i="30" s="1"/>
  <c r="AQ116" i="30" s="1"/>
  <c r="AV116" i="30"/>
  <c r="AR116" i="30" s="1"/>
  <c r="AX116" i="30"/>
  <c r="AW116" i="30" s="1"/>
  <c r="AP117" i="30"/>
  <c r="AV117" i="30"/>
  <c r="AR117" i="30" s="1"/>
  <c r="AX117" i="30"/>
  <c r="AW117" i="30" s="1"/>
  <c r="AP118" i="30"/>
  <c r="AV118" i="30"/>
  <c r="AR118" i="30" s="1"/>
  <c r="AX118" i="30"/>
  <c r="AW118" i="30" s="1"/>
  <c r="AP119" i="30"/>
  <c r="AV119" i="30"/>
  <c r="AR119" i="30" s="1"/>
  <c r="AX119" i="30"/>
  <c r="AW119" i="30" s="1"/>
  <c r="AP120" i="30"/>
  <c r="AU120" i="30" s="1"/>
  <c r="AQ120" i="30" s="1"/>
  <c r="AV120" i="30"/>
  <c r="AR120" i="30" s="1"/>
  <c r="AX120" i="30"/>
  <c r="AW120" i="30" s="1"/>
  <c r="AP121" i="30"/>
  <c r="AU121" i="30" s="1"/>
  <c r="AQ121" i="30" s="1"/>
  <c r="AV121" i="30"/>
  <c r="AR121" i="30" s="1"/>
  <c r="AX121" i="30"/>
  <c r="AW121" i="30" s="1"/>
  <c r="AP122" i="30"/>
  <c r="AV122" i="30"/>
  <c r="AR122" i="30" s="1"/>
  <c r="AX122" i="30"/>
  <c r="AW122" i="30" s="1"/>
  <c r="H51" i="29"/>
  <c r="AP123" i="30"/>
  <c r="AU123" i="30" s="1"/>
  <c r="AQ123" i="30" s="1"/>
  <c r="AV123" i="30"/>
  <c r="AR123" i="30" s="1"/>
  <c r="AX123" i="30"/>
  <c r="AW123" i="30" s="1"/>
  <c r="AP124" i="30"/>
  <c r="AU124" i="30" s="1"/>
  <c r="AQ124" i="30" s="1"/>
  <c r="AV124" i="30"/>
  <c r="AR124" i="30" s="1"/>
  <c r="AX124" i="30"/>
  <c r="AW124" i="30" s="1"/>
  <c r="AV125" i="30"/>
  <c r="AR125" i="30" s="1"/>
  <c r="AX125" i="30"/>
  <c r="AW125" i="30" s="1"/>
  <c r="AP126" i="30"/>
  <c r="AU126" i="30" s="1"/>
  <c r="AQ126" i="30" s="1"/>
  <c r="AV126" i="30"/>
  <c r="AR126" i="30" s="1"/>
  <c r="AX126" i="30"/>
  <c r="AW126" i="30" s="1"/>
  <c r="F27" i="21"/>
  <c r="L27" i="21"/>
  <c r="K27" i="21" s="1"/>
  <c r="AP127" i="30"/>
  <c r="AU127" i="30" s="1"/>
  <c r="AQ127" i="30" s="1"/>
  <c r="AV127" i="30"/>
  <c r="AR127" i="30" s="1"/>
  <c r="AX127" i="30"/>
  <c r="AW127" i="30" s="1"/>
  <c r="AP128" i="30"/>
  <c r="AP129" i="30"/>
  <c r="I29" i="21" s="1"/>
  <c r="AP130" i="30"/>
  <c r="I30" i="21" s="1"/>
  <c r="AP131" i="30"/>
  <c r="AP132" i="30"/>
  <c r="AU132" i="30" s="1"/>
  <c r="AQ132" i="30" s="1"/>
  <c r="AP133" i="30"/>
  <c r="AU133" i="30" s="1"/>
  <c r="AQ133" i="30" s="1"/>
  <c r="AP134" i="30"/>
  <c r="AU134" i="30" s="1"/>
  <c r="AQ134" i="30" s="1"/>
  <c r="AP135" i="30"/>
  <c r="I31" i="21" s="1"/>
  <c r="AP136" i="30"/>
  <c r="AP137" i="30"/>
  <c r="AU137" i="30" s="1"/>
  <c r="AQ137" i="30" s="1"/>
  <c r="AP138" i="30"/>
  <c r="AP139" i="30"/>
  <c r="I32" i="21" s="1"/>
  <c r="AP140" i="30"/>
  <c r="AU140" i="30" s="1"/>
  <c r="AQ140" i="30" s="1"/>
  <c r="AP141" i="30"/>
  <c r="I33" i="21" s="1"/>
  <c r="AP142" i="30"/>
  <c r="AP143" i="30"/>
  <c r="AU143" i="30" s="1"/>
  <c r="AQ143" i="30" s="1"/>
  <c r="AP144" i="30"/>
  <c r="AP145" i="30"/>
  <c r="I34" i="21" s="1"/>
  <c r="AP146" i="30"/>
  <c r="AU146" i="30" s="1"/>
  <c r="AQ146" i="30" s="1"/>
  <c r="AP147" i="30"/>
  <c r="I35" i="21" s="1"/>
  <c r="AP148" i="30"/>
  <c r="AU148" i="30" s="1"/>
  <c r="AQ148" i="30" s="1"/>
  <c r="AP149" i="30"/>
  <c r="AP150" i="30"/>
  <c r="AP151" i="30"/>
  <c r="AP152" i="30"/>
  <c r="I36" i="21" s="1"/>
  <c r="AP153" i="30"/>
  <c r="AU153" i="30" s="1"/>
  <c r="AQ153" i="30" s="1"/>
  <c r="AP154" i="30"/>
  <c r="AP155" i="30"/>
  <c r="AU155" i="30" s="1"/>
  <c r="AQ155" i="30" s="1"/>
  <c r="AP156" i="30"/>
  <c r="AU156" i="30" s="1"/>
  <c r="AQ156" i="30" s="1"/>
  <c r="AP157" i="30"/>
  <c r="AP158" i="30"/>
  <c r="AP159" i="30"/>
  <c r="AP160" i="30"/>
  <c r="AU160" i="30" s="1"/>
  <c r="AQ160" i="30" s="1"/>
  <c r="AP161" i="30"/>
  <c r="AU161" i="30" s="1"/>
  <c r="AQ161" i="30" s="1"/>
  <c r="AP162" i="30"/>
  <c r="AU162" i="30" s="1"/>
  <c r="AQ162" i="30" s="1"/>
  <c r="AP163" i="30"/>
  <c r="I37" i="21" s="1"/>
  <c r="AP164" i="30"/>
  <c r="AU164" i="30" s="1"/>
  <c r="AQ164" i="30" s="1"/>
  <c r="AP165" i="30"/>
  <c r="AU165" i="30" s="1"/>
  <c r="AQ165" i="30" s="1"/>
  <c r="AP166" i="30"/>
  <c r="AU166" i="30" s="1"/>
  <c r="AQ166" i="30" s="1"/>
  <c r="AP167" i="30"/>
  <c r="AU167" i="30" s="1"/>
  <c r="AQ167" i="30" s="1"/>
  <c r="AP168" i="30"/>
  <c r="AP169" i="30"/>
  <c r="AU169" i="30" s="1"/>
  <c r="AQ169" i="30" s="1"/>
  <c r="AP170" i="30"/>
  <c r="I38" i="21" s="1"/>
  <c r="AP171" i="30"/>
  <c r="AU171" i="30" s="1"/>
  <c r="AQ171" i="30" s="1"/>
  <c r="AP172" i="30"/>
  <c r="AU172" i="30" s="1"/>
  <c r="AQ172" i="30" s="1"/>
  <c r="AP173" i="30"/>
  <c r="AU173" i="30" s="1"/>
  <c r="AQ173" i="30" s="1"/>
  <c r="AP174" i="30"/>
  <c r="AU174" i="30" s="1"/>
  <c r="AQ174" i="30" s="1"/>
  <c r="AP175" i="30"/>
  <c r="AU175" i="30" s="1"/>
  <c r="AQ175" i="30" s="1"/>
  <c r="AP176" i="30"/>
  <c r="AP177" i="30"/>
  <c r="AP178" i="30"/>
  <c r="AP179" i="30"/>
  <c r="AP180" i="30"/>
  <c r="AU180" i="30" s="1"/>
  <c r="AQ180" i="30" s="1"/>
  <c r="AP181" i="30"/>
  <c r="AP182" i="30"/>
  <c r="AP183" i="30"/>
  <c r="AU183" i="30" s="1"/>
  <c r="AQ183" i="30" s="1"/>
  <c r="AP184" i="30"/>
  <c r="AU184" i="30" s="1"/>
  <c r="AQ184" i="30" s="1"/>
  <c r="AP185" i="30"/>
  <c r="AU185" i="30" s="1"/>
  <c r="AQ185" i="30" s="1"/>
  <c r="AP186" i="30"/>
  <c r="AU186" i="30" s="1"/>
  <c r="AQ186" i="30" s="1"/>
  <c r="AP187" i="30"/>
  <c r="I40" i="21" s="1"/>
  <c r="AP188" i="30"/>
  <c r="AU188" i="30" s="1"/>
  <c r="AQ188" i="30" s="1"/>
  <c r="AP189" i="30"/>
  <c r="AU189" i="30" s="1"/>
  <c r="AQ189" i="30" s="1"/>
  <c r="AP190" i="30"/>
  <c r="AU190" i="30" s="1"/>
  <c r="AQ190" i="30" s="1"/>
  <c r="AP191" i="30"/>
  <c r="AU191" i="30" s="1"/>
  <c r="AQ191" i="30" s="1"/>
  <c r="AP192" i="30"/>
  <c r="AU192" i="30" s="1"/>
  <c r="AQ192" i="30" s="1"/>
  <c r="AP193" i="30"/>
  <c r="AU193" i="30" s="1"/>
  <c r="AQ193" i="30" s="1"/>
  <c r="AP194" i="30"/>
  <c r="AU194" i="30" s="1"/>
  <c r="AQ194" i="30" s="1"/>
  <c r="AP195" i="30"/>
  <c r="I42" i="21" s="1"/>
  <c r="AP196" i="30"/>
  <c r="I47" i="21" s="1"/>
  <c r="AP197" i="30"/>
  <c r="AU197" i="30" s="1"/>
  <c r="AQ197" i="30" s="1"/>
  <c r="AP198" i="30"/>
  <c r="AU198" i="30" s="1"/>
  <c r="AQ198" i="30" s="1"/>
  <c r="AP199" i="30"/>
  <c r="AU199" i="30" s="1"/>
  <c r="AQ199" i="30" s="1"/>
  <c r="AP200" i="30"/>
  <c r="AU200" i="30" s="1"/>
  <c r="AQ200" i="30" s="1"/>
  <c r="AP201" i="30"/>
  <c r="AP202" i="30"/>
  <c r="AU202" i="30" s="1"/>
  <c r="AQ202" i="30" s="1"/>
  <c r="AP203" i="30"/>
  <c r="I44" i="21" s="1"/>
  <c r="AP204" i="30"/>
  <c r="AP205" i="30"/>
  <c r="AU205" i="30" s="1"/>
  <c r="AQ205" i="30" s="1"/>
  <c r="AP206" i="30"/>
  <c r="AU206" i="30" s="1"/>
  <c r="AQ206" i="30" s="1"/>
  <c r="AP207" i="30"/>
  <c r="AU207" i="30" s="1"/>
  <c r="AQ207" i="30" s="1"/>
  <c r="AP208" i="30"/>
  <c r="AU208" i="30" s="1"/>
  <c r="AQ208" i="30" s="1"/>
  <c r="AP209" i="30"/>
  <c r="AU209" i="30" s="1"/>
  <c r="AQ209" i="30" s="1"/>
  <c r="AP210" i="30"/>
  <c r="AP211" i="30"/>
  <c r="AU211" i="30" s="1"/>
  <c r="AQ211" i="30" s="1"/>
  <c r="AP212" i="30"/>
  <c r="AU212" i="30" s="1"/>
  <c r="AQ212" i="30" s="1"/>
  <c r="AP213" i="30"/>
  <c r="AP214" i="30"/>
  <c r="AU214" i="30" s="1"/>
  <c r="AQ214" i="30" s="1"/>
  <c r="AP215" i="30"/>
  <c r="AU215" i="30" s="1"/>
  <c r="AQ215" i="30" s="1"/>
  <c r="AP216" i="30"/>
  <c r="AU216" i="30" s="1"/>
  <c r="AQ216" i="30" s="1"/>
  <c r="AP217" i="30"/>
  <c r="AU217" i="30" s="1"/>
  <c r="AQ217" i="30" s="1"/>
  <c r="AP218" i="30"/>
  <c r="AU218" i="30" s="1"/>
  <c r="AQ218" i="30" s="1"/>
  <c r="AP219" i="30"/>
  <c r="AP220" i="30"/>
  <c r="AP221" i="30"/>
  <c r="AU221" i="30" s="1"/>
  <c r="AQ221" i="30" s="1"/>
  <c r="AP222" i="30"/>
  <c r="AU222" i="30" s="1"/>
  <c r="AQ222" i="30" s="1"/>
  <c r="AP223" i="30"/>
  <c r="AU223" i="30" s="1"/>
  <c r="AQ223" i="30" s="1"/>
  <c r="AP224" i="30"/>
  <c r="AU224" i="30" s="1"/>
  <c r="AQ224" i="30" s="1"/>
  <c r="AP225" i="30"/>
  <c r="AU225" i="30" s="1"/>
  <c r="AQ225" i="30" s="1"/>
  <c r="AP226" i="30"/>
  <c r="AU226" i="30" s="1"/>
  <c r="AQ226" i="30" s="1"/>
  <c r="AP227" i="30"/>
  <c r="AU227" i="30" s="1"/>
  <c r="AQ227" i="30" s="1"/>
  <c r="AP228" i="30"/>
  <c r="AU228" i="30" s="1"/>
  <c r="AQ228" i="30" s="1"/>
  <c r="AP229" i="30"/>
  <c r="AU229" i="30" s="1"/>
  <c r="AQ229" i="30" s="1"/>
  <c r="AP230" i="30"/>
  <c r="AP231" i="30"/>
  <c r="AU231" i="30" s="1"/>
  <c r="AQ231" i="30" s="1"/>
  <c r="AP232" i="30"/>
  <c r="AU232" i="30" s="1"/>
  <c r="AQ232" i="30" s="1"/>
  <c r="AP233" i="30"/>
  <c r="AU233" i="30" s="1"/>
  <c r="AQ233" i="30" s="1"/>
  <c r="AP234" i="30"/>
  <c r="AU234" i="30" s="1"/>
  <c r="AQ234" i="30" s="1"/>
  <c r="AP236" i="30"/>
  <c r="AP237" i="30"/>
  <c r="AU237" i="30" s="1"/>
  <c r="AQ237" i="30" s="1"/>
  <c r="AP239" i="30"/>
  <c r="I49" i="21" s="1"/>
  <c r="AP240" i="30"/>
  <c r="AP241" i="30"/>
  <c r="AP242" i="30"/>
  <c r="AP243" i="30"/>
  <c r="AU243" i="30" s="1"/>
  <c r="AQ243" i="30" s="1"/>
  <c r="AP244" i="30"/>
  <c r="AU244" i="30" s="1"/>
  <c r="AQ244" i="30" s="1"/>
  <c r="AP245" i="30"/>
  <c r="AP246" i="30"/>
  <c r="AU246" i="30" s="1"/>
  <c r="AQ246" i="30" s="1"/>
  <c r="AP247" i="30"/>
  <c r="AU247" i="30" s="1"/>
  <c r="AQ247" i="30" s="1"/>
  <c r="AP248" i="30"/>
  <c r="AU248" i="30" s="1"/>
  <c r="AQ248" i="30" s="1"/>
  <c r="AP249" i="30"/>
  <c r="AU249" i="30" s="1"/>
  <c r="AQ249" i="30" s="1"/>
  <c r="AP250" i="30"/>
  <c r="I304" i="21" s="1"/>
  <c r="AP251" i="30"/>
  <c r="AP252" i="30"/>
  <c r="AP253" i="30"/>
  <c r="AP254" i="30"/>
  <c r="AP255" i="30"/>
  <c r="AP256" i="30"/>
  <c r="AP257" i="30"/>
  <c r="AP258" i="30"/>
  <c r="I153" i="21" s="1"/>
  <c r="AP259" i="30"/>
  <c r="AP260" i="30"/>
  <c r="AP261" i="30"/>
  <c r="AP262" i="30"/>
  <c r="I244" i="21" s="1"/>
  <c r="AP263" i="30"/>
  <c r="I246" i="21" s="1"/>
  <c r="AP264" i="30"/>
  <c r="AP265" i="30"/>
  <c r="AP266" i="30"/>
  <c r="AP267" i="30"/>
  <c r="AP268" i="30"/>
  <c r="AP269" i="30"/>
  <c r="AP270" i="30"/>
  <c r="I239" i="21" s="1"/>
  <c r="AP271" i="30"/>
  <c r="AP272" i="30"/>
  <c r="I241" i="21" s="1"/>
  <c r="AP273" i="30"/>
  <c r="I51" i="21" s="1"/>
  <c r="AP274" i="30"/>
  <c r="AP275" i="30"/>
  <c r="AP276" i="30"/>
  <c r="AP277" i="30"/>
  <c r="AP278" i="30"/>
  <c r="AP279" i="30"/>
  <c r="AP280" i="30"/>
  <c r="AP281" i="30"/>
  <c r="AP282" i="30"/>
  <c r="AP283" i="30"/>
  <c r="AP284" i="30"/>
  <c r="I52" i="21" s="1"/>
  <c r="AP285" i="30"/>
  <c r="AP286" i="30"/>
  <c r="AP287" i="30"/>
  <c r="AP288" i="30"/>
  <c r="AP289" i="30"/>
  <c r="AP290" i="30"/>
  <c r="AP291" i="30"/>
  <c r="I250" i="21" s="1"/>
  <c r="AP292" i="30"/>
  <c r="I270" i="21" s="1"/>
  <c r="AP293" i="30"/>
  <c r="AP294" i="30"/>
  <c r="AP296" i="30"/>
  <c r="AP297" i="30"/>
  <c r="AP298" i="30"/>
  <c r="AP299" i="30"/>
  <c r="AP300" i="30"/>
  <c r="I312" i="21" s="1"/>
  <c r="AP301" i="30"/>
  <c r="AP302" i="30"/>
  <c r="AP303" i="30"/>
  <c r="I311" i="21" s="1"/>
  <c r="AP304" i="30"/>
  <c r="I222" i="21" s="1"/>
  <c r="AP305" i="30"/>
  <c r="AP306" i="30"/>
  <c r="AP307" i="30"/>
  <c r="AP308" i="30"/>
  <c r="I252" i="21" s="1"/>
  <c r="AP309" i="30"/>
  <c r="AP310" i="30"/>
  <c r="I206" i="21" s="1"/>
  <c r="AP311" i="30"/>
  <c r="AP312" i="30"/>
  <c r="AP313" i="30"/>
  <c r="AP314" i="30"/>
  <c r="AP315" i="30"/>
  <c r="AP316" i="30"/>
  <c r="AP317" i="30"/>
  <c r="AP318" i="30"/>
  <c r="AP319" i="30"/>
  <c r="I169" i="21" s="1"/>
  <c r="AP320" i="30"/>
  <c r="I227" i="21" s="1"/>
  <c r="AP321" i="30"/>
  <c r="AP322" i="30"/>
  <c r="AP323" i="30"/>
  <c r="AP324" i="30"/>
  <c r="AP325" i="30"/>
  <c r="AP326" i="30"/>
  <c r="AP327" i="30"/>
  <c r="AP328" i="30"/>
  <c r="AP329" i="30"/>
  <c r="AP330" i="30"/>
  <c r="AP331" i="30"/>
  <c r="AP332" i="30"/>
  <c r="AP333" i="30"/>
  <c r="M8" i="21"/>
  <c r="J8" i="21" s="1"/>
  <c r="AV128" i="30"/>
  <c r="AR128" i="30" s="1"/>
  <c r="AX128" i="30"/>
  <c r="AW128" i="30" s="1"/>
  <c r="F28" i="21"/>
  <c r="L28" i="21"/>
  <c r="K28" i="21" s="1"/>
  <c r="AV129" i="30"/>
  <c r="AR129" i="30" s="1"/>
  <c r="AX129" i="30"/>
  <c r="AW129" i="30" s="1"/>
  <c r="AV130" i="30"/>
  <c r="AR130" i="30" s="1"/>
  <c r="AX130" i="30"/>
  <c r="AW130" i="30" s="1"/>
  <c r="F29" i="21"/>
  <c r="L29" i="21"/>
  <c r="K29" i="21" s="1"/>
  <c r="AV131" i="30"/>
  <c r="AR131" i="30" s="1"/>
  <c r="AX131" i="30"/>
  <c r="AW131" i="30" s="1"/>
  <c r="F30" i="21"/>
  <c r="L30" i="21"/>
  <c r="K30" i="21" s="1"/>
  <c r="AV132" i="30"/>
  <c r="AR132" i="30" s="1"/>
  <c r="AX132" i="30"/>
  <c r="AW132" i="30" s="1"/>
  <c r="AV133" i="30"/>
  <c r="AR133" i="30" s="1"/>
  <c r="AX133" i="30"/>
  <c r="AW133" i="30" s="1"/>
  <c r="AV134" i="30"/>
  <c r="AR134" i="30" s="1"/>
  <c r="AX134" i="30"/>
  <c r="AW134" i="30" s="1"/>
  <c r="AV135" i="30"/>
  <c r="AR135" i="30" s="1"/>
  <c r="AX135" i="30"/>
  <c r="AW135" i="30" s="1"/>
  <c r="AV136" i="30"/>
  <c r="AR136" i="30" s="1"/>
  <c r="AX136" i="30"/>
  <c r="AW136" i="30" s="1"/>
  <c r="F31" i="21"/>
  <c r="L31" i="21"/>
  <c r="K31" i="21" s="1"/>
  <c r="AV137" i="30"/>
  <c r="AR137" i="30" s="1"/>
  <c r="AX137" i="30"/>
  <c r="AW137" i="30" s="1"/>
  <c r="AV138" i="30"/>
  <c r="AR138" i="30" s="1"/>
  <c r="AX138" i="30"/>
  <c r="AW138" i="30" s="1"/>
  <c r="AV139" i="30"/>
  <c r="AR139" i="30" s="1"/>
  <c r="AX139" i="30"/>
  <c r="AW139" i="30" s="1"/>
  <c r="AV140" i="30"/>
  <c r="AR140" i="30" s="1"/>
  <c r="AX140" i="30"/>
  <c r="AW140" i="30" s="1"/>
  <c r="F32" i="21"/>
  <c r="L32" i="21"/>
  <c r="K32" i="21" s="1"/>
  <c r="AV141" i="30"/>
  <c r="AR141" i="30" s="1"/>
  <c r="AX141" i="30"/>
  <c r="AW141" i="30" s="1"/>
  <c r="AV142" i="30"/>
  <c r="AR142" i="30" s="1"/>
  <c r="AX142" i="30"/>
  <c r="AW142" i="30" s="1"/>
  <c r="F33" i="21"/>
  <c r="L33" i="21"/>
  <c r="K33" i="21" s="1"/>
  <c r="AV143" i="30"/>
  <c r="AR143" i="30" s="1"/>
  <c r="AX143" i="30"/>
  <c r="AW143" i="30" s="1"/>
  <c r="AV144" i="30"/>
  <c r="AR144" i="30" s="1"/>
  <c r="AX144" i="30"/>
  <c r="AW144" i="30" s="1"/>
  <c r="AV145" i="30"/>
  <c r="AR145" i="30" s="1"/>
  <c r="AX145" i="30"/>
  <c r="AW145" i="30" s="1"/>
  <c r="AV146" i="30"/>
  <c r="AR146" i="30" s="1"/>
  <c r="AX146" i="30"/>
  <c r="AW146" i="30" s="1"/>
  <c r="F34" i="21"/>
  <c r="L34" i="21"/>
  <c r="K34" i="21" s="1"/>
  <c r="AV147" i="30"/>
  <c r="AR147" i="30" s="1"/>
  <c r="AX147" i="30"/>
  <c r="AW147" i="30" s="1"/>
  <c r="AV148" i="30"/>
  <c r="AR148" i="30" s="1"/>
  <c r="AX148" i="30"/>
  <c r="AW148" i="30" s="1"/>
  <c r="F35" i="21"/>
  <c r="L35" i="21"/>
  <c r="K35" i="21" s="1"/>
  <c r="AV149" i="30"/>
  <c r="AR149" i="30" s="1"/>
  <c r="AX149" i="30"/>
  <c r="AW149" i="30" s="1"/>
  <c r="AV150" i="30"/>
  <c r="AR150" i="30" s="1"/>
  <c r="AX150" i="30"/>
  <c r="AW150" i="30" s="1"/>
  <c r="AV151" i="30"/>
  <c r="AR151" i="30" s="1"/>
  <c r="AX151" i="30"/>
  <c r="AW151" i="30" s="1"/>
  <c r="AV152" i="30"/>
  <c r="AR152" i="30" s="1"/>
  <c r="AX152" i="30"/>
  <c r="AW152" i="30" s="1"/>
  <c r="AV153" i="30"/>
  <c r="AR153" i="30" s="1"/>
  <c r="AX153" i="30"/>
  <c r="AW153" i="30" s="1"/>
  <c r="F36" i="21"/>
  <c r="L36" i="21"/>
  <c r="K36" i="21" s="1"/>
  <c r="AV154" i="30"/>
  <c r="AR154" i="30" s="1"/>
  <c r="AX154" i="30"/>
  <c r="AW154" i="30" s="1"/>
  <c r="AV155" i="30"/>
  <c r="AR155" i="30" s="1"/>
  <c r="AX155" i="30"/>
  <c r="AW155" i="30" s="1"/>
  <c r="AV156" i="30"/>
  <c r="AR156" i="30" s="1"/>
  <c r="AX156" i="30"/>
  <c r="AW156" i="30" s="1"/>
  <c r="AV157" i="30"/>
  <c r="AR157" i="30" s="1"/>
  <c r="AX157" i="30"/>
  <c r="AW157" i="30" s="1"/>
  <c r="AV158" i="30"/>
  <c r="AR158" i="30" s="1"/>
  <c r="AX158" i="30"/>
  <c r="AW158" i="30" s="1"/>
  <c r="AV159" i="30"/>
  <c r="AR159" i="30" s="1"/>
  <c r="AX159" i="30"/>
  <c r="AW159" i="30" s="1"/>
  <c r="AV160" i="30"/>
  <c r="AR160" i="30" s="1"/>
  <c r="AX160" i="30"/>
  <c r="AW160" i="30" s="1"/>
  <c r="AV161" i="30"/>
  <c r="AR161" i="30" s="1"/>
  <c r="AX161" i="30"/>
  <c r="AW161" i="30" s="1"/>
  <c r="AV162" i="30"/>
  <c r="AR162" i="30" s="1"/>
  <c r="AX162" i="30"/>
  <c r="AW162" i="30" s="1"/>
  <c r="AV163" i="30"/>
  <c r="AR163" i="30" s="1"/>
  <c r="AX163" i="30"/>
  <c r="AW163" i="30" s="1"/>
  <c r="AV164" i="30"/>
  <c r="AR164" i="30" s="1"/>
  <c r="AX164" i="30"/>
  <c r="AW164" i="30" s="1"/>
  <c r="F37" i="21"/>
  <c r="L37" i="21"/>
  <c r="K37" i="21" s="1"/>
  <c r="AV165" i="30"/>
  <c r="AR165" i="30" s="1"/>
  <c r="AX165" i="30"/>
  <c r="AW165" i="30" s="1"/>
  <c r="AV166" i="30"/>
  <c r="AR166" i="30" s="1"/>
  <c r="AX166" i="30"/>
  <c r="AW166" i="30" s="1"/>
  <c r="AV167" i="30"/>
  <c r="AR167" i="30" s="1"/>
  <c r="AX167" i="30"/>
  <c r="AW167" i="30" s="1"/>
  <c r="AV168" i="30"/>
  <c r="AR168" i="30" s="1"/>
  <c r="AX168" i="30"/>
  <c r="AW168" i="30" s="1"/>
  <c r="AV169" i="30"/>
  <c r="AR169" i="30" s="1"/>
  <c r="AX169" i="30"/>
  <c r="AW169" i="30" s="1"/>
  <c r="AV170" i="30"/>
  <c r="AR170" i="30" s="1"/>
  <c r="AX170" i="30"/>
  <c r="AW170" i="30" s="1"/>
  <c r="AV171" i="30"/>
  <c r="AR171" i="30" s="1"/>
  <c r="AX171" i="30"/>
  <c r="AW171" i="30" s="1"/>
  <c r="F38" i="21"/>
  <c r="L38" i="21"/>
  <c r="K38" i="21" s="1"/>
  <c r="AV172" i="30"/>
  <c r="AR172" i="30" s="1"/>
  <c r="AX172" i="30"/>
  <c r="AW172" i="30" s="1"/>
  <c r="F39" i="21"/>
  <c r="L39" i="21"/>
  <c r="K39" i="21" s="1"/>
  <c r="AV173" i="30"/>
  <c r="AR173" i="30" s="1"/>
  <c r="AX173" i="30"/>
  <c r="AW173" i="30" s="1"/>
  <c r="AV174" i="30"/>
  <c r="AR174" i="30" s="1"/>
  <c r="AX174" i="30"/>
  <c r="AW174" i="30" s="1"/>
  <c r="AV175" i="30"/>
  <c r="AR175" i="30" s="1"/>
  <c r="AX175" i="30"/>
  <c r="AW175" i="30" s="1"/>
  <c r="AV176" i="30"/>
  <c r="AR176" i="30" s="1"/>
  <c r="AX176" i="30"/>
  <c r="AW176" i="30" s="1"/>
  <c r="AV177" i="30"/>
  <c r="AR177" i="30" s="1"/>
  <c r="AX177" i="30"/>
  <c r="AW177" i="30" s="1"/>
  <c r="AV178" i="30"/>
  <c r="AR178" i="30" s="1"/>
  <c r="AX178" i="30"/>
  <c r="AW178" i="30" s="1"/>
  <c r="AV179" i="30"/>
  <c r="AR179" i="30" s="1"/>
  <c r="AX179" i="30"/>
  <c r="AW179" i="30" s="1"/>
  <c r="AV180" i="30"/>
  <c r="AR180" i="30" s="1"/>
  <c r="AX180" i="30"/>
  <c r="AW180" i="30" s="1"/>
  <c r="AV181" i="30"/>
  <c r="AR181" i="30" s="1"/>
  <c r="AX181" i="30"/>
  <c r="AW181" i="30" s="1"/>
  <c r="AV182" i="30"/>
  <c r="AR182" i="30" s="1"/>
  <c r="AX182" i="30"/>
  <c r="AW182" i="30" s="1"/>
  <c r="AV183" i="30"/>
  <c r="AR183" i="30" s="1"/>
  <c r="AX183" i="30"/>
  <c r="AW183" i="30" s="1"/>
  <c r="AV184" i="30"/>
  <c r="AR184" i="30" s="1"/>
  <c r="AX184" i="30"/>
  <c r="AW184" i="30" s="1"/>
  <c r="AV185" i="30"/>
  <c r="AR185" i="30" s="1"/>
  <c r="AX185" i="30"/>
  <c r="AW185" i="30" s="1"/>
  <c r="AV186" i="30"/>
  <c r="AR186" i="30" s="1"/>
  <c r="AX186" i="30"/>
  <c r="AW186" i="30" s="1"/>
  <c r="AV187" i="30"/>
  <c r="AR187" i="30" s="1"/>
  <c r="AX187" i="30"/>
  <c r="AW187" i="30" s="1"/>
  <c r="AV188" i="30"/>
  <c r="AR188" i="30" s="1"/>
  <c r="AX188" i="30"/>
  <c r="AW188" i="30" s="1"/>
  <c r="F40" i="21"/>
  <c r="L40" i="21"/>
  <c r="K40" i="21" s="1"/>
  <c r="AV189" i="30"/>
  <c r="AR189" i="30" s="1"/>
  <c r="AX189" i="30"/>
  <c r="AW189" i="30" s="1"/>
  <c r="AV190" i="30"/>
  <c r="AR190" i="30" s="1"/>
  <c r="AX190" i="30"/>
  <c r="AW190" i="30" s="1"/>
  <c r="AV191" i="30"/>
  <c r="AR191" i="30" s="1"/>
  <c r="AX191" i="30"/>
  <c r="AW191" i="30" s="1"/>
  <c r="AV192" i="30"/>
  <c r="AR192" i="30" s="1"/>
  <c r="AX192" i="30"/>
  <c r="AW192" i="30" s="1"/>
  <c r="F41" i="21"/>
  <c r="L41" i="21"/>
  <c r="K41" i="21" s="1"/>
  <c r="AV193" i="30"/>
  <c r="AR193" i="30" s="1"/>
  <c r="AX193" i="30"/>
  <c r="AW193" i="30" s="1"/>
  <c r="AV194" i="30"/>
  <c r="AR194" i="30" s="1"/>
  <c r="AX194" i="30"/>
  <c r="AW194" i="30" s="1"/>
  <c r="AV195" i="30"/>
  <c r="AR195" i="30" s="1"/>
  <c r="AX195" i="30"/>
  <c r="AW195" i="30" s="1"/>
  <c r="AV196" i="30"/>
  <c r="AR196" i="30" s="1"/>
  <c r="AX196" i="30"/>
  <c r="AW196" i="30" s="1"/>
  <c r="F42" i="21"/>
  <c r="L42" i="21"/>
  <c r="K42" i="21" s="1"/>
  <c r="AV197" i="30"/>
  <c r="AR197" i="30" s="1"/>
  <c r="AX197" i="30"/>
  <c r="AW197" i="30" s="1"/>
  <c r="AV198" i="30"/>
  <c r="AR198" i="30" s="1"/>
  <c r="AX198" i="30"/>
  <c r="AW198" i="30" s="1"/>
  <c r="AV199" i="30"/>
  <c r="AR199" i="30" s="1"/>
  <c r="AX199" i="30"/>
  <c r="AW199" i="30" s="1"/>
  <c r="AV200" i="30"/>
  <c r="AR200" i="30" s="1"/>
  <c r="AX200" i="30"/>
  <c r="AW200" i="30" s="1"/>
  <c r="AV201" i="30"/>
  <c r="AR201" i="30" s="1"/>
  <c r="AX201" i="30"/>
  <c r="AW201" i="30" s="1"/>
  <c r="F43" i="21"/>
  <c r="L43" i="21"/>
  <c r="K43" i="21" s="1"/>
  <c r="AV202" i="30"/>
  <c r="AR202" i="30" s="1"/>
  <c r="AX202" i="30"/>
  <c r="AW202" i="30" s="1"/>
  <c r="AV203" i="30"/>
  <c r="AR203" i="30" s="1"/>
  <c r="AX203" i="30"/>
  <c r="AW203" i="30" s="1"/>
  <c r="AV204" i="30"/>
  <c r="AR204" i="30" s="1"/>
  <c r="AX204" i="30"/>
  <c r="AW204" i="30" s="1"/>
  <c r="F44" i="21"/>
  <c r="L44" i="21"/>
  <c r="K44" i="21" s="1"/>
  <c r="AV205" i="30"/>
  <c r="AR205" i="30" s="1"/>
  <c r="AX205" i="30"/>
  <c r="AW205" i="30" s="1"/>
  <c r="AV206" i="30"/>
  <c r="AR206" i="30" s="1"/>
  <c r="AX206" i="30"/>
  <c r="AW206" i="30" s="1"/>
  <c r="AV207" i="30"/>
  <c r="AR207" i="30" s="1"/>
  <c r="AX207" i="30"/>
  <c r="AW207" i="30" s="1"/>
  <c r="AV208" i="30"/>
  <c r="AR208" i="30" s="1"/>
  <c r="AX208" i="30"/>
  <c r="AW208" i="30" s="1"/>
  <c r="F45" i="21"/>
  <c r="L45" i="21"/>
  <c r="K45" i="21" s="1"/>
  <c r="AV209" i="30"/>
  <c r="AR209" i="30" s="1"/>
  <c r="AX209" i="30"/>
  <c r="AW209" i="30" s="1"/>
  <c r="F46" i="21"/>
  <c r="L46" i="21"/>
  <c r="K46" i="21" s="1"/>
  <c r="AV210" i="30"/>
  <c r="AR210" i="30" s="1"/>
  <c r="AX210" i="30"/>
  <c r="AW210" i="30" s="1"/>
  <c r="AV211" i="30"/>
  <c r="AR211" i="30" s="1"/>
  <c r="AX211" i="30"/>
  <c r="AW211" i="30" s="1"/>
  <c r="AV212" i="30"/>
  <c r="AR212" i="30" s="1"/>
  <c r="AX212" i="30"/>
  <c r="AW212" i="30" s="1"/>
  <c r="F47" i="21"/>
  <c r="L47" i="21"/>
  <c r="K47" i="21" s="1"/>
  <c r="AV213" i="30"/>
  <c r="AR213" i="30" s="1"/>
  <c r="AX213" i="30"/>
  <c r="AW213" i="30" s="1"/>
  <c r="AV214" i="30"/>
  <c r="AR214" i="30" s="1"/>
  <c r="AX214" i="30"/>
  <c r="AW214" i="30" s="1"/>
  <c r="AV215" i="30"/>
  <c r="AR215" i="30" s="1"/>
  <c r="AX215" i="30"/>
  <c r="AW215" i="30" s="1"/>
  <c r="AV216" i="30"/>
  <c r="AR216" i="30" s="1"/>
  <c r="AX216" i="30"/>
  <c r="AW216" i="30" s="1"/>
  <c r="AV217" i="30"/>
  <c r="AR217" i="30" s="1"/>
  <c r="AX217" i="30"/>
  <c r="AW217" i="30" s="1"/>
  <c r="AV218" i="30"/>
  <c r="AR218" i="30" s="1"/>
  <c r="AX218" i="30"/>
  <c r="AW218" i="30" s="1"/>
  <c r="AV219" i="30"/>
  <c r="AR219" i="30" s="1"/>
  <c r="AX219" i="30"/>
  <c r="AW219" i="30" s="1"/>
  <c r="AV220" i="30"/>
  <c r="AR220" i="30" s="1"/>
  <c r="AX220" i="30"/>
  <c r="AW220" i="30" s="1"/>
  <c r="AV221" i="30"/>
  <c r="AR221" i="30" s="1"/>
  <c r="AX221" i="30"/>
  <c r="AW221" i="30" s="1"/>
  <c r="AV222" i="30"/>
  <c r="AR222" i="30" s="1"/>
  <c r="AX222" i="30"/>
  <c r="AW222" i="30" s="1"/>
  <c r="AV223" i="30"/>
  <c r="AR223" i="30" s="1"/>
  <c r="AX223" i="30"/>
  <c r="AW223" i="30" s="1"/>
  <c r="AV224" i="30"/>
  <c r="AR224" i="30" s="1"/>
  <c r="AX224" i="30"/>
  <c r="AW224" i="30" s="1"/>
  <c r="AV225" i="30"/>
  <c r="AR225" i="30" s="1"/>
  <c r="AX225" i="30"/>
  <c r="AW225" i="30" s="1"/>
  <c r="AV226" i="30"/>
  <c r="AR226" i="30" s="1"/>
  <c r="AX226" i="30"/>
  <c r="AW226" i="30" s="1"/>
  <c r="F48" i="21"/>
  <c r="L48" i="21"/>
  <c r="K48" i="21" s="1"/>
  <c r="AV227" i="30"/>
  <c r="AR227" i="30" s="1"/>
  <c r="AX227" i="30"/>
  <c r="AW227" i="30" s="1"/>
  <c r="AV228" i="30"/>
  <c r="AR228" i="30" s="1"/>
  <c r="AX228" i="30"/>
  <c r="AW228" i="30" s="1"/>
  <c r="AV229" i="30"/>
  <c r="AR229" i="30" s="1"/>
  <c r="AX229" i="30"/>
  <c r="AW229" i="30" s="1"/>
  <c r="AV230" i="30"/>
  <c r="AR230" i="30" s="1"/>
  <c r="AX230" i="30"/>
  <c r="AW230" i="30" s="1"/>
  <c r="AV231" i="30"/>
  <c r="AR231" i="30" s="1"/>
  <c r="AX231" i="30"/>
  <c r="AW231" i="30" s="1"/>
  <c r="AV232" i="30"/>
  <c r="AR232" i="30" s="1"/>
  <c r="AX232" i="30"/>
  <c r="AW232" i="30" s="1"/>
  <c r="AV233" i="30"/>
  <c r="AR233" i="30" s="1"/>
  <c r="AX233" i="30"/>
  <c r="AW233" i="30" s="1"/>
  <c r="AV234" i="30"/>
  <c r="AR234" i="30" s="1"/>
  <c r="AX234" i="30"/>
  <c r="AW234" i="30" s="1"/>
  <c r="AV235" i="30"/>
  <c r="AR235" i="30" s="1"/>
  <c r="AX235" i="30"/>
  <c r="AW235" i="30" s="1"/>
  <c r="AV236" i="30"/>
  <c r="AR236" i="30" s="1"/>
  <c r="AX236" i="30"/>
  <c r="AW236" i="30" s="1"/>
  <c r="AV237" i="30"/>
  <c r="AR237" i="30" s="1"/>
  <c r="AX237" i="30"/>
  <c r="AW237" i="30" s="1"/>
  <c r="AV238" i="30"/>
  <c r="AR238" i="30" s="1"/>
  <c r="AX238" i="30"/>
  <c r="AW238" i="30" s="1"/>
  <c r="AV239" i="30"/>
  <c r="AR239" i="30" s="1"/>
  <c r="AX239" i="30"/>
  <c r="AW239" i="30" s="1"/>
  <c r="AV240" i="30"/>
  <c r="AR240" i="30" s="1"/>
  <c r="AX240" i="30"/>
  <c r="AW240" i="30" s="1"/>
  <c r="F49" i="21"/>
  <c r="L49" i="21"/>
  <c r="K49" i="21" s="1"/>
  <c r="AV241" i="30"/>
  <c r="AR241" i="30" s="1"/>
  <c r="AX241" i="30"/>
  <c r="AW241" i="30" s="1"/>
  <c r="AV242" i="30"/>
  <c r="AR242" i="30" s="1"/>
  <c r="AX242" i="30"/>
  <c r="AW242" i="30" s="1"/>
  <c r="AV243" i="30"/>
  <c r="AR243" i="30" s="1"/>
  <c r="AX243" i="30"/>
  <c r="AW243" i="30" s="1"/>
  <c r="AV244" i="30"/>
  <c r="AR244" i="30" s="1"/>
  <c r="AX244" i="30"/>
  <c r="AW244" i="30" s="1"/>
  <c r="AV245" i="30"/>
  <c r="AR245" i="30" s="1"/>
  <c r="AX245" i="30"/>
  <c r="AW245" i="30" s="1"/>
  <c r="AV246" i="30"/>
  <c r="AR246" i="30" s="1"/>
  <c r="AX246" i="30"/>
  <c r="AW246" i="30" s="1"/>
  <c r="AV247" i="30"/>
  <c r="AR247" i="30" s="1"/>
  <c r="AX247" i="30"/>
  <c r="AW247" i="30" s="1"/>
  <c r="AV248" i="30"/>
  <c r="AR248" i="30" s="1"/>
  <c r="AX248" i="30"/>
  <c r="AW248" i="30" s="1"/>
  <c r="AV249" i="30"/>
  <c r="AR249" i="30" s="1"/>
  <c r="AX249" i="30"/>
  <c r="AW249" i="30" s="1"/>
  <c r="I273" i="21" l="1"/>
  <c r="M49" i="21"/>
  <c r="J49" i="21" s="1"/>
  <c r="I221" i="21"/>
  <c r="I46" i="21"/>
  <c r="I313" i="21"/>
  <c r="I190" i="21"/>
  <c r="AU210" i="30"/>
  <c r="AQ210" i="30" s="1"/>
  <c r="I256" i="21"/>
  <c r="AU178" i="30"/>
  <c r="AQ178" i="30" s="1"/>
  <c r="I55" i="21"/>
  <c r="AU154" i="30"/>
  <c r="AQ154" i="30" s="1"/>
  <c r="I76" i="21"/>
  <c r="AU138" i="30"/>
  <c r="AQ138" i="30" s="1"/>
  <c r="I263" i="21"/>
  <c r="AU110" i="30"/>
  <c r="AQ110" i="30" s="1"/>
  <c r="I26" i="21"/>
  <c r="M26" i="21" s="1"/>
  <c r="J26" i="21" s="1"/>
  <c r="AU90" i="30"/>
  <c r="AQ90" i="30" s="1"/>
  <c r="I269" i="21"/>
  <c r="AU82" i="30"/>
  <c r="AQ82" i="30" s="1"/>
  <c r="I86" i="21"/>
  <c r="AU76" i="30"/>
  <c r="AQ76" i="30" s="1"/>
  <c r="I208" i="21"/>
  <c r="AU70" i="30"/>
  <c r="AQ70" i="30" s="1"/>
  <c r="I271" i="21"/>
  <c r="AU66" i="30"/>
  <c r="AQ66" i="30" s="1"/>
  <c r="I20" i="21"/>
  <c r="AU63" i="30"/>
  <c r="AQ63" i="30" s="1"/>
  <c r="I212" i="21"/>
  <c r="I43" i="21"/>
  <c r="I218" i="21"/>
  <c r="I307" i="21"/>
  <c r="I300" i="21"/>
  <c r="AU201" i="30"/>
  <c r="AQ201" i="30" s="1"/>
  <c r="I195" i="21"/>
  <c r="AU177" i="30"/>
  <c r="AQ177" i="30" s="1"/>
  <c r="I177" i="21"/>
  <c r="AU119" i="30"/>
  <c r="AQ119" i="30" s="1"/>
  <c r="I166" i="21"/>
  <c r="AU79" i="30"/>
  <c r="AQ79" i="30" s="1"/>
  <c r="I132" i="21"/>
  <c r="I258" i="21"/>
  <c r="I294" i="21"/>
  <c r="I216" i="21"/>
  <c r="AU242" i="30"/>
  <c r="AQ242" i="30" s="1"/>
  <c r="I288" i="21"/>
  <c r="AU176" i="30"/>
  <c r="AQ176" i="30" s="1"/>
  <c r="I249" i="21"/>
  <c r="AU168" i="30"/>
  <c r="AQ168" i="30" s="1"/>
  <c r="I302" i="21"/>
  <c r="AU144" i="30"/>
  <c r="AQ144" i="30" s="1"/>
  <c r="I50" i="21"/>
  <c r="AU136" i="30"/>
  <c r="AQ136" i="30" s="1"/>
  <c r="I262" i="21"/>
  <c r="AU128" i="30"/>
  <c r="AQ128" i="30" s="1"/>
  <c r="I217" i="21"/>
  <c r="AU122" i="30"/>
  <c r="AQ122" i="30" s="1"/>
  <c r="I209" i="21"/>
  <c r="AU88" i="30"/>
  <c r="AQ88" i="30" s="1"/>
  <c r="I202" i="21"/>
  <c r="AU80" i="30"/>
  <c r="AQ80" i="30" s="1"/>
  <c r="I248" i="21"/>
  <c r="I58" i="21"/>
  <c r="I100" i="21"/>
  <c r="I215" i="21"/>
  <c r="AU241" i="30"/>
  <c r="AQ241" i="30" s="1"/>
  <c r="I305" i="21"/>
  <c r="AU159" i="30"/>
  <c r="AQ159" i="30" s="1"/>
  <c r="I159" i="21"/>
  <c r="AU117" i="30"/>
  <c r="AQ117" i="30" s="1"/>
  <c r="I39" i="21"/>
  <c r="M39" i="21" s="1"/>
  <c r="J39" i="21" s="1"/>
  <c r="AU91" i="30"/>
  <c r="AQ91" i="30" s="1"/>
  <c r="I22" i="21"/>
  <c r="M22" i="21" s="1"/>
  <c r="J22" i="21" s="1"/>
  <c r="AU74" i="30"/>
  <c r="AQ74" i="30" s="1"/>
  <c r="I280" i="21"/>
  <c r="I56" i="21"/>
  <c r="I238" i="21"/>
  <c r="AU240" i="30"/>
  <c r="AQ240" i="30" s="1"/>
  <c r="I285" i="21"/>
  <c r="AU230" i="30"/>
  <c r="AQ230" i="30" s="1"/>
  <c r="I73" i="21"/>
  <c r="AU182" i="30"/>
  <c r="AQ182" i="30" s="1"/>
  <c r="I278" i="21"/>
  <c r="AU158" i="30"/>
  <c r="AQ158" i="30" s="1"/>
  <c r="I181" i="21"/>
  <c r="AU108" i="30"/>
  <c r="AQ108" i="30" s="1"/>
  <c r="I25" i="21"/>
  <c r="M25" i="21" s="1"/>
  <c r="J25" i="21" s="1"/>
  <c r="AU101" i="30"/>
  <c r="AQ101" i="30" s="1"/>
  <c r="I23" i="21"/>
  <c r="M23" i="21" s="1"/>
  <c r="J23" i="21" s="1"/>
  <c r="I57" i="21"/>
  <c r="I306" i="21"/>
  <c r="AU213" i="30"/>
  <c r="AQ213" i="30" s="1"/>
  <c r="I243" i="21"/>
  <c r="AU181" i="30"/>
  <c r="AQ181" i="30" s="1"/>
  <c r="I104" i="21"/>
  <c r="I41" i="21"/>
  <c r="M41" i="21" s="1"/>
  <c r="J41" i="21" s="1"/>
  <c r="AU149" i="30"/>
  <c r="AQ149" i="30" s="1"/>
  <c r="I296" i="21"/>
  <c r="AU105" i="30"/>
  <c r="AQ105" i="30" s="1"/>
  <c r="I24" i="21"/>
  <c r="M24" i="21" s="1"/>
  <c r="J24" i="21" s="1"/>
  <c r="AU89" i="30"/>
  <c r="AQ89" i="30" s="1"/>
  <c r="I268" i="21"/>
  <c r="AU81" i="30"/>
  <c r="AQ81" i="30" s="1"/>
  <c r="I117" i="21"/>
  <c r="AU72" i="30"/>
  <c r="AQ72" i="30" s="1"/>
  <c r="I158" i="21"/>
  <c r="I156" i="21"/>
  <c r="AU220" i="30"/>
  <c r="AQ220" i="30" s="1"/>
  <c r="I134" i="21"/>
  <c r="AU204" i="30"/>
  <c r="AQ204" i="30" s="1"/>
  <c r="I237" i="21"/>
  <c r="AU118" i="30"/>
  <c r="AQ118" i="30" s="1"/>
  <c r="I266" i="21"/>
  <c r="AU238" i="30"/>
  <c r="AQ238" i="30" s="1"/>
  <c r="I277" i="21"/>
  <c r="AU92" i="30"/>
  <c r="AQ92" i="30" s="1"/>
  <c r="I240" i="21"/>
  <c r="AU84" i="30"/>
  <c r="AQ84" i="30" s="1"/>
  <c r="Z3" i="18"/>
  <c r="I295" i="21"/>
  <c r="AU78" i="30"/>
  <c r="AQ78" i="30" s="1"/>
  <c r="I21" i="21"/>
  <c r="M21" i="21" s="1"/>
  <c r="J21" i="21" s="1"/>
  <c r="AU125" i="30"/>
  <c r="AQ125" i="30" s="1"/>
  <c r="I27" i="21"/>
  <c r="M27" i="21" s="1"/>
  <c r="J27" i="21" s="1"/>
  <c r="I308" i="21"/>
  <c r="I286" i="21"/>
  <c r="I310" i="21"/>
  <c r="AU245" i="30"/>
  <c r="AQ245" i="30" s="1"/>
  <c r="I292" i="21"/>
  <c r="AU236" i="30"/>
  <c r="AQ236" i="30" s="1"/>
  <c r="I297" i="21"/>
  <c r="AU219" i="30"/>
  <c r="AQ219" i="30" s="1"/>
  <c r="I276" i="21"/>
  <c r="AU179" i="30"/>
  <c r="AQ179" i="30" s="1"/>
  <c r="I298" i="21"/>
  <c r="AU131" i="30"/>
  <c r="AQ131" i="30" s="1"/>
  <c r="I79" i="21"/>
  <c r="AU103" i="30"/>
  <c r="AQ103" i="30" s="1"/>
  <c r="I253" i="21"/>
  <c r="AU93" i="30"/>
  <c r="AQ93" i="30" s="1"/>
  <c r="I293" i="21"/>
  <c r="I272" i="21"/>
  <c r="I230" i="21"/>
  <c r="I54" i="21"/>
  <c r="M45" i="21"/>
  <c r="J45" i="21" s="1"/>
  <c r="M38" i="21"/>
  <c r="J38" i="21" s="1"/>
  <c r="M10" i="21"/>
  <c r="J10" i="21" s="1"/>
  <c r="M9" i="21"/>
  <c r="J9" i="21" s="1"/>
  <c r="M12" i="21"/>
  <c r="J12" i="21" s="1"/>
  <c r="M11" i="21"/>
  <c r="J11" i="21" s="1"/>
  <c r="M14" i="21"/>
  <c r="J14" i="21" s="1"/>
  <c r="M13" i="21"/>
  <c r="J13" i="21" s="1"/>
  <c r="M16" i="21"/>
  <c r="J16" i="21" s="1"/>
  <c r="M15" i="21"/>
  <c r="J15" i="21" s="1"/>
  <c r="M18" i="21"/>
  <c r="J18" i="21" s="1"/>
  <c r="M17" i="21"/>
  <c r="J17" i="21" s="1"/>
  <c r="M20" i="21"/>
  <c r="J20" i="21" s="1"/>
  <c r="M19" i="21"/>
  <c r="J19" i="21" s="1"/>
  <c r="M48" i="21"/>
  <c r="J48" i="21" s="1"/>
  <c r="AU239" i="30"/>
  <c r="AQ239" i="30" s="1"/>
  <c r="AU170" i="30"/>
  <c r="AQ170" i="30" s="1"/>
  <c r="M28" i="21"/>
  <c r="J28" i="21" s="1"/>
  <c r="AU150" i="30"/>
  <c r="AQ150" i="30" s="1"/>
  <c r="M46" i="21"/>
  <c r="J46" i="21" s="1"/>
  <c r="AU157" i="30"/>
  <c r="AQ157" i="30" s="1"/>
  <c r="M33" i="21"/>
  <c r="J33" i="21" s="1"/>
  <c r="AU141" i="30"/>
  <c r="AQ141" i="30" s="1"/>
  <c r="AU203" i="30"/>
  <c r="AQ203" i="30" s="1"/>
  <c r="M44" i="21"/>
  <c r="J44" i="21" s="1"/>
  <c r="AU195" i="30"/>
  <c r="AQ195" i="30" s="1"/>
  <c r="M42" i="21"/>
  <c r="J42" i="21" s="1"/>
  <c r="AU187" i="30"/>
  <c r="AQ187" i="30" s="1"/>
  <c r="M40" i="21"/>
  <c r="J40" i="21" s="1"/>
  <c r="AU163" i="30"/>
  <c r="AQ163" i="30" s="1"/>
  <c r="M37" i="21"/>
  <c r="J37" i="21" s="1"/>
  <c r="AU147" i="30"/>
  <c r="AQ147" i="30" s="1"/>
  <c r="M35" i="21"/>
  <c r="J35" i="21" s="1"/>
  <c r="M32" i="21"/>
  <c r="J32" i="21" s="1"/>
  <c r="AU139" i="30"/>
  <c r="AQ139" i="30" s="1"/>
  <c r="AU142" i="30"/>
  <c r="AQ142" i="30" s="1"/>
  <c r="M47" i="21"/>
  <c r="J47" i="21" s="1"/>
  <c r="AU196" i="30"/>
  <c r="AQ196" i="30" s="1"/>
  <c r="AU130" i="30"/>
  <c r="AQ130" i="30" s="1"/>
  <c r="M30" i="21"/>
  <c r="J30" i="21" s="1"/>
  <c r="M34" i="21"/>
  <c r="J34" i="21" s="1"/>
  <c r="AU145" i="30"/>
  <c r="AQ145" i="30" s="1"/>
  <c r="AU129" i="30"/>
  <c r="AQ129" i="30" s="1"/>
  <c r="M29" i="21"/>
  <c r="J29" i="21" s="1"/>
  <c r="M36" i="21"/>
  <c r="J36" i="21" s="1"/>
  <c r="AU152" i="30"/>
  <c r="AQ152" i="30" s="1"/>
  <c r="M43" i="21"/>
  <c r="J43" i="21" s="1"/>
  <c r="AU151" i="30"/>
  <c r="AQ151" i="30" s="1"/>
  <c r="M31" i="21"/>
  <c r="J31" i="21" s="1"/>
  <c r="AU135" i="30"/>
  <c r="AQ135" i="30" s="1"/>
  <c r="F50" i="21" l="1"/>
  <c r="L50" i="21"/>
  <c r="K50" i="21" s="1"/>
  <c r="AU250" i="30"/>
  <c r="AQ250" i="30" s="1"/>
  <c r="AV250" i="30"/>
  <c r="AR250" i="30" s="1"/>
  <c r="AX250" i="30"/>
  <c r="AW250" i="30" s="1"/>
  <c r="AU251" i="30"/>
  <c r="AQ251" i="30" s="1"/>
  <c r="AV251" i="30"/>
  <c r="AR251" i="30" s="1"/>
  <c r="AX251" i="30"/>
  <c r="AW251" i="30" s="1"/>
  <c r="AU252" i="30"/>
  <c r="AQ252" i="30" s="1"/>
  <c r="AV252" i="30"/>
  <c r="AR252" i="30" s="1"/>
  <c r="AX252" i="30"/>
  <c r="AW252" i="30" s="1"/>
  <c r="AU253" i="30"/>
  <c r="AQ253" i="30" s="1"/>
  <c r="AV253" i="30"/>
  <c r="AR253" i="30" s="1"/>
  <c r="AX253" i="30"/>
  <c r="AW253" i="30" s="1"/>
  <c r="AU254" i="30"/>
  <c r="AQ254" i="30" s="1"/>
  <c r="AV254" i="30"/>
  <c r="AR254" i="30" s="1"/>
  <c r="AX254" i="30"/>
  <c r="AW254" i="30" s="1"/>
  <c r="AU255" i="30"/>
  <c r="AQ255" i="30" s="1"/>
  <c r="AV255" i="30"/>
  <c r="AR255" i="30" s="1"/>
  <c r="AX255" i="30"/>
  <c r="AW255" i="30" s="1"/>
  <c r="AU256" i="30"/>
  <c r="AQ256" i="30" s="1"/>
  <c r="AV256" i="30"/>
  <c r="AR256" i="30" s="1"/>
  <c r="AX256" i="30"/>
  <c r="AW256" i="30" s="1"/>
  <c r="AU257" i="30"/>
  <c r="AQ257" i="30" s="1"/>
  <c r="AV257" i="30"/>
  <c r="AR257" i="30" s="1"/>
  <c r="AX257" i="30"/>
  <c r="AW257" i="30" s="1"/>
  <c r="AU258" i="30"/>
  <c r="AQ258" i="30" s="1"/>
  <c r="AV258" i="30"/>
  <c r="AR258" i="30" s="1"/>
  <c r="AX258" i="30"/>
  <c r="AW258" i="30" s="1"/>
  <c r="AU259" i="30"/>
  <c r="AQ259" i="30" s="1"/>
  <c r="AV259" i="30"/>
  <c r="AR259" i="30" s="1"/>
  <c r="AX259" i="30"/>
  <c r="AW259" i="30" s="1"/>
  <c r="AU260" i="30"/>
  <c r="AQ260" i="30" s="1"/>
  <c r="AV260" i="30"/>
  <c r="AR260" i="30" s="1"/>
  <c r="AX260" i="30"/>
  <c r="AW260" i="30" s="1"/>
  <c r="AU261" i="30"/>
  <c r="AQ261" i="30" s="1"/>
  <c r="AV261" i="30"/>
  <c r="AR261" i="30" s="1"/>
  <c r="AX261" i="30"/>
  <c r="AW261" i="30" s="1"/>
  <c r="AU262" i="30"/>
  <c r="AQ262" i="30" s="1"/>
  <c r="AV262" i="30"/>
  <c r="AR262" i="30" s="1"/>
  <c r="AX262" i="30"/>
  <c r="AW262" i="30" s="1"/>
  <c r="AU263" i="30"/>
  <c r="AQ263" i="30" s="1"/>
  <c r="AV263" i="30"/>
  <c r="AR263" i="30" s="1"/>
  <c r="AX263" i="30"/>
  <c r="AW263" i="30" s="1"/>
  <c r="AU264" i="30"/>
  <c r="AQ264" i="30" s="1"/>
  <c r="AV264" i="30"/>
  <c r="AR264" i="30" s="1"/>
  <c r="AX264" i="30"/>
  <c r="AW264" i="30" s="1"/>
  <c r="AU265" i="30"/>
  <c r="AQ265" i="30" s="1"/>
  <c r="AV265" i="30"/>
  <c r="AR265" i="30" s="1"/>
  <c r="AX265" i="30"/>
  <c r="AW265" i="30" s="1"/>
  <c r="AU266" i="30"/>
  <c r="AQ266" i="30" s="1"/>
  <c r="AV266" i="30"/>
  <c r="AR266" i="30" s="1"/>
  <c r="AX266" i="30"/>
  <c r="AW266" i="30" s="1"/>
  <c r="AU267" i="30"/>
  <c r="AQ267" i="30" s="1"/>
  <c r="AV267" i="30"/>
  <c r="AR267" i="30" s="1"/>
  <c r="AX267" i="30"/>
  <c r="AW267" i="30" s="1"/>
  <c r="AU268" i="30"/>
  <c r="AQ268" i="30" s="1"/>
  <c r="AV268" i="30"/>
  <c r="AR268" i="30" s="1"/>
  <c r="AX268" i="30"/>
  <c r="AW268" i="30" s="1"/>
  <c r="AU269" i="30"/>
  <c r="AQ269" i="30" s="1"/>
  <c r="AV269" i="30"/>
  <c r="AR269" i="30" s="1"/>
  <c r="AX269" i="30"/>
  <c r="AW269" i="30" s="1"/>
  <c r="AU270" i="30"/>
  <c r="AQ270" i="30" s="1"/>
  <c r="AV270" i="30"/>
  <c r="AR270" i="30" s="1"/>
  <c r="AX270" i="30"/>
  <c r="AW270" i="30" s="1"/>
  <c r="AU271" i="30"/>
  <c r="AQ271" i="30" s="1"/>
  <c r="AV271" i="30"/>
  <c r="AR271" i="30" s="1"/>
  <c r="AX271" i="30"/>
  <c r="AW271" i="30" s="1"/>
  <c r="AU272" i="30"/>
  <c r="AQ272" i="30" s="1"/>
  <c r="AV272" i="30"/>
  <c r="AR272" i="30" s="1"/>
  <c r="AX272" i="30"/>
  <c r="AW272" i="30" s="1"/>
  <c r="AU273" i="30"/>
  <c r="AQ273" i="30" s="1"/>
  <c r="AV273" i="30"/>
  <c r="AR273" i="30" s="1"/>
  <c r="AX273" i="30"/>
  <c r="AW273" i="30" s="1"/>
  <c r="AU274" i="30"/>
  <c r="AQ274" i="30" s="1"/>
  <c r="AV274" i="30"/>
  <c r="AR274" i="30" s="1"/>
  <c r="AX274" i="30"/>
  <c r="AW274" i="30" s="1"/>
  <c r="F51" i="21"/>
  <c r="L51" i="21"/>
  <c r="K51" i="21" s="1"/>
  <c r="AU275" i="30"/>
  <c r="AQ275" i="30" s="1"/>
  <c r="AV275" i="30"/>
  <c r="AR275" i="30" s="1"/>
  <c r="AX275" i="30"/>
  <c r="AW275" i="30" s="1"/>
  <c r="AU276" i="30"/>
  <c r="AQ276" i="30" s="1"/>
  <c r="AV276" i="30"/>
  <c r="AR276" i="30" s="1"/>
  <c r="AX276" i="30"/>
  <c r="AW276" i="30" s="1"/>
  <c r="AU277" i="30"/>
  <c r="AQ277" i="30" s="1"/>
  <c r="AV277" i="30"/>
  <c r="AR277" i="30" s="1"/>
  <c r="AX277" i="30"/>
  <c r="AW277" i="30" s="1"/>
  <c r="AU278" i="30"/>
  <c r="AQ278" i="30" s="1"/>
  <c r="AV278" i="30"/>
  <c r="AR278" i="30" s="1"/>
  <c r="AX278" i="30"/>
  <c r="AW278" i="30" s="1"/>
  <c r="AU279" i="30"/>
  <c r="AQ279" i="30" s="1"/>
  <c r="AV279" i="30"/>
  <c r="AR279" i="30" s="1"/>
  <c r="AX279" i="30"/>
  <c r="AW279" i="30" s="1"/>
  <c r="AU280" i="30"/>
  <c r="AQ280" i="30" s="1"/>
  <c r="AV280" i="30"/>
  <c r="AR280" i="30" s="1"/>
  <c r="AX280" i="30"/>
  <c r="AW280" i="30" s="1"/>
  <c r="AU281" i="30"/>
  <c r="AQ281" i="30" s="1"/>
  <c r="AV281" i="30"/>
  <c r="AR281" i="30" s="1"/>
  <c r="AX281" i="30"/>
  <c r="AW281" i="30" s="1"/>
  <c r="AU282" i="30"/>
  <c r="AQ282" i="30" s="1"/>
  <c r="AV282" i="30"/>
  <c r="AR282" i="30" s="1"/>
  <c r="AX282" i="30"/>
  <c r="AW282" i="30" s="1"/>
  <c r="AU283" i="30"/>
  <c r="AQ283" i="30" s="1"/>
  <c r="AV283" i="30"/>
  <c r="AR283" i="30" s="1"/>
  <c r="AX283" i="30"/>
  <c r="AW283" i="30" s="1"/>
  <c r="AU284" i="30"/>
  <c r="AQ284" i="30" s="1"/>
  <c r="AV284" i="30"/>
  <c r="AR284" i="30" s="1"/>
  <c r="AX284" i="30"/>
  <c r="AW284" i="30" s="1"/>
  <c r="AU285" i="30"/>
  <c r="AQ285" i="30" s="1"/>
  <c r="AV285" i="30"/>
  <c r="AR285" i="30" s="1"/>
  <c r="AX285" i="30"/>
  <c r="AW285" i="30" s="1"/>
  <c r="F52" i="21"/>
  <c r="L52" i="21"/>
  <c r="K52" i="21" s="1"/>
  <c r="AU286" i="30"/>
  <c r="AQ286" i="30" s="1"/>
  <c r="AV286" i="30"/>
  <c r="AR286" i="30" s="1"/>
  <c r="AX286" i="30"/>
  <c r="AW286" i="30" s="1"/>
  <c r="AU287" i="30"/>
  <c r="AQ287" i="30" s="1"/>
  <c r="AV287" i="30"/>
  <c r="AR287" i="30" s="1"/>
  <c r="AX287" i="30"/>
  <c r="AW287" i="30" s="1"/>
  <c r="AU288" i="30"/>
  <c r="AQ288" i="30" s="1"/>
  <c r="AV288" i="30"/>
  <c r="AR288" i="30" s="1"/>
  <c r="AX288" i="30"/>
  <c r="AW288" i="30" s="1"/>
  <c r="AU289" i="30"/>
  <c r="AQ289" i="30" s="1"/>
  <c r="AV289" i="30"/>
  <c r="AR289" i="30" s="1"/>
  <c r="AX289" i="30"/>
  <c r="AW289" i="30" s="1"/>
  <c r="AU290" i="30"/>
  <c r="AQ290" i="30" s="1"/>
  <c r="AV290" i="30"/>
  <c r="AR290" i="30" s="1"/>
  <c r="AX290" i="30"/>
  <c r="AW290" i="30" s="1"/>
  <c r="AU291" i="30"/>
  <c r="AQ291" i="30" s="1"/>
  <c r="AV291" i="30"/>
  <c r="AR291" i="30" s="1"/>
  <c r="AX291" i="30"/>
  <c r="AW291" i="30" s="1"/>
  <c r="AU292" i="30"/>
  <c r="AQ292" i="30" s="1"/>
  <c r="AV292" i="30"/>
  <c r="AR292" i="30" s="1"/>
  <c r="AX292" i="30"/>
  <c r="AW292" i="30" s="1"/>
  <c r="AU293" i="30"/>
  <c r="AQ293" i="30" s="1"/>
  <c r="AV293" i="30"/>
  <c r="AR293" i="30" s="1"/>
  <c r="AX293" i="30"/>
  <c r="AW293" i="30" s="1"/>
  <c r="AU294" i="30"/>
  <c r="AQ294" i="30" s="1"/>
  <c r="AV294" i="30"/>
  <c r="AR294" i="30" s="1"/>
  <c r="AX294" i="30"/>
  <c r="AW294" i="30" s="1"/>
  <c r="AU295" i="30"/>
  <c r="AQ295" i="30" s="1"/>
  <c r="AV295" i="30"/>
  <c r="AR295" i="30" s="1"/>
  <c r="AX295" i="30"/>
  <c r="AW295" i="30" s="1"/>
  <c r="AU296" i="30"/>
  <c r="AQ296" i="30" s="1"/>
  <c r="AV296" i="30"/>
  <c r="AR296" i="30" s="1"/>
  <c r="AX296" i="30"/>
  <c r="AW296" i="30" s="1"/>
  <c r="AU297" i="30"/>
  <c r="AQ297" i="30" s="1"/>
  <c r="AV297" i="30"/>
  <c r="AR297" i="30" s="1"/>
  <c r="AX297" i="30"/>
  <c r="AW297" i="30" s="1"/>
  <c r="AU298" i="30"/>
  <c r="AQ298" i="30" s="1"/>
  <c r="AV298" i="30"/>
  <c r="AR298" i="30" s="1"/>
  <c r="AX298" i="30"/>
  <c r="AW298" i="30" s="1"/>
  <c r="H4" i="19"/>
  <c r="I4" i="19"/>
  <c r="AU299" i="30"/>
  <c r="AQ299" i="30" s="1"/>
  <c r="AV299" i="30"/>
  <c r="AR299" i="30" s="1"/>
  <c r="AX299" i="30"/>
  <c r="AW299" i="30" s="1"/>
  <c r="AU300" i="30"/>
  <c r="AQ300" i="30" s="1"/>
  <c r="AV300" i="30"/>
  <c r="AR300" i="30" s="1"/>
  <c r="AX300" i="30"/>
  <c r="AW300" i="30" s="1"/>
  <c r="AU301" i="30"/>
  <c r="AQ301" i="30" s="1"/>
  <c r="AV301" i="30"/>
  <c r="AR301" i="30" s="1"/>
  <c r="AX301" i="30"/>
  <c r="AW301" i="30" s="1"/>
  <c r="L313" i="21"/>
  <c r="K313" i="21" s="1"/>
  <c r="M313" i="21" s="1"/>
  <c r="J313" i="21" s="1"/>
  <c r="L53" i="21"/>
  <c r="L54" i="21"/>
  <c r="L55" i="21"/>
  <c r="L56" i="21"/>
  <c r="K56" i="21" s="1"/>
  <c r="L57" i="21"/>
  <c r="K57" i="21" s="1"/>
  <c r="L58" i="21"/>
  <c r="K58" i="21" s="1"/>
  <c r="L59" i="21"/>
  <c r="K59" i="21" s="1"/>
  <c r="L60" i="21"/>
  <c r="K60" i="21" s="1"/>
  <c r="L61" i="21"/>
  <c r="K61" i="21" s="1"/>
  <c r="L62" i="21"/>
  <c r="K62" i="21" s="1"/>
  <c r="L63" i="21"/>
  <c r="K63" i="21" s="1"/>
  <c r="L64" i="21"/>
  <c r="K64" i="21" s="1"/>
  <c r="L65" i="21"/>
  <c r="K65" i="21" s="1"/>
  <c r="L66" i="21"/>
  <c r="K66" i="21" s="1"/>
  <c r="L67" i="21"/>
  <c r="K67" i="21" s="1"/>
  <c r="L68" i="21"/>
  <c r="K68" i="21" s="1"/>
  <c r="L69" i="21"/>
  <c r="K69" i="21" s="1"/>
  <c r="L70" i="21"/>
  <c r="K70" i="21" s="1"/>
  <c r="L71" i="21"/>
  <c r="K71" i="21" s="1"/>
  <c r="L72" i="21"/>
  <c r="K72" i="21" s="1"/>
  <c r="L73" i="21"/>
  <c r="K73" i="21" s="1"/>
  <c r="L74" i="21"/>
  <c r="K74" i="21" s="1"/>
  <c r="L75" i="21"/>
  <c r="K75" i="21" s="1"/>
  <c r="L76" i="21"/>
  <c r="K76" i="21" s="1"/>
  <c r="L77" i="21"/>
  <c r="K77" i="21" s="1"/>
  <c r="L78" i="21"/>
  <c r="K78" i="21" s="1"/>
  <c r="L79" i="21"/>
  <c r="K79" i="21" s="1"/>
  <c r="L80" i="21"/>
  <c r="K80" i="21" s="1"/>
  <c r="L81" i="21"/>
  <c r="K81" i="21" s="1"/>
  <c r="L82" i="21"/>
  <c r="K82" i="21" s="1"/>
  <c r="L83" i="21"/>
  <c r="K83" i="21" s="1"/>
  <c r="L84" i="21"/>
  <c r="K84" i="21" s="1"/>
  <c r="L85" i="21"/>
  <c r="K85" i="21" s="1"/>
  <c r="L86" i="21"/>
  <c r="K86" i="21" s="1"/>
  <c r="L87" i="21"/>
  <c r="K87" i="21" s="1"/>
  <c r="L88" i="21"/>
  <c r="K88" i="21" s="1"/>
  <c r="L89" i="21"/>
  <c r="K89" i="21" s="1"/>
  <c r="L90" i="21"/>
  <c r="K90" i="21" s="1"/>
  <c r="L91" i="21"/>
  <c r="K91" i="21" s="1"/>
  <c r="L92" i="21"/>
  <c r="K92" i="21" s="1"/>
  <c r="L93" i="21"/>
  <c r="K93" i="21" s="1"/>
  <c r="L94" i="21"/>
  <c r="K94" i="21" s="1"/>
  <c r="L95" i="21"/>
  <c r="K95" i="21" s="1"/>
  <c r="L96" i="21"/>
  <c r="K96" i="21" s="1"/>
  <c r="L97" i="21"/>
  <c r="K97" i="21" s="1"/>
  <c r="L98" i="21"/>
  <c r="K98" i="21" s="1"/>
  <c r="L99" i="21"/>
  <c r="K99" i="21" s="1"/>
  <c r="L100" i="21"/>
  <c r="K100" i="21" s="1"/>
  <c r="L101" i="21"/>
  <c r="K101" i="21" s="1"/>
  <c r="L102" i="21"/>
  <c r="K102" i="21" s="1"/>
  <c r="L103" i="21"/>
  <c r="K103" i="21" s="1"/>
  <c r="L104" i="21"/>
  <c r="K104" i="21" s="1"/>
  <c r="L105" i="21"/>
  <c r="K105" i="21" s="1"/>
  <c r="L106" i="21"/>
  <c r="K106" i="21" s="1"/>
  <c r="L107" i="21"/>
  <c r="K107" i="21" s="1"/>
  <c r="L108" i="21"/>
  <c r="K108" i="21" s="1"/>
  <c r="L109" i="21"/>
  <c r="K109" i="21" s="1"/>
  <c r="L110" i="21"/>
  <c r="K110" i="21" s="1"/>
  <c r="L111" i="21"/>
  <c r="K111" i="21" s="1"/>
  <c r="L112" i="21"/>
  <c r="K112" i="21" s="1"/>
  <c r="L113" i="21"/>
  <c r="K113" i="21" s="1"/>
  <c r="L114" i="21"/>
  <c r="K114" i="21" s="1"/>
  <c r="L115" i="21"/>
  <c r="K115" i="21" s="1"/>
  <c r="L116" i="21"/>
  <c r="K116" i="21" s="1"/>
  <c r="L117" i="21"/>
  <c r="K117" i="21" s="1"/>
  <c r="L118" i="21"/>
  <c r="K118" i="21" s="1"/>
  <c r="L119" i="21"/>
  <c r="K119" i="21" s="1"/>
  <c r="L120" i="21"/>
  <c r="K120" i="21" s="1"/>
  <c r="L121" i="21"/>
  <c r="K121" i="21" s="1"/>
  <c r="L122" i="21"/>
  <c r="K122" i="21" s="1"/>
  <c r="L123" i="21"/>
  <c r="K123" i="21" s="1"/>
  <c r="L124" i="21"/>
  <c r="K124" i="21" s="1"/>
  <c r="L125" i="21"/>
  <c r="K125" i="21" s="1"/>
  <c r="L126" i="21"/>
  <c r="K126" i="21" s="1"/>
  <c r="L127" i="21"/>
  <c r="K127" i="21" s="1"/>
  <c r="L128" i="21"/>
  <c r="K128" i="21" s="1"/>
  <c r="L129" i="21"/>
  <c r="K129" i="21" s="1"/>
  <c r="L130" i="21"/>
  <c r="K130" i="21" s="1"/>
  <c r="L131" i="21"/>
  <c r="K131" i="21" s="1"/>
  <c r="L132" i="21"/>
  <c r="K132" i="21" s="1"/>
  <c r="L133" i="21"/>
  <c r="K133" i="21" s="1"/>
  <c r="L134" i="21"/>
  <c r="K134" i="21" s="1"/>
  <c r="L135" i="21"/>
  <c r="K135" i="21" s="1"/>
  <c r="L136" i="21"/>
  <c r="K136" i="21" s="1"/>
  <c r="L137" i="21"/>
  <c r="K137" i="21" s="1"/>
  <c r="L138" i="21"/>
  <c r="K138" i="21" s="1"/>
  <c r="L139" i="21"/>
  <c r="K139" i="21" s="1"/>
  <c r="L140" i="21"/>
  <c r="K140" i="21" s="1"/>
  <c r="L141" i="21"/>
  <c r="K141" i="21" s="1"/>
  <c r="L142" i="21"/>
  <c r="K142" i="21" s="1"/>
  <c r="L143" i="21"/>
  <c r="K143" i="21" s="1"/>
  <c r="L144" i="21"/>
  <c r="K144" i="21" s="1"/>
  <c r="L145" i="21"/>
  <c r="K145" i="21" s="1"/>
  <c r="L146" i="21"/>
  <c r="K146" i="21" s="1"/>
  <c r="L147" i="21"/>
  <c r="K147" i="21" s="1"/>
  <c r="L148" i="21"/>
  <c r="K148" i="21" s="1"/>
  <c r="L149" i="21"/>
  <c r="K149" i="21" s="1"/>
  <c r="L150" i="21"/>
  <c r="K150" i="21" s="1"/>
  <c r="L151" i="21"/>
  <c r="K151" i="21" s="1"/>
  <c r="L152" i="21"/>
  <c r="K152" i="21" s="1"/>
  <c r="L153" i="21"/>
  <c r="L154" i="21"/>
  <c r="K154" i="21" s="1"/>
  <c r="L155" i="21"/>
  <c r="K155" i="21" s="1"/>
  <c r="L156" i="21"/>
  <c r="K156" i="21" s="1"/>
  <c r="L157" i="21"/>
  <c r="K157" i="21" s="1"/>
  <c r="L158" i="21"/>
  <c r="K158" i="21" s="1"/>
  <c r="L159" i="21"/>
  <c r="K159" i="21" s="1"/>
  <c r="L160" i="21"/>
  <c r="K160" i="21" s="1"/>
  <c r="L161" i="21"/>
  <c r="K161" i="21" s="1"/>
  <c r="L162" i="21"/>
  <c r="K162" i="21" s="1"/>
  <c r="L163" i="21"/>
  <c r="K163" i="21" s="1"/>
  <c r="L164" i="21"/>
  <c r="K164" i="21" s="1"/>
  <c r="L165" i="21"/>
  <c r="K165" i="21" s="1"/>
  <c r="L166" i="21"/>
  <c r="K166" i="21" s="1"/>
  <c r="L167" i="21"/>
  <c r="K167" i="21" s="1"/>
  <c r="L168" i="21"/>
  <c r="K168" i="21" s="1"/>
  <c r="L169" i="21"/>
  <c r="K169" i="21" s="1"/>
  <c r="L170" i="21"/>
  <c r="K170" i="21" s="1"/>
  <c r="L171" i="21"/>
  <c r="K171" i="21" s="1"/>
  <c r="L172" i="21"/>
  <c r="K172" i="21" s="1"/>
  <c r="L173" i="21"/>
  <c r="K173" i="21" s="1"/>
  <c r="L174" i="21"/>
  <c r="K174" i="21" s="1"/>
  <c r="L175" i="21"/>
  <c r="K175" i="21" s="1"/>
  <c r="L176" i="21"/>
  <c r="K176" i="21" s="1"/>
  <c r="L177" i="21"/>
  <c r="K177" i="21" s="1"/>
  <c r="L178" i="21"/>
  <c r="K178" i="21" s="1"/>
  <c r="L179" i="21"/>
  <c r="K179" i="21" s="1"/>
  <c r="L180" i="21"/>
  <c r="K180" i="21" s="1"/>
  <c r="L181" i="21"/>
  <c r="K181" i="21" s="1"/>
  <c r="L182" i="21"/>
  <c r="K182" i="21" s="1"/>
  <c r="L183" i="21"/>
  <c r="K183" i="21" s="1"/>
  <c r="L184" i="21"/>
  <c r="K184" i="21" s="1"/>
  <c r="L185" i="21"/>
  <c r="K185" i="21" s="1"/>
  <c r="L186" i="21"/>
  <c r="K186" i="21" s="1"/>
  <c r="L187" i="21"/>
  <c r="K187" i="21" s="1"/>
  <c r="L188" i="21"/>
  <c r="K188" i="21" s="1"/>
  <c r="L189" i="21"/>
  <c r="K189" i="21" s="1"/>
  <c r="L190" i="21"/>
  <c r="K190" i="21" s="1"/>
  <c r="L191" i="21"/>
  <c r="K191" i="21" s="1"/>
  <c r="L192" i="21"/>
  <c r="K192" i="21" s="1"/>
  <c r="L193" i="21"/>
  <c r="K193" i="21" s="1"/>
  <c r="L194" i="21"/>
  <c r="K194" i="21" s="1"/>
  <c r="L195" i="21"/>
  <c r="K195" i="21" s="1"/>
  <c r="L196" i="21"/>
  <c r="K196" i="21" s="1"/>
  <c r="L197" i="21"/>
  <c r="K197" i="21" s="1"/>
  <c r="L198" i="21"/>
  <c r="K198" i="21" s="1"/>
  <c r="L199" i="21"/>
  <c r="K199" i="21" s="1"/>
  <c r="L200" i="21"/>
  <c r="K200" i="21" s="1"/>
  <c r="L201" i="21"/>
  <c r="K201" i="21" s="1"/>
  <c r="L202" i="21"/>
  <c r="K202" i="21" s="1"/>
  <c r="L203" i="21"/>
  <c r="K203" i="21" s="1"/>
  <c r="L204" i="21"/>
  <c r="K204" i="21" s="1"/>
  <c r="L205" i="21"/>
  <c r="K205" i="21" s="1"/>
  <c r="L206" i="21"/>
  <c r="K206" i="21" s="1"/>
  <c r="L207" i="21"/>
  <c r="K207" i="21" s="1"/>
  <c r="L208" i="21"/>
  <c r="K208" i="21" s="1"/>
  <c r="L209" i="21"/>
  <c r="K209" i="21" s="1"/>
  <c r="L210" i="21"/>
  <c r="K210" i="21" s="1"/>
  <c r="L211" i="21"/>
  <c r="K211" i="21" s="1"/>
  <c r="L212" i="21"/>
  <c r="K212" i="21" s="1"/>
  <c r="L213" i="21"/>
  <c r="K213" i="21" s="1"/>
  <c r="L214" i="21"/>
  <c r="K214" i="21" s="1"/>
  <c r="L215" i="21"/>
  <c r="K215" i="21" s="1"/>
  <c r="L216" i="21"/>
  <c r="K216" i="21" s="1"/>
  <c r="L217" i="21"/>
  <c r="K217" i="21" s="1"/>
  <c r="L218" i="21"/>
  <c r="K218" i="21" s="1"/>
  <c r="L219" i="21"/>
  <c r="K219" i="21" s="1"/>
  <c r="L220" i="21"/>
  <c r="K220" i="21" s="1"/>
  <c r="L221" i="21"/>
  <c r="K221" i="21" s="1"/>
  <c r="L222" i="21"/>
  <c r="K222" i="21" s="1"/>
  <c r="L223" i="21"/>
  <c r="K223" i="21" s="1"/>
  <c r="L224" i="21"/>
  <c r="K224" i="21" s="1"/>
  <c r="L225" i="21"/>
  <c r="K225" i="21" s="1"/>
  <c r="L226" i="21"/>
  <c r="K226" i="21" s="1"/>
  <c r="L227" i="21"/>
  <c r="K227" i="21" s="1"/>
  <c r="L228" i="21"/>
  <c r="K228" i="21" s="1"/>
  <c r="L229" i="21"/>
  <c r="K229" i="21" s="1"/>
  <c r="L230" i="21"/>
  <c r="K230" i="21" s="1"/>
  <c r="L231" i="21"/>
  <c r="K231" i="21" s="1"/>
  <c r="L232" i="21"/>
  <c r="K232" i="21" s="1"/>
  <c r="L233" i="21"/>
  <c r="K233" i="21" s="1"/>
  <c r="L234" i="21"/>
  <c r="K234" i="21" s="1"/>
  <c r="L235" i="21"/>
  <c r="K235" i="21" s="1"/>
  <c r="L236" i="21"/>
  <c r="K236" i="21" s="1"/>
  <c r="L237" i="21"/>
  <c r="K237" i="21" s="1"/>
  <c r="L238" i="21"/>
  <c r="K238" i="21" s="1"/>
  <c r="L239" i="21"/>
  <c r="K239" i="21" s="1"/>
  <c r="L240" i="21"/>
  <c r="K240" i="21" s="1"/>
  <c r="L241" i="21"/>
  <c r="K241" i="21" s="1"/>
  <c r="L242" i="21"/>
  <c r="K242" i="21" s="1"/>
  <c r="L243" i="21"/>
  <c r="K243" i="21" s="1"/>
  <c r="L244" i="21"/>
  <c r="K244" i="21" s="1"/>
  <c r="L245" i="21"/>
  <c r="K245" i="21" s="1"/>
  <c r="L246" i="21"/>
  <c r="K246" i="21" s="1"/>
  <c r="L247" i="21"/>
  <c r="K247" i="21" s="1"/>
  <c r="L248" i="21"/>
  <c r="K248" i="21" s="1"/>
  <c r="L249" i="21"/>
  <c r="K249" i="21" s="1"/>
  <c r="L250" i="21"/>
  <c r="K250" i="21" s="1"/>
  <c r="L251" i="21"/>
  <c r="K251" i="21" s="1"/>
  <c r="L252" i="21"/>
  <c r="K252" i="21" s="1"/>
  <c r="L253" i="21"/>
  <c r="K253" i="21" s="1"/>
  <c r="L254" i="21"/>
  <c r="K254" i="21" s="1"/>
  <c r="L255" i="21"/>
  <c r="K255" i="21" s="1"/>
  <c r="L256" i="21"/>
  <c r="K256" i="21" s="1"/>
  <c r="L257" i="21"/>
  <c r="K257" i="21" s="1"/>
  <c r="L258" i="21"/>
  <c r="K258" i="21" s="1"/>
  <c r="L259" i="21"/>
  <c r="K259" i="21" s="1"/>
  <c r="L260" i="21"/>
  <c r="K260" i="21" s="1"/>
  <c r="L261" i="21"/>
  <c r="K261" i="21" s="1"/>
  <c r="L262" i="21"/>
  <c r="K262" i="21" s="1"/>
  <c r="L263" i="21"/>
  <c r="K263" i="21" s="1"/>
  <c r="L264" i="21"/>
  <c r="K264" i="21" s="1"/>
  <c r="L265" i="21"/>
  <c r="K265" i="21" s="1"/>
  <c r="L266" i="21"/>
  <c r="K266" i="21" s="1"/>
  <c r="L267" i="21"/>
  <c r="K267" i="21" s="1"/>
  <c r="L268" i="21"/>
  <c r="K268" i="21" s="1"/>
  <c r="L269" i="21"/>
  <c r="K269" i="21" s="1"/>
  <c r="L270" i="21"/>
  <c r="K270" i="21" s="1"/>
  <c r="L271" i="21"/>
  <c r="K271" i="21" s="1"/>
  <c r="L272" i="21"/>
  <c r="K272" i="21" s="1"/>
  <c r="L273" i="21"/>
  <c r="K273" i="21" s="1"/>
  <c r="L274" i="21"/>
  <c r="K274" i="21" s="1"/>
  <c r="L275" i="21"/>
  <c r="K275" i="21" s="1"/>
  <c r="L276" i="21"/>
  <c r="K276" i="21" s="1"/>
  <c r="L277" i="21"/>
  <c r="K277" i="21" s="1"/>
  <c r="L278" i="21"/>
  <c r="K278" i="21" s="1"/>
  <c r="L279" i="21"/>
  <c r="K279" i="21" s="1"/>
  <c r="L280" i="21"/>
  <c r="K280" i="21" s="1"/>
  <c r="L281" i="21"/>
  <c r="K281" i="21" s="1"/>
  <c r="L282" i="21"/>
  <c r="K282" i="21" s="1"/>
  <c r="L283" i="21"/>
  <c r="K283" i="21" s="1"/>
  <c r="L284" i="21"/>
  <c r="K284" i="21" s="1"/>
  <c r="L285" i="21"/>
  <c r="K285" i="21" s="1"/>
  <c r="L286" i="21"/>
  <c r="K286" i="21" s="1"/>
  <c r="L287" i="21"/>
  <c r="K287" i="21" s="1"/>
  <c r="L288" i="21"/>
  <c r="K288" i="21" s="1"/>
  <c r="L289" i="21"/>
  <c r="K289" i="21" s="1"/>
  <c r="L290" i="21"/>
  <c r="K290" i="21" s="1"/>
  <c r="L291" i="21"/>
  <c r="K291" i="21" s="1"/>
  <c r="L292" i="21"/>
  <c r="K292" i="21" s="1"/>
  <c r="L293" i="21"/>
  <c r="K293" i="21" s="1"/>
  <c r="L294" i="21"/>
  <c r="K294" i="21" s="1"/>
  <c r="L295" i="21"/>
  <c r="K295" i="21" s="1"/>
  <c r="L296" i="21"/>
  <c r="K296" i="21" s="1"/>
  <c r="L297" i="21"/>
  <c r="K297" i="21" s="1"/>
  <c r="L298" i="21"/>
  <c r="K298" i="21" s="1"/>
  <c r="L299" i="21"/>
  <c r="K299" i="21" s="1"/>
  <c r="L300" i="21"/>
  <c r="K300" i="21" s="1"/>
  <c r="L301" i="21"/>
  <c r="K301" i="21" s="1"/>
  <c r="L302" i="21"/>
  <c r="K302" i="21" s="1"/>
  <c r="L303" i="21"/>
  <c r="K303" i="21" s="1"/>
  <c r="L304" i="21"/>
  <c r="K304" i="21" s="1"/>
  <c r="L305" i="21"/>
  <c r="K305" i="21" s="1"/>
  <c r="L306" i="21"/>
  <c r="K306" i="21" s="1"/>
  <c r="L307" i="21"/>
  <c r="K307" i="21" s="1"/>
  <c r="L308" i="21"/>
  <c r="K308" i="21" s="1"/>
  <c r="L309" i="21"/>
  <c r="K309" i="21" s="1"/>
  <c r="L310" i="21"/>
  <c r="K310" i="21" s="1"/>
  <c r="L311" i="21"/>
  <c r="K311" i="21" s="1"/>
  <c r="M311" i="21" s="1"/>
  <c r="J311" i="21" s="1"/>
  <c r="L312" i="21"/>
  <c r="K312" i="21" s="1"/>
  <c r="M312" i="21" s="1"/>
  <c r="J312" i="21" s="1"/>
  <c r="AU302" i="30"/>
  <c r="AQ302" i="30" s="1"/>
  <c r="AV302" i="30"/>
  <c r="AR302" i="30" s="1"/>
  <c r="AX302" i="30"/>
  <c r="AW302" i="30" s="1"/>
  <c r="AU303" i="30"/>
  <c r="AQ303" i="30" s="1"/>
  <c r="AV303" i="30"/>
  <c r="AR303" i="30" s="1"/>
  <c r="AX303" i="30"/>
  <c r="AW303" i="30" s="1"/>
  <c r="AU304" i="30"/>
  <c r="AQ304" i="30" s="1"/>
  <c r="AV304" i="30"/>
  <c r="AR304" i="30" s="1"/>
  <c r="AX304" i="30"/>
  <c r="AW304" i="30" s="1"/>
  <c r="AU305" i="30"/>
  <c r="AQ305" i="30" s="1"/>
  <c r="AV305" i="30"/>
  <c r="AR305" i="30" s="1"/>
  <c r="AX305" i="30"/>
  <c r="AW305" i="30" s="1"/>
  <c r="AU306" i="30"/>
  <c r="AQ306" i="30" s="1"/>
  <c r="AV306" i="30"/>
  <c r="AR306" i="30" s="1"/>
  <c r="AX306" i="30"/>
  <c r="AW306" i="30" s="1"/>
  <c r="AU307" i="30"/>
  <c r="AQ307" i="30" s="1"/>
  <c r="AV307" i="30"/>
  <c r="AR307" i="30" s="1"/>
  <c r="AX307" i="30"/>
  <c r="AW307" i="30" s="1"/>
  <c r="AU308" i="30"/>
  <c r="AQ308" i="30" s="1"/>
  <c r="AV308" i="30"/>
  <c r="AR308" i="30" s="1"/>
  <c r="AX308" i="30"/>
  <c r="AW308" i="30" s="1"/>
  <c r="AU309" i="30"/>
  <c r="AQ309" i="30" s="1"/>
  <c r="AV309" i="30"/>
  <c r="AR309" i="30" s="1"/>
  <c r="AX309" i="30"/>
  <c r="AW309" i="30" s="1"/>
  <c r="AU310" i="30"/>
  <c r="AQ310" i="30" s="1"/>
  <c r="AV310" i="30"/>
  <c r="AR310" i="30" s="1"/>
  <c r="AX310" i="30"/>
  <c r="AW310" i="30" s="1"/>
  <c r="AU311" i="30"/>
  <c r="AQ311" i="30" s="1"/>
  <c r="AV311" i="30"/>
  <c r="AR311" i="30" s="1"/>
  <c r="AX311" i="30"/>
  <c r="AW311" i="30" s="1"/>
  <c r="AU312" i="30"/>
  <c r="AQ312" i="30" s="1"/>
  <c r="AU313" i="30"/>
  <c r="AQ313" i="30" s="1"/>
  <c r="AU315" i="30"/>
  <c r="AQ315" i="30" s="1"/>
  <c r="AU316" i="30"/>
  <c r="AQ316" i="30" s="1"/>
  <c r="AU317" i="30"/>
  <c r="AQ317" i="30" s="1"/>
  <c r="AU319" i="30"/>
  <c r="AQ319" i="30" s="1"/>
  <c r="AU320" i="30"/>
  <c r="AQ320" i="30" s="1"/>
  <c r="AU321" i="30"/>
  <c r="AQ321" i="30" s="1"/>
  <c r="AU322" i="30"/>
  <c r="AQ322" i="30" s="1"/>
  <c r="AU323" i="30"/>
  <c r="AQ323" i="30" s="1"/>
  <c r="AV312" i="30"/>
  <c r="AR312" i="30" s="1"/>
  <c r="AX312" i="30"/>
  <c r="AW312" i="30" s="1"/>
  <c r="AV313" i="30"/>
  <c r="AR313" i="30" s="1"/>
  <c r="AX313" i="30"/>
  <c r="AW313" i="30" s="1"/>
  <c r="AV314" i="30"/>
  <c r="AR314" i="30" s="1"/>
  <c r="AX314" i="30"/>
  <c r="AW314" i="30" s="1"/>
  <c r="AV315" i="30"/>
  <c r="AR315" i="30" s="1"/>
  <c r="AX315" i="30"/>
  <c r="AW315" i="30" s="1"/>
  <c r="AV316" i="30"/>
  <c r="AR316" i="30" s="1"/>
  <c r="AX316" i="30"/>
  <c r="AW316" i="30" s="1"/>
  <c r="AV317" i="30"/>
  <c r="AR317" i="30" s="1"/>
  <c r="AX317" i="30"/>
  <c r="AW317" i="30" s="1"/>
  <c r="AU318" i="30"/>
  <c r="AQ318" i="30" s="1"/>
  <c r="AV318" i="30"/>
  <c r="AR318" i="30" s="1"/>
  <c r="AX318" i="30"/>
  <c r="AW318" i="30" s="1"/>
  <c r="AV319" i="30"/>
  <c r="AR319" i="30" s="1"/>
  <c r="AX319" i="30"/>
  <c r="AW319" i="30" s="1"/>
  <c r="AV320" i="30"/>
  <c r="AR320" i="30" s="1"/>
  <c r="AX320" i="30"/>
  <c r="AW320" i="30" s="1"/>
  <c r="AV321" i="30"/>
  <c r="AR321" i="30" s="1"/>
  <c r="AX321" i="30"/>
  <c r="AW321" i="30" s="1"/>
  <c r="AV322" i="30"/>
  <c r="AR322" i="30" s="1"/>
  <c r="AX322" i="30"/>
  <c r="AW322" i="30" s="1"/>
  <c r="AV323" i="30"/>
  <c r="AR323" i="30" s="1"/>
  <c r="AX323" i="30"/>
  <c r="AW323" i="30" s="1"/>
  <c r="AU324" i="30"/>
  <c r="AQ324" i="30" s="1"/>
  <c r="AV324" i="30"/>
  <c r="AR324" i="30" s="1"/>
  <c r="AX324" i="30"/>
  <c r="AW324" i="30" s="1"/>
  <c r="AU325" i="30"/>
  <c r="AQ325" i="30" s="1"/>
  <c r="AU326" i="30"/>
  <c r="AQ326" i="30" s="1"/>
  <c r="AU327" i="30"/>
  <c r="AQ327" i="30" s="1"/>
  <c r="AU328" i="30"/>
  <c r="AQ328" i="30" s="1"/>
  <c r="AU329" i="30"/>
  <c r="AQ329" i="30" s="1"/>
  <c r="AU330" i="30"/>
  <c r="AQ330" i="30" s="1"/>
  <c r="AU331" i="30"/>
  <c r="AQ331" i="30" s="1"/>
  <c r="AU332" i="30"/>
  <c r="AQ332" i="30" s="1"/>
  <c r="AU333" i="30"/>
  <c r="AQ333" i="30" s="1"/>
  <c r="P3" i="18"/>
  <c r="AV325" i="30"/>
  <c r="AR325" i="30" s="1"/>
  <c r="AX325" i="30"/>
  <c r="AW325" i="30" s="1"/>
  <c r="V7" i="18"/>
  <c r="H50" i="29"/>
  <c r="V12" i="18"/>
  <c r="H25" i="18"/>
  <c r="F25" i="18"/>
  <c r="H49" i="29"/>
  <c r="AV326" i="30"/>
  <c r="AR326" i="30" s="1"/>
  <c r="AX326" i="30"/>
  <c r="AW326" i="30" s="1"/>
  <c r="Q11" i="18"/>
  <c r="S11" i="18" s="1"/>
  <c r="S19" i="18"/>
  <c r="S20" i="18"/>
  <c r="H48" i="29"/>
  <c r="H47" i="29"/>
  <c r="AV327" i="30"/>
  <c r="AR327" i="30" s="1"/>
  <c r="AX327" i="30"/>
  <c r="AW327" i="30" s="1"/>
  <c r="AV328" i="30"/>
  <c r="AR328" i="30" s="1"/>
  <c r="AX328" i="30"/>
  <c r="AW328" i="30" s="1"/>
  <c r="AV329" i="30"/>
  <c r="AR329" i="30" s="1"/>
  <c r="AX329" i="30"/>
  <c r="AW329" i="30" s="1"/>
  <c r="AV330" i="30"/>
  <c r="AR330" i="30" s="1"/>
  <c r="AX330" i="30"/>
  <c r="AW330" i="30" s="1"/>
  <c r="AV331" i="30"/>
  <c r="AR331" i="30" s="1"/>
  <c r="AX331" i="30"/>
  <c r="AW331" i="30" s="1"/>
  <c r="AV332" i="30"/>
  <c r="AR332" i="30" s="1"/>
  <c r="AX332" i="30"/>
  <c r="AW332" i="30" s="1"/>
  <c r="AV333" i="30"/>
  <c r="AR333" i="30" s="1"/>
  <c r="AX333" i="30"/>
  <c r="AW333" i="30" s="1"/>
  <c r="H46" i="29"/>
  <c r="H45" i="29"/>
  <c r="H44" i="29"/>
  <c r="H43" i="29"/>
  <c r="H42" i="29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K153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49" i="21"/>
  <c r="F250" i="21"/>
  <c r="F251" i="21"/>
  <c r="F252" i="21"/>
  <c r="F253" i="21"/>
  <c r="F254" i="21"/>
  <c r="F255" i="21"/>
  <c r="F256" i="21"/>
  <c r="F257" i="21"/>
  <c r="F258" i="21"/>
  <c r="F259" i="21"/>
  <c r="F260" i="21"/>
  <c r="F261" i="21"/>
  <c r="F262" i="21"/>
  <c r="F263" i="21"/>
  <c r="F264" i="21"/>
  <c r="F265" i="21"/>
  <c r="F266" i="21"/>
  <c r="F267" i="21"/>
  <c r="F268" i="21"/>
  <c r="F269" i="21"/>
  <c r="F270" i="21"/>
  <c r="F271" i="21"/>
  <c r="F272" i="21"/>
  <c r="F273" i="21"/>
  <c r="F274" i="21"/>
  <c r="F275" i="21"/>
  <c r="F276" i="21"/>
  <c r="F277" i="21"/>
  <c r="F278" i="21"/>
  <c r="F279" i="21"/>
  <c r="F280" i="21"/>
  <c r="F281" i="21"/>
  <c r="F282" i="21"/>
  <c r="F283" i="21"/>
  <c r="F284" i="21"/>
  <c r="F285" i="21"/>
  <c r="F286" i="21"/>
  <c r="F287" i="21"/>
  <c r="F288" i="21"/>
  <c r="F289" i="21"/>
  <c r="F290" i="21"/>
  <c r="F291" i="21"/>
  <c r="F292" i="21"/>
  <c r="F293" i="21"/>
  <c r="F294" i="21"/>
  <c r="F295" i="21"/>
  <c r="F296" i="21"/>
  <c r="F297" i="21"/>
  <c r="F298" i="21"/>
  <c r="F299" i="21"/>
  <c r="F300" i="21"/>
  <c r="F301" i="21"/>
  <c r="F302" i="21"/>
  <c r="F303" i="21"/>
  <c r="F304" i="21"/>
  <c r="F305" i="21"/>
  <c r="F306" i="21"/>
  <c r="F307" i="21"/>
  <c r="F308" i="21"/>
  <c r="F309" i="21"/>
  <c r="F310" i="21"/>
  <c r="H41" i="29"/>
  <c r="S4" i="19" l="1"/>
  <c r="M95" i="21"/>
  <c r="J95" i="21" s="1"/>
  <c r="M279" i="21"/>
  <c r="J279" i="21" s="1"/>
  <c r="M263" i="21"/>
  <c r="J263" i="21" s="1"/>
  <c r="M257" i="21"/>
  <c r="J257" i="21" s="1"/>
  <c r="M167" i="21"/>
  <c r="J167" i="21" s="1"/>
  <c r="M287" i="21"/>
  <c r="J287" i="21" s="1"/>
  <c r="M175" i="21"/>
  <c r="J175" i="21" s="1"/>
  <c r="M103" i="21"/>
  <c r="J103" i="21" s="1"/>
  <c r="M247" i="21"/>
  <c r="J247" i="21" s="1"/>
  <c r="M151" i="21"/>
  <c r="J151" i="21" s="1"/>
  <c r="M79" i="21"/>
  <c r="J79" i="21" s="1"/>
  <c r="M191" i="21"/>
  <c r="J191" i="21" s="1"/>
  <c r="M119" i="21"/>
  <c r="J119" i="21" s="1"/>
  <c r="M255" i="21"/>
  <c r="J255" i="21" s="1"/>
  <c r="M153" i="21"/>
  <c r="J153" i="21" s="1"/>
  <c r="M87" i="21"/>
  <c r="J87" i="21" s="1"/>
  <c r="M76" i="21"/>
  <c r="J76" i="21" s="1"/>
  <c r="M68" i="21"/>
  <c r="J68" i="21" s="1"/>
  <c r="M60" i="21"/>
  <c r="J60" i="21" s="1"/>
  <c r="M75" i="21"/>
  <c r="J75" i="21" s="1"/>
  <c r="M303" i="21"/>
  <c r="J303" i="21" s="1"/>
  <c r="M289" i="21"/>
  <c r="J289" i="21" s="1"/>
  <c r="M271" i="21"/>
  <c r="J271" i="21" s="1"/>
  <c r="M183" i="21"/>
  <c r="J183" i="21" s="1"/>
  <c r="M111" i="21"/>
  <c r="J111" i="21" s="1"/>
  <c r="M302" i="21"/>
  <c r="J302" i="21" s="1"/>
  <c r="M294" i="21"/>
  <c r="J294" i="21" s="1"/>
  <c r="M286" i="21"/>
  <c r="J286" i="21" s="1"/>
  <c r="M278" i="21"/>
  <c r="J278" i="21" s="1"/>
  <c r="M270" i="21"/>
  <c r="J270" i="21" s="1"/>
  <c r="M262" i="21"/>
  <c r="J262" i="21" s="1"/>
  <c r="M254" i="21"/>
  <c r="J254" i="21" s="1"/>
  <c r="M246" i="21"/>
  <c r="J246" i="21" s="1"/>
  <c r="M238" i="21"/>
  <c r="J238" i="21" s="1"/>
  <c r="M230" i="21"/>
  <c r="J230" i="21" s="1"/>
  <c r="M222" i="21"/>
  <c r="J222" i="21" s="1"/>
  <c r="M214" i="21"/>
  <c r="J214" i="21" s="1"/>
  <c r="M206" i="21"/>
  <c r="J206" i="21" s="1"/>
  <c r="M198" i="21"/>
  <c r="J198" i="21" s="1"/>
  <c r="M190" i="21"/>
  <c r="J190" i="21" s="1"/>
  <c r="M182" i="21"/>
  <c r="J182" i="21" s="1"/>
  <c r="M174" i="21"/>
  <c r="J174" i="21" s="1"/>
  <c r="M166" i="21"/>
  <c r="J166" i="21" s="1"/>
  <c r="M158" i="21"/>
  <c r="J158" i="21" s="1"/>
  <c r="M150" i="21"/>
  <c r="J150" i="21" s="1"/>
  <c r="M142" i="21"/>
  <c r="J142" i="21" s="1"/>
  <c r="M134" i="21"/>
  <c r="J134" i="21" s="1"/>
  <c r="M126" i="21"/>
  <c r="J126" i="21" s="1"/>
  <c r="M118" i="21"/>
  <c r="J118" i="21" s="1"/>
  <c r="M110" i="21"/>
  <c r="J110" i="21" s="1"/>
  <c r="M102" i="21"/>
  <c r="J102" i="21" s="1"/>
  <c r="M94" i="21"/>
  <c r="J94" i="21" s="1"/>
  <c r="M86" i="21"/>
  <c r="J86" i="21" s="1"/>
  <c r="M78" i="21"/>
  <c r="J78" i="21" s="1"/>
  <c r="M70" i="21"/>
  <c r="J70" i="21" s="1"/>
  <c r="M62" i="21"/>
  <c r="J62" i="21" s="1"/>
  <c r="M309" i="21"/>
  <c r="J309" i="21" s="1"/>
  <c r="M301" i="21"/>
  <c r="J301" i="21" s="1"/>
  <c r="M277" i="21"/>
  <c r="J277" i="21" s="1"/>
  <c r="M269" i="21"/>
  <c r="J269" i="21" s="1"/>
  <c r="M261" i="21"/>
  <c r="J261" i="21" s="1"/>
  <c r="M253" i="21"/>
  <c r="J253" i="21" s="1"/>
  <c r="M245" i="21"/>
  <c r="J245" i="21" s="1"/>
  <c r="M237" i="21"/>
  <c r="J237" i="21" s="1"/>
  <c r="M229" i="21"/>
  <c r="J229" i="21" s="1"/>
  <c r="M213" i="21"/>
  <c r="J213" i="21" s="1"/>
  <c r="M205" i="21"/>
  <c r="J205" i="21" s="1"/>
  <c r="M197" i="21"/>
  <c r="J197" i="21" s="1"/>
  <c r="M189" i="21"/>
  <c r="J189" i="21" s="1"/>
  <c r="M181" i="21"/>
  <c r="J181" i="21" s="1"/>
  <c r="M173" i="21"/>
  <c r="J173" i="21" s="1"/>
  <c r="M165" i="21"/>
  <c r="J165" i="21" s="1"/>
  <c r="M157" i="21"/>
  <c r="J157" i="21" s="1"/>
  <c r="M149" i="21"/>
  <c r="J149" i="21" s="1"/>
  <c r="M141" i="21"/>
  <c r="J141" i="21" s="1"/>
  <c r="M133" i="21"/>
  <c r="J133" i="21" s="1"/>
  <c r="M125" i="21"/>
  <c r="J125" i="21" s="1"/>
  <c r="M117" i="21"/>
  <c r="J117" i="21" s="1"/>
  <c r="M109" i="21"/>
  <c r="J109" i="21" s="1"/>
  <c r="M101" i="21"/>
  <c r="J101" i="21" s="1"/>
  <c r="M93" i="21"/>
  <c r="J93" i="21" s="1"/>
  <c r="M85" i="21"/>
  <c r="J85" i="21" s="1"/>
  <c r="M77" i="21"/>
  <c r="J77" i="21" s="1"/>
  <c r="M69" i="21"/>
  <c r="J69" i="21" s="1"/>
  <c r="M61" i="21"/>
  <c r="J61" i="21" s="1"/>
  <c r="M51" i="21"/>
  <c r="J51" i="21" s="1"/>
  <c r="M308" i="21"/>
  <c r="J308" i="21" s="1"/>
  <c r="M300" i="21"/>
  <c r="J300" i="21" s="1"/>
  <c r="M292" i="21"/>
  <c r="J292" i="21" s="1"/>
  <c r="M284" i="21"/>
  <c r="J284" i="21" s="1"/>
  <c r="M268" i="21"/>
  <c r="J268" i="21" s="1"/>
  <c r="M260" i="21"/>
  <c r="J260" i="21" s="1"/>
  <c r="M252" i="21"/>
  <c r="J252" i="21" s="1"/>
  <c r="M244" i="21"/>
  <c r="J244" i="21" s="1"/>
  <c r="M236" i="21"/>
  <c r="J236" i="21" s="1"/>
  <c r="M228" i="21"/>
  <c r="J228" i="21" s="1"/>
  <c r="M220" i="21"/>
  <c r="J220" i="21" s="1"/>
  <c r="M212" i="21"/>
  <c r="J212" i="21" s="1"/>
  <c r="M204" i="21"/>
  <c r="J204" i="21" s="1"/>
  <c r="M196" i="21"/>
  <c r="J196" i="21" s="1"/>
  <c r="M188" i="21"/>
  <c r="J188" i="21" s="1"/>
  <c r="M180" i="21"/>
  <c r="J180" i="21" s="1"/>
  <c r="M172" i="21"/>
  <c r="J172" i="21" s="1"/>
  <c r="M164" i="21"/>
  <c r="J164" i="21" s="1"/>
  <c r="M156" i="21"/>
  <c r="J156" i="21" s="1"/>
  <c r="M148" i="21"/>
  <c r="J148" i="21" s="1"/>
  <c r="M140" i="21"/>
  <c r="J140" i="21" s="1"/>
  <c r="M132" i="21"/>
  <c r="J132" i="21" s="1"/>
  <c r="M124" i="21"/>
  <c r="J124" i="21" s="1"/>
  <c r="M116" i="21"/>
  <c r="J116" i="21" s="1"/>
  <c r="M108" i="21"/>
  <c r="J108" i="21" s="1"/>
  <c r="M92" i="21"/>
  <c r="J92" i="21" s="1"/>
  <c r="M84" i="21"/>
  <c r="J84" i="21" s="1"/>
  <c r="M307" i="21"/>
  <c r="J307" i="21" s="1"/>
  <c r="M299" i="21"/>
  <c r="J299" i="21" s="1"/>
  <c r="M291" i="21"/>
  <c r="J291" i="21" s="1"/>
  <c r="M283" i="21"/>
  <c r="J283" i="21" s="1"/>
  <c r="M275" i="21"/>
  <c r="J275" i="21" s="1"/>
  <c r="M267" i="21"/>
  <c r="J267" i="21" s="1"/>
  <c r="M259" i="21"/>
  <c r="J259" i="21" s="1"/>
  <c r="M251" i="21"/>
  <c r="J251" i="21" s="1"/>
  <c r="M243" i="21"/>
  <c r="J243" i="21" s="1"/>
  <c r="M235" i="21"/>
  <c r="J235" i="21" s="1"/>
  <c r="M219" i="21"/>
  <c r="J219" i="21" s="1"/>
  <c r="M211" i="21"/>
  <c r="J211" i="21" s="1"/>
  <c r="M203" i="21"/>
  <c r="J203" i="21" s="1"/>
  <c r="M195" i="21"/>
  <c r="J195" i="21" s="1"/>
  <c r="M187" i="21"/>
  <c r="J187" i="21" s="1"/>
  <c r="M179" i="21"/>
  <c r="J179" i="21" s="1"/>
  <c r="M171" i="21"/>
  <c r="J171" i="21" s="1"/>
  <c r="M163" i="21"/>
  <c r="J163" i="21" s="1"/>
  <c r="M155" i="21"/>
  <c r="J155" i="21" s="1"/>
  <c r="M147" i="21"/>
  <c r="J147" i="21" s="1"/>
  <c r="M139" i="21"/>
  <c r="J139" i="21" s="1"/>
  <c r="M131" i="21"/>
  <c r="J131" i="21" s="1"/>
  <c r="M123" i="21"/>
  <c r="J123" i="21" s="1"/>
  <c r="M115" i="21"/>
  <c r="J115" i="21" s="1"/>
  <c r="M107" i="21"/>
  <c r="J107" i="21" s="1"/>
  <c r="M99" i="21"/>
  <c r="J99" i="21" s="1"/>
  <c r="M91" i="21"/>
  <c r="J91" i="21" s="1"/>
  <c r="M83" i="21"/>
  <c r="J83" i="21" s="1"/>
  <c r="M67" i="21"/>
  <c r="J67" i="21" s="1"/>
  <c r="M59" i="21"/>
  <c r="J59" i="21" s="1"/>
  <c r="M50" i="21"/>
  <c r="J50" i="21" s="1"/>
  <c r="M239" i="21"/>
  <c r="J239" i="21" s="1"/>
  <c r="M209" i="21"/>
  <c r="J209" i="21" s="1"/>
  <c r="M143" i="21"/>
  <c r="J143" i="21" s="1"/>
  <c r="M71" i="21"/>
  <c r="J71" i="21" s="1"/>
  <c r="M306" i="21"/>
  <c r="J306" i="21" s="1"/>
  <c r="M298" i="21"/>
  <c r="J298" i="21" s="1"/>
  <c r="M290" i="21"/>
  <c r="J290" i="21" s="1"/>
  <c r="M282" i="21"/>
  <c r="J282" i="21" s="1"/>
  <c r="M274" i="21"/>
  <c r="J274" i="21" s="1"/>
  <c r="M266" i="21"/>
  <c r="J266" i="21" s="1"/>
  <c r="M258" i="21"/>
  <c r="J258" i="21" s="1"/>
  <c r="M250" i="21"/>
  <c r="J250" i="21" s="1"/>
  <c r="M242" i="21"/>
  <c r="J242" i="21" s="1"/>
  <c r="M234" i="21"/>
  <c r="J234" i="21" s="1"/>
  <c r="M226" i="21"/>
  <c r="J226" i="21" s="1"/>
  <c r="M218" i="21"/>
  <c r="J218" i="21" s="1"/>
  <c r="M210" i="21"/>
  <c r="J210" i="21" s="1"/>
  <c r="M202" i="21"/>
  <c r="J202" i="21" s="1"/>
  <c r="M194" i="21"/>
  <c r="J194" i="21" s="1"/>
  <c r="M186" i="21"/>
  <c r="J186" i="21" s="1"/>
  <c r="M178" i="21"/>
  <c r="J178" i="21" s="1"/>
  <c r="M170" i="21"/>
  <c r="J170" i="21" s="1"/>
  <c r="M162" i="21"/>
  <c r="J162" i="21" s="1"/>
  <c r="M154" i="21"/>
  <c r="J154" i="21" s="1"/>
  <c r="M146" i="21"/>
  <c r="J146" i="21" s="1"/>
  <c r="M138" i="21"/>
  <c r="J138" i="21" s="1"/>
  <c r="M130" i="21"/>
  <c r="J130" i="21" s="1"/>
  <c r="M122" i="21"/>
  <c r="J122" i="21" s="1"/>
  <c r="M114" i="21"/>
  <c r="J114" i="21" s="1"/>
  <c r="M106" i="21"/>
  <c r="J106" i="21" s="1"/>
  <c r="M98" i="21"/>
  <c r="J98" i="21" s="1"/>
  <c r="M90" i="21"/>
  <c r="J90" i="21" s="1"/>
  <c r="M82" i="21"/>
  <c r="J82" i="21" s="1"/>
  <c r="M74" i="21"/>
  <c r="J74" i="21" s="1"/>
  <c r="M66" i="21"/>
  <c r="J66" i="21" s="1"/>
  <c r="M58" i="21"/>
  <c r="J58" i="21" s="1"/>
  <c r="M231" i="21"/>
  <c r="J231" i="21" s="1"/>
  <c r="M223" i="21"/>
  <c r="J223" i="21" s="1"/>
  <c r="M207" i="21"/>
  <c r="J207" i="21" s="1"/>
  <c r="M135" i="21"/>
  <c r="J135" i="21" s="1"/>
  <c r="M305" i="21"/>
  <c r="J305" i="21" s="1"/>
  <c r="M297" i="21"/>
  <c r="J297" i="21" s="1"/>
  <c r="M281" i="21"/>
  <c r="J281" i="21" s="1"/>
  <c r="M273" i="21"/>
  <c r="J273" i="21" s="1"/>
  <c r="M265" i="21"/>
  <c r="J265" i="21" s="1"/>
  <c r="M249" i="21"/>
  <c r="J249" i="21" s="1"/>
  <c r="M241" i="21"/>
  <c r="J241" i="21" s="1"/>
  <c r="M233" i="21"/>
  <c r="J233" i="21" s="1"/>
  <c r="M225" i="21"/>
  <c r="J225" i="21" s="1"/>
  <c r="M217" i="21"/>
  <c r="J217" i="21" s="1"/>
  <c r="M201" i="21"/>
  <c r="J201" i="21" s="1"/>
  <c r="M193" i="21"/>
  <c r="J193" i="21" s="1"/>
  <c r="M185" i="21"/>
  <c r="J185" i="21" s="1"/>
  <c r="M177" i="21"/>
  <c r="J177" i="21" s="1"/>
  <c r="M161" i="21"/>
  <c r="J161" i="21" s="1"/>
  <c r="M145" i="21"/>
  <c r="J145" i="21" s="1"/>
  <c r="M137" i="21"/>
  <c r="J137" i="21" s="1"/>
  <c r="M129" i="21"/>
  <c r="J129" i="21" s="1"/>
  <c r="M121" i="21"/>
  <c r="J121" i="21" s="1"/>
  <c r="M113" i="21"/>
  <c r="J113" i="21" s="1"/>
  <c r="M105" i="21"/>
  <c r="J105" i="21" s="1"/>
  <c r="M97" i="21"/>
  <c r="J97" i="21" s="1"/>
  <c r="M89" i="21"/>
  <c r="J89" i="21" s="1"/>
  <c r="M81" i="21"/>
  <c r="J81" i="21" s="1"/>
  <c r="M73" i="21"/>
  <c r="J73" i="21" s="1"/>
  <c r="M65" i="21"/>
  <c r="J65" i="21" s="1"/>
  <c r="M57" i="21"/>
  <c r="J57" i="21" s="1"/>
  <c r="M52" i="21"/>
  <c r="J52" i="21" s="1"/>
  <c r="M199" i="21"/>
  <c r="J199" i="21" s="1"/>
  <c r="M127" i="21"/>
  <c r="J127" i="21" s="1"/>
  <c r="M304" i="21"/>
  <c r="J304" i="21" s="1"/>
  <c r="M296" i="21"/>
  <c r="J296" i="21" s="1"/>
  <c r="M288" i="21"/>
  <c r="J288" i="21" s="1"/>
  <c r="M272" i="21"/>
  <c r="J272" i="21" s="1"/>
  <c r="M264" i="21"/>
  <c r="J264" i="21" s="1"/>
  <c r="M256" i="21"/>
  <c r="J256" i="21" s="1"/>
  <c r="M248" i="21"/>
  <c r="J248" i="21" s="1"/>
  <c r="M240" i="21"/>
  <c r="J240" i="21" s="1"/>
  <c r="M232" i="21"/>
  <c r="J232" i="21" s="1"/>
  <c r="M224" i="21"/>
  <c r="J224" i="21" s="1"/>
  <c r="M208" i="21"/>
  <c r="J208" i="21" s="1"/>
  <c r="M200" i="21"/>
  <c r="J200" i="21" s="1"/>
  <c r="M192" i="21"/>
  <c r="J192" i="21" s="1"/>
  <c r="M184" i="21"/>
  <c r="J184" i="21" s="1"/>
  <c r="M176" i="21"/>
  <c r="J176" i="21" s="1"/>
  <c r="M168" i="21"/>
  <c r="J168" i="21" s="1"/>
  <c r="M160" i="21"/>
  <c r="J160" i="21" s="1"/>
  <c r="M152" i="21"/>
  <c r="J152" i="21" s="1"/>
  <c r="M144" i="21"/>
  <c r="J144" i="21" s="1"/>
  <c r="M136" i="21"/>
  <c r="J136" i="21" s="1"/>
  <c r="M128" i="21"/>
  <c r="J128" i="21" s="1"/>
  <c r="M120" i="21"/>
  <c r="J120" i="21" s="1"/>
  <c r="M112" i="21"/>
  <c r="J112" i="21" s="1"/>
  <c r="M104" i="21"/>
  <c r="J104" i="21" s="1"/>
  <c r="M96" i="21"/>
  <c r="J96" i="21" s="1"/>
  <c r="M88" i="21"/>
  <c r="J88" i="21" s="1"/>
  <c r="M80" i="21"/>
  <c r="J80" i="21" s="1"/>
  <c r="M72" i="21"/>
  <c r="J72" i="21" s="1"/>
  <c r="M64" i="21"/>
  <c r="J64" i="21" s="1"/>
  <c r="M295" i="21"/>
  <c r="J295" i="21" s="1"/>
  <c r="M63" i="21"/>
  <c r="J63" i="21" s="1"/>
  <c r="M310" i="21"/>
  <c r="J310" i="21" s="1"/>
  <c r="M169" i="21"/>
  <c r="J169" i="21" s="1"/>
  <c r="M227" i="21"/>
  <c r="J227" i="21" s="1"/>
  <c r="M285" i="21"/>
  <c r="J285" i="21" s="1"/>
  <c r="M280" i="21"/>
  <c r="J280" i="21" s="1"/>
  <c r="M215" i="21"/>
  <c r="J215" i="21" s="1"/>
  <c r="M221" i="21"/>
  <c r="J221" i="21" s="1"/>
  <c r="AU314" i="30"/>
  <c r="AQ314" i="30" s="1"/>
  <c r="M100" i="21"/>
  <c r="J100" i="21" s="1"/>
  <c r="M216" i="21"/>
  <c r="J216" i="21" s="1"/>
  <c r="M293" i="21"/>
  <c r="J293" i="21" s="1"/>
  <c r="M276" i="21"/>
  <c r="J276" i="21" s="1"/>
  <c r="M159" i="21"/>
  <c r="J159" i="21" s="1"/>
  <c r="M3" i="18" l="1"/>
  <c r="Q5" i="19"/>
  <c r="N3" i="19"/>
  <c r="Q16" i="19" l="1"/>
  <c r="Q14" i="19"/>
  <c r="Q9" i="19"/>
  <c r="Q11" i="19"/>
  <c r="Q7" i="19"/>
  <c r="Q10" i="19"/>
  <c r="Q8" i="19"/>
  <c r="Q6" i="19"/>
  <c r="H5" i="19"/>
  <c r="Q15" i="19" s="1"/>
  <c r="I5" i="19"/>
  <c r="H10" i="19"/>
  <c r="I10" i="19"/>
  <c r="H40" i="29"/>
  <c r="M56" i="21"/>
  <c r="J56" i="21" s="1"/>
  <c r="F53" i="21"/>
  <c r="F54" i="21"/>
  <c r="F55" i="21"/>
  <c r="F56" i="21"/>
  <c r="K53" i="21"/>
  <c r="K54" i="21"/>
  <c r="K55" i="21"/>
  <c r="F3" i="21"/>
  <c r="H39" i="29"/>
  <c r="S9" i="18"/>
  <c r="S15" i="18"/>
  <c r="S16" i="18"/>
  <c r="S14" i="18"/>
  <c r="N5" i="18"/>
  <c r="S10" i="19" l="1"/>
  <c r="S5" i="19"/>
  <c r="M55" i="21"/>
  <c r="J55" i="21" s="1"/>
  <c r="M54" i="21"/>
  <c r="J54" i="21" s="1"/>
  <c r="M53" i="21"/>
  <c r="J53" i="21" s="1"/>
  <c r="V45" i="18"/>
  <c r="P3" i="19"/>
  <c r="K25" i="18" s="1"/>
  <c r="S3" i="18"/>
  <c r="S24" i="18"/>
  <c r="R1" i="18"/>
  <c r="H38" i="29"/>
  <c r="AC7" i="18"/>
  <c r="AC8" i="18"/>
  <c r="S26" i="18" l="1"/>
  <c r="H37" i="29"/>
  <c r="H36" i="29"/>
  <c r="D22" i="18"/>
  <c r="H35" i="29"/>
  <c r="W3" i="18" l="1"/>
  <c r="H34" i="29"/>
  <c r="H33" i="29"/>
  <c r="H4" i="29"/>
  <c r="H5" i="29"/>
  <c r="H6" i="29"/>
  <c r="H7" i="29"/>
  <c r="H8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M3" i="25" l="1"/>
  <c r="H3" i="29" l="1"/>
  <c r="AD23" i="18" l="1"/>
  <c r="S3" i="22"/>
  <c r="I3" i="19"/>
  <c r="I6" i="19"/>
  <c r="I7" i="19"/>
  <c r="I8" i="19"/>
  <c r="I9" i="19"/>
  <c r="H6" i="19"/>
  <c r="Q4" i="19" s="1"/>
  <c r="H7" i="19"/>
  <c r="Q3" i="19" s="1"/>
  <c r="H8" i="19"/>
  <c r="H9" i="19"/>
  <c r="Q17" i="19" s="1"/>
  <c r="H3" i="19"/>
  <c r="E4" i="18"/>
  <c r="V9" i="18" s="1"/>
  <c r="H1" i="18"/>
  <c r="V8" i="18" s="1"/>
  <c r="S6" i="19" l="1"/>
  <c r="S9" i="19"/>
  <c r="S8" i="19"/>
  <c r="S7" i="19"/>
  <c r="AD22" i="18"/>
  <c r="Q13" i="19"/>
  <c r="Q12" i="19"/>
  <c r="N4" i="18"/>
  <c r="S3" i="19"/>
  <c r="L3" i="21" l="1"/>
  <c r="K3" i="21" s="1"/>
  <c r="M3" i="21" s="1"/>
  <c r="Y14" i="18" l="1"/>
  <c r="U3" i="18" s="1"/>
  <c r="AA14" i="18"/>
  <c r="U4" i="18" s="1"/>
  <c r="J3" i="21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" i="5"/>
</calcChain>
</file>

<file path=xl/sharedStrings.xml><?xml version="1.0" encoding="utf-8"?>
<sst xmlns="http://schemas.openxmlformats.org/spreadsheetml/2006/main" count="4652" uniqueCount="1607">
  <si>
    <t>Müştəri haqqında məlumat</t>
  </si>
  <si>
    <t>Müştəri</t>
  </si>
  <si>
    <t>Sifariş sayı</t>
  </si>
  <si>
    <t>Dəyər</t>
  </si>
  <si>
    <t>Ödəniş</t>
  </si>
  <si>
    <t>Qalıq</t>
  </si>
  <si>
    <t>23,12,2024</t>
  </si>
  <si>
    <t>Müştəri :</t>
  </si>
  <si>
    <t>Elnur Liva Mebel</t>
  </si>
  <si>
    <t xml:space="preserve">№  </t>
  </si>
  <si>
    <t>Kamran kaya desıgn</t>
  </si>
  <si>
    <t>Satıcı ∶</t>
  </si>
  <si>
    <t>Sifariş haqqda məlumat  ∶</t>
  </si>
  <si>
    <t>Qeyd :</t>
  </si>
  <si>
    <t>45 Profil  Qara</t>
  </si>
  <si>
    <t>Status :</t>
  </si>
  <si>
    <t>Normal</t>
  </si>
  <si>
    <t>Profil :</t>
  </si>
  <si>
    <t>Təcili</t>
  </si>
  <si>
    <t>Sifariş  Məlumatları</t>
  </si>
  <si>
    <t>Tip</t>
  </si>
  <si>
    <t>Hündürlük</t>
  </si>
  <si>
    <t>x</t>
  </si>
  <si>
    <t xml:space="preserve">En </t>
  </si>
  <si>
    <t>Ədəd</t>
  </si>
  <si>
    <t>Sifarişin ümumi  məlumatları</t>
  </si>
  <si>
    <t xml:space="preserve">Sifariş  №  </t>
  </si>
  <si>
    <t>B.Q</t>
  </si>
  <si>
    <t>Ümumi qapaq sayı :</t>
  </si>
  <si>
    <t>Sifariş kodu</t>
  </si>
  <si>
    <t>B.A</t>
  </si>
  <si>
    <t>Ümumi profil  sayı :</t>
  </si>
  <si>
    <t>Qiymət  3 m:</t>
  </si>
  <si>
    <t>Ümumi  :</t>
  </si>
  <si>
    <t>Satıcı</t>
  </si>
  <si>
    <t>Şüşə növü        :</t>
  </si>
  <si>
    <t>Fümə şüşə</t>
  </si>
  <si>
    <t>Tarix</t>
  </si>
  <si>
    <t>15,01,2024</t>
  </si>
  <si>
    <t>Ümumi şüşə ölçüsü :</t>
  </si>
  <si>
    <t>Qiymət  1 m² :</t>
  </si>
  <si>
    <t>Fariz Faiq</t>
  </si>
  <si>
    <t>Telefon</t>
  </si>
  <si>
    <t>Əlavə  Aksesuar və  bağlantılar</t>
  </si>
  <si>
    <t>Qeyd</t>
  </si>
  <si>
    <t>Bağlantı   :</t>
  </si>
  <si>
    <t>Qiymət  :</t>
  </si>
  <si>
    <t>Profil</t>
  </si>
  <si>
    <t>45 Profil  Qızılı</t>
  </si>
  <si>
    <t>Petlə :</t>
  </si>
  <si>
    <t>Qiymət :</t>
  </si>
  <si>
    <t>Yan profili</t>
  </si>
  <si>
    <t>45 Profil  Yan Qızılı</t>
  </si>
  <si>
    <t>Mexanizm :</t>
  </si>
  <si>
    <t>Profil kodu</t>
  </si>
  <si>
    <t>Ölçüsü</t>
  </si>
  <si>
    <t>İşçilik</t>
  </si>
  <si>
    <t>Qiyməti</t>
  </si>
  <si>
    <t>Petlə  yeri açılması :</t>
  </si>
  <si>
    <t>Qulp növü</t>
  </si>
  <si>
    <t>45 Profil  Boy Qulp Qızılı</t>
  </si>
  <si>
    <t>Qapaqların yığılması :</t>
  </si>
  <si>
    <t>Nəqliyyat    :</t>
  </si>
  <si>
    <t>Anbarda qalan</t>
  </si>
  <si>
    <t>Şüşə və ya  Güzgü</t>
  </si>
  <si>
    <t>Yekun</t>
  </si>
  <si>
    <t>Petlə</t>
  </si>
  <si>
    <t>Yarım Dəvə 2x2 Qara</t>
  </si>
  <si>
    <t>En</t>
  </si>
  <si>
    <t>Anbarda  m²</t>
  </si>
  <si>
    <t>Ümumi məbləğ   :</t>
  </si>
  <si>
    <t>Petle kodu</t>
  </si>
  <si>
    <t>Ödəniş  :</t>
  </si>
  <si>
    <t>Petlə sayı</t>
  </si>
  <si>
    <t>Qalıq  :</t>
  </si>
  <si>
    <t>Petlə qiyməti</t>
  </si>
  <si>
    <t>Fitil qiymeti</t>
  </si>
  <si>
    <t>Bizi  seçdiyiniz  üçün  təşəkkür edi                                                                                                      Hörmətlə    AlumPro</t>
  </si>
  <si>
    <t>Şüşə</t>
  </si>
  <si>
    <r>
      <t>Ölçüsü m</t>
    </r>
    <r>
      <rPr>
        <b/>
        <sz val="10"/>
        <color theme="0" tint="-4.9989318521683403E-2"/>
        <rFont val="Calibri"/>
        <family val="2"/>
        <charset val="204"/>
      </rPr>
      <t>²</t>
    </r>
  </si>
  <si>
    <t>Şüşə qiyməti</t>
  </si>
  <si>
    <t>Bağlantı</t>
  </si>
  <si>
    <t>Bağlantı 2x2 qalın Metallik</t>
  </si>
  <si>
    <t>Bağlantı kodu</t>
  </si>
  <si>
    <t>Bağlantı sayı</t>
  </si>
  <si>
    <t>Bağlantı qiyməti</t>
  </si>
  <si>
    <t>Mexanizm</t>
  </si>
  <si>
    <t>Asqılı Qapı Mexanizmi Albatur</t>
  </si>
  <si>
    <t>Mexanizm kodu</t>
  </si>
  <si>
    <t>Mexanizm sayı</t>
  </si>
  <si>
    <t>Mexanizm qiyməti</t>
  </si>
  <si>
    <t>Petlə yeri qiyməti</t>
  </si>
  <si>
    <t>Yığım qiyməti</t>
  </si>
  <si>
    <t>Nəqliyyat</t>
  </si>
  <si>
    <t>Ümumi məbləğ</t>
  </si>
  <si>
    <t>Endirim</t>
  </si>
  <si>
    <t/>
  </si>
  <si>
    <t>Yan Profili</t>
  </si>
  <si>
    <t xml:space="preserve">Ölçü / 3m </t>
  </si>
  <si>
    <t xml:space="preserve">Qiymət </t>
  </si>
  <si>
    <t xml:space="preserve">Profil kodu </t>
  </si>
  <si>
    <t>Ölçü / 3m</t>
  </si>
  <si>
    <t>Qiymət</t>
  </si>
  <si>
    <t xml:space="preserve">Fitil qiymeti </t>
  </si>
  <si>
    <t>Ölçüsü m²</t>
  </si>
  <si>
    <t>Qəbul</t>
  </si>
  <si>
    <t>Təhvil</t>
  </si>
  <si>
    <t>Qəbul statusu</t>
  </si>
  <si>
    <t>Təhvil statusu</t>
  </si>
  <si>
    <t>Qəbul mesajı</t>
  </si>
  <si>
    <t>Təhvil mesajı</t>
  </si>
  <si>
    <t>Ad</t>
  </si>
  <si>
    <t>Ad2</t>
  </si>
  <si>
    <t>*ALUMPRO333*</t>
  </si>
  <si>
    <t>Vusal</t>
  </si>
  <si>
    <t>8/5/2025</t>
  </si>
  <si>
    <t>994773337525</t>
  </si>
  <si>
    <t>*ALUMPRO332*</t>
  </si>
  <si>
    <t>Nihad</t>
  </si>
  <si>
    <t>*ALUMPRO331*</t>
  </si>
  <si>
    <t>20,12,2024</t>
  </si>
  <si>
    <t>*ALUMPRO330*</t>
  </si>
  <si>
    <t>15,01,2025</t>
  </si>
  <si>
    <t>Lux Concept</t>
  </si>
  <si>
    <t>994554094045</t>
  </si>
  <si>
    <t>*ALUMPRO329*</t>
  </si>
  <si>
    <t>04,01,2025</t>
  </si>
  <si>
    <t>Ehed Qorizont</t>
  </si>
  <si>
    <t>994504996970</t>
  </si>
  <si>
    <t>*ALUMPRO328*</t>
  </si>
  <si>
    <t>1/15/2025</t>
  </si>
  <si>
    <t>Togrul Mikayil</t>
  </si>
  <si>
    <t>994552322333</t>
  </si>
  <si>
    <t>*ALUMPRO327*</t>
  </si>
  <si>
    <t>14,01,2025</t>
  </si>
  <si>
    <t>Ramal Subhan</t>
  </si>
  <si>
    <t>994559148008</t>
  </si>
  <si>
    <t>*ALUMPRO325*</t>
  </si>
  <si>
    <t>Omer Isazade</t>
  </si>
  <si>
    <t>994506218984</t>
  </si>
  <si>
    <t>*ALUMPRO324*</t>
  </si>
  <si>
    <t>Huseyn Ozturk</t>
  </si>
  <si>
    <t>994556156700</t>
  </si>
  <si>
    <t>*ALUMPRO323*</t>
  </si>
  <si>
    <t>Emin Serkerli</t>
  </si>
  <si>
    <t>994559774035</t>
  </si>
  <si>
    <t>*ALUMPRO322*</t>
  </si>
  <si>
    <t>Samir Gold Wood</t>
  </si>
  <si>
    <t>994556263636</t>
  </si>
  <si>
    <t>*ALUMPRO321*</t>
  </si>
  <si>
    <t>*ALUMPRO320*</t>
  </si>
  <si>
    <t>Ibrahim Vusal Koryan</t>
  </si>
  <si>
    <t>994552600080</t>
  </si>
  <si>
    <t>*ALUMPRO319*</t>
  </si>
  <si>
    <t>10,01,2025</t>
  </si>
  <si>
    <t>Celal Alumpro</t>
  </si>
  <si>
    <t>azer</t>
  </si>
  <si>
    <t>*ALUMPRO318*</t>
  </si>
  <si>
    <t>My Concept</t>
  </si>
  <si>
    <t>994502111355</t>
  </si>
  <si>
    <t>*ALUMPRO317*</t>
  </si>
  <si>
    <t>kamila</t>
  </si>
  <si>
    <t>*ALUMPRO316*</t>
  </si>
  <si>
    <t>26,12,2024</t>
  </si>
  <si>
    <t>qara mermer</t>
  </si>
  <si>
    <t>*ALUMPRO315*</t>
  </si>
  <si>
    <t>25,12,2024</t>
  </si>
  <si>
    <t>cavid</t>
  </si>
  <si>
    <t>*ALUMPRO314*</t>
  </si>
  <si>
    <t>24,12,2024</t>
  </si>
  <si>
    <t>temir 7 qapaq</t>
  </si>
  <si>
    <t>*ALUMPRO313*</t>
  </si>
  <si>
    <t>temir</t>
  </si>
  <si>
    <t>*ALUMPRO312*</t>
  </si>
  <si>
    <t>18,12,2024</t>
  </si>
  <si>
    <t>vusal usta</t>
  </si>
  <si>
    <t>*ALUMPRO311*</t>
  </si>
  <si>
    <t>rafael</t>
  </si>
  <si>
    <t>*ALUMPRO310*</t>
  </si>
  <si>
    <t>10,12,2024</t>
  </si>
  <si>
    <t>*ALUMPRO309*</t>
  </si>
  <si>
    <t>Fuad Ramazanov</t>
  </si>
  <si>
    <t>994519048823</t>
  </si>
  <si>
    <t>45 qara</t>
  </si>
  <si>
    <t>boy</t>
  </si>
  <si>
    <t>*ALUMPRO308*</t>
  </si>
  <si>
    <t>1/14/2025</t>
  </si>
  <si>
    <t>Mahir MM</t>
  </si>
  <si>
    <t>994773691369</t>
  </si>
  <si>
    <t>45 qızılı</t>
  </si>
  <si>
    <t>*ALUMPRO307*</t>
  </si>
  <si>
    <t>13,01,2025</t>
  </si>
  <si>
    <t>Aksin Mahmudov</t>
  </si>
  <si>
    <t>994772775177</t>
  </si>
  <si>
    <t>2x2 qara</t>
  </si>
  <si>
    <t>basac</t>
  </si>
  <si>
    <t>2x2  düz</t>
  </si>
  <si>
    <t>*ALUMPRO306*</t>
  </si>
  <si>
    <t>994704246454</t>
  </si>
  <si>
    <t>Qəhvəyi şüşə</t>
  </si>
  <si>
    <t>*ALUMPRO305*</t>
  </si>
  <si>
    <t>Kandar Palid</t>
  </si>
  <si>
    <t>994502390343</t>
  </si>
  <si>
    <t>Temp Fümə şüşə</t>
  </si>
  <si>
    <t>*ALUMPRO304*</t>
  </si>
  <si>
    <t>Rauf Yusubov</t>
  </si>
  <si>
    <t>994558646261</t>
  </si>
  <si>
    <t>*ALUMPRO303*</t>
  </si>
  <si>
    <t>Ceyhun Sumqayit</t>
  </si>
  <si>
    <t>994505628822</t>
  </si>
  <si>
    <t>*ALUMPRO302*</t>
  </si>
  <si>
    <t>Togrul Memmeddli</t>
  </si>
  <si>
    <t>994515557737</t>
  </si>
  <si>
    <t>*ALUMPRO301*</t>
  </si>
  <si>
    <t xml:space="preserve">Vladmir </t>
  </si>
  <si>
    <t>994557003510</t>
  </si>
  <si>
    <t>*ALUMPRO300*</t>
  </si>
  <si>
    <t>Malik Tagiyev</t>
  </si>
  <si>
    <t>994503397491</t>
  </si>
  <si>
    <t>*ALUMPRO299*</t>
  </si>
  <si>
    <t>1/13/2025</t>
  </si>
  <si>
    <t>Cesaret Lyent</t>
  </si>
  <si>
    <t>994506717103</t>
  </si>
  <si>
    <t>Vega qizili</t>
  </si>
  <si>
    <t>*ALUMPRO298*</t>
  </si>
  <si>
    <t>09,01,2024</t>
  </si>
  <si>
    <t>2x2 qızılı</t>
  </si>
  <si>
    <t>20 sm</t>
  </si>
  <si>
    <t>*ALUMPRO297*</t>
  </si>
  <si>
    <t>1/10/2025</t>
  </si>
  <si>
    <t>Elmedden Quliyev</t>
  </si>
  <si>
    <t>994516321999</t>
  </si>
  <si>
    <t>Qəhvəyi refle şüşə</t>
  </si>
  <si>
    <t>*ALUMPRO296*</t>
  </si>
  <si>
    <t>45 kofe</t>
  </si>
  <si>
    <t>qulp</t>
  </si>
  <si>
    <t>qehveyi zerkalni</t>
  </si>
  <si>
    <t>*ALUMPRO295*</t>
  </si>
  <si>
    <t>1/9/2025</t>
  </si>
  <si>
    <t>Mansur Aliyev</t>
  </si>
  <si>
    <t>994554895908</t>
  </si>
  <si>
    <t>*ALUMPRO294*</t>
  </si>
  <si>
    <t>Mutfakci Maliyye</t>
  </si>
  <si>
    <t>994512063544</t>
  </si>
  <si>
    <t>mahir eliyev</t>
  </si>
  <si>
    <t>*ALUMPRO293*</t>
  </si>
  <si>
    <t>08,01,2024</t>
  </si>
  <si>
    <t>*ALUMPRO292*</t>
  </si>
  <si>
    <t>*ALUMPRO291*</t>
  </si>
  <si>
    <t>1/8/2025</t>
  </si>
  <si>
    <t>16 qapaq x 103 azn</t>
  </si>
  <si>
    <t>*ALUMPRO290*</t>
  </si>
  <si>
    <t>Rovsen Sex Mebel</t>
  </si>
  <si>
    <t>994502573567</t>
  </si>
  <si>
    <t>*ALUMPRO289*</t>
  </si>
  <si>
    <t>Ramiz Salayev</t>
  </si>
  <si>
    <t>994705238003</t>
  </si>
  <si>
    <t>Qara</t>
  </si>
  <si>
    <t>Mətbəx üst işıqlı</t>
  </si>
  <si>
    <t>*ALUMPRO288*</t>
  </si>
  <si>
    <t>2x2 kofe</t>
  </si>
  <si>
    <t>*ALUMPRO287*</t>
  </si>
  <si>
    <t>07,01,2024</t>
  </si>
  <si>
    <t>Ferman Mebel</t>
  </si>
  <si>
    <t>994505155225</t>
  </si>
  <si>
    <t>qara vega</t>
  </si>
  <si>
    <t>Vega yan profil</t>
  </si>
  <si>
    <t>*ALUMPRO286*</t>
  </si>
  <si>
    <t>Elsever Vusal Gedebey</t>
  </si>
  <si>
    <t>994773002223</t>
  </si>
  <si>
    <t>45 Türk qızılı</t>
  </si>
  <si>
    <t>*ALUMPRO285*</t>
  </si>
  <si>
    <t xml:space="preserve">Resad Mebelline </t>
  </si>
  <si>
    <t>994703076627</t>
  </si>
  <si>
    <t>208,5 x 43,7 x 2</t>
  </si>
  <si>
    <t>Mərmər Qızılı</t>
  </si>
  <si>
    <t xml:space="preserve">Adi güzgü </t>
  </si>
  <si>
    <t>*ALUMPRO284*</t>
  </si>
  <si>
    <t>2x2 antrasit</t>
  </si>
  <si>
    <t>*ALUMPRO283*</t>
  </si>
  <si>
    <t>06,01,2024</t>
  </si>
  <si>
    <t>Muxtar Fierro</t>
  </si>
  <si>
    <t>994775015642</t>
  </si>
  <si>
    <t>*ALUMPRO282*</t>
  </si>
  <si>
    <t>Arzena</t>
  </si>
  <si>
    <t>*ALUMPRO281*</t>
  </si>
  <si>
    <t>Mehdiyev Mikayil</t>
  </si>
  <si>
    <t>994707504490</t>
  </si>
  <si>
    <t>boy qulp</t>
  </si>
  <si>
    <t>*ALUMPRO280*</t>
  </si>
  <si>
    <t>Vaqif German</t>
  </si>
  <si>
    <t>994706230408</t>
  </si>
  <si>
    <t>*ALUMPRO279*</t>
  </si>
  <si>
    <t>Emilya Xudiyeva</t>
  </si>
  <si>
    <t>994502995338</t>
  </si>
  <si>
    <t>*ALUMPRO278*</t>
  </si>
  <si>
    <t>Resad Qarazavod</t>
  </si>
  <si>
    <t>994553303356</t>
  </si>
  <si>
    <t>Qara 3 meter</t>
  </si>
  <si>
    <t>Mətbəx U işıqsız</t>
  </si>
  <si>
    <t>*ALUMPRO277*</t>
  </si>
  <si>
    <t>Qara 6 meter</t>
  </si>
  <si>
    <t>Mətbəx L işıqsız</t>
  </si>
  <si>
    <t>*ALUMPRO276*</t>
  </si>
  <si>
    <t>*ALUMPRO275*</t>
  </si>
  <si>
    <t>03,01,2025</t>
  </si>
  <si>
    <t>*ALUMPRO274*</t>
  </si>
  <si>
    <t>Rovsen Qarazavod</t>
  </si>
  <si>
    <t>994702454647</t>
  </si>
  <si>
    <t>*ALUMPRO273*</t>
  </si>
  <si>
    <t>Mecnun Sahmurov</t>
  </si>
  <si>
    <t>994705137062</t>
  </si>
  <si>
    <t>*ALUMPRO272*</t>
  </si>
  <si>
    <t>1/4/2025</t>
  </si>
  <si>
    <t>Avni Aydin</t>
  </si>
  <si>
    <t>994558241661</t>
  </si>
  <si>
    <t>gizli qapi qara</t>
  </si>
  <si>
    <t>Gizli Qapı Profili Qara</t>
  </si>
  <si>
    <t>İtalyan standart</t>
  </si>
  <si>
    <t>*ALUMPRO271*</t>
  </si>
  <si>
    <t>2x2 antrasit vertikaı</t>
  </si>
  <si>
    <t>vertikal</t>
  </si>
  <si>
    <t>*ALUMPRO270*</t>
  </si>
  <si>
    <t>28,12,2024</t>
  </si>
  <si>
    <t>2x2 vertikal qizili</t>
  </si>
  <si>
    <t xml:space="preserve"> Temp Qəhvəyi şüşə</t>
  </si>
  <si>
    <t>*ALUMPRO269*</t>
  </si>
  <si>
    <t>Elnur Cəlal</t>
  </si>
  <si>
    <t>*ALUMPRO268*</t>
  </si>
  <si>
    <t>Temir</t>
  </si>
  <si>
    <t>*ALUMPRO267*</t>
  </si>
  <si>
    <t>*ALUMPRO266*</t>
  </si>
  <si>
    <t>1/3/2025</t>
  </si>
  <si>
    <t>Təmir</t>
  </si>
  <si>
    <t>*ALUMPRO265*</t>
  </si>
  <si>
    <t>12/29/2024</t>
  </si>
  <si>
    <t>Eshqin Lastella</t>
  </si>
  <si>
    <t>994703251513</t>
  </si>
  <si>
    <t>*ALUMPRO264*</t>
  </si>
  <si>
    <t>Eli</t>
  </si>
  <si>
    <t>*ALUMPRO263*</t>
  </si>
  <si>
    <t>Cavid Kahveci</t>
  </si>
  <si>
    <t>994552147470</t>
  </si>
  <si>
    <t>*ALUMPRO262*</t>
  </si>
  <si>
    <t>*ALUMPRO261*</t>
  </si>
  <si>
    <t>Vusal Nusalov</t>
  </si>
  <si>
    <t>994554991784</t>
  </si>
  <si>
    <t>*ALUMPRO260*</t>
  </si>
  <si>
    <t>*ALUMPRO259*</t>
  </si>
  <si>
    <t>Cosqun Mebel Sex</t>
  </si>
  <si>
    <t>994555781314</t>
  </si>
  <si>
    <t>*ALUMPRO258*</t>
  </si>
  <si>
    <t>*ALUMPRO257*</t>
  </si>
  <si>
    <t>Elvin Avelina</t>
  </si>
  <si>
    <t>*ALUMPRO256*</t>
  </si>
  <si>
    <t>Sabir Vusal</t>
  </si>
  <si>
    <t>994503995336</t>
  </si>
  <si>
    <t>*ALUMPRO255*</t>
  </si>
  <si>
    <t>Ilqar Qara</t>
  </si>
  <si>
    <t>994508586959</t>
  </si>
  <si>
    <t>*ALUMPRO254*</t>
  </si>
  <si>
    <t>Rufet Xasay Dayi</t>
  </si>
  <si>
    <t>994505944929</t>
  </si>
  <si>
    <t>*ALUMPRO253*</t>
  </si>
  <si>
    <t>Fuad Cavansir</t>
  </si>
  <si>
    <t>994503007105</t>
  </si>
  <si>
    <t>*ALUMPRO252*</t>
  </si>
  <si>
    <t>*ALUMPRO251*</t>
  </si>
  <si>
    <t>994502150506</t>
  </si>
  <si>
    <t>*ALUMPRO250*</t>
  </si>
  <si>
    <t>*ALUMPRO249*</t>
  </si>
  <si>
    <t>*ALUMPRO248*</t>
  </si>
  <si>
    <t>*ALUMPRO247*</t>
  </si>
  <si>
    <t>Gulnare White Corner</t>
  </si>
  <si>
    <t>994702500024</t>
  </si>
  <si>
    <t>*ALUMPRO246*</t>
  </si>
  <si>
    <t>Behman Elit Mebel</t>
  </si>
  <si>
    <t>994502406369</t>
  </si>
  <si>
    <t>*ALUMPRO245*</t>
  </si>
  <si>
    <t>Soltan Klent</t>
  </si>
  <si>
    <t>994503696745</t>
  </si>
  <si>
    <t>*ALUMPRO244*</t>
  </si>
  <si>
    <t>Abdulla Abdullayev</t>
  </si>
  <si>
    <t>994553233919</t>
  </si>
  <si>
    <t>*ALUMPRO243*</t>
  </si>
  <si>
    <t>Ceyhun Bmw Doz</t>
  </si>
  <si>
    <t>994503232344</t>
  </si>
  <si>
    <t>Şəffaf şüşə</t>
  </si>
  <si>
    <t>*ALUMPRO242*</t>
  </si>
  <si>
    <t>Samir Ayla Mebel</t>
  </si>
  <si>
    <t>994505703525</t>
  </si>
  <si>
    <t>*ALUMPRO241*</t>
  </si>
  <si>
    <t>12/28/2024</t>
  </si>
  <si>
    <t>Kohne borcu ustune gelirem</t>
  </si>
  <si>
    <t>*ALUMPRO240*</t>
  </si>
  <si>
    <t>01,11,2024</t>
  </si>
  <si>
    <t>*ALUMPRO239*</t>
  </si>
  <si>
    <t>*ALUMPRO237*</t>
  </si>
  <si>
    <t>29,10,2024</t>
  </si>
  <si>
    <t>45 Qızılı</t>
  </si>
  <si>
    <t>*ALUMPRO236*</t>
  </si>
  <si>
    <t>24,10,2024</t>
  </si>
  <si>
    <t>*ALUMPRO235*</t>
  </si>
  <si>
    <t>*ALUMPRO234*</t>
  </si>
  <si>
    <t>11,11,2024</t>
  </si>
  <si>
    <t>45 açıq antrasit</t>
  </si>
  <si>
    <t>Qara Zerkalni şüşə</t>
  </si>
  <si>
    <t>*ALUMPRO233*</t>
  </si>
  <si>
    <t>Elsen Veliyev</t>
  </si>
  <si>
    <t>*ALUMPRO232*</t>
  </si>
  <si>
    <t>Mərmər Qara</t>
  </si>
  <si>
    <t>*ALUMPRO231*</t>
  </si>
  <si>
    <t>Hikmet Qalib</t>
  </si>
  <si>
    <t>9946498358</t>
  </si>
  <si>
    <t>*ALUMPRO230*</t>
  </si>
  <si>
    <t>*ALUMPRO229*</t>
  </si>
  <si>
    <t>Ibrahim Baksol</t>
  </si>
  <si>
    <t>Konus yan Qızılı</t>
  </si>
  <si>
    <t>qulp konus qizili</t>
  </si>
  <si>
    <t>Ağ refle şüşə</t>
  </si>
  <si>
    <t>*ALUMPRO228*</t>
  </si>
  <si>
    <t>*ALUMPRO227*</t>
  </si>
  <si>
    <t>*ALUMPRO226*</t>
  </si>
  <si>
    <t>Elmar Amay</t>
  </si>
  <si>
    <t>*ALUMPRO225*</t>
  </si>
  <si>
    <t>*ALUMPRO224*</t>
  </si>
  <si>
    <t>Ruslan Huseynov</t>
  </si>
  <si>
    <t>*ALUMPRO223*</t>
  </si>
  <si>
    <t>Qizili</t>
  </si>
  <si>
    <t>Mərmər</t>
  </si>
  <si>
    <t>*ALUMPRO222*</t>
  </si>
  <si>
    <t>*ALUMPRO221*</t>
  </si>
  <si>
    <t>Aqil</t>
  </si>
  <si>
    <t>*ALUMPRO220*</t>
  </si>
  <si>
    <t>Taciye</t>
  </si>
  <si>
    <t>*ALUMPRO219*</t>
  </si>
  <si>
    <t>*ALUMPRO218*</t>
  </si>
  <si>
    <t>*ALUMPRO217*</t>
  </si>
  <si>
    <t>Emin Badamdar</t>
  </si>
  <si>
    <t>*ALUMPRO216*</t>
  </si>
  <si>
    <t>Elmar Celal</t>
  </si>
  <si>
    <t>994507176718</t>
  </si>
  <si>
    <t>*ALUMPRO215*</t>
  </si>
  <si>
    <t>Xezer Ideal Mutfak</t>
  </si>
  <si>
    <t>994554442129</t>
  </si>
  <si>
    <t>L profil 50 azn neqliyata yazilib</t>
  </si>
  <si>
    <t>*ALUMPRO214*</t>
  </si>
  <si>
    <t>*ALUMPRO213*</t>
  </si>
  <si>
    <t>*ALUMPRO212*</t>
  </si>
  <si>
    <t>12/27/2024</t>
  </si>
  <si>
    <t>Rufet Musteri Bineqedi</t>
  </si>
  <si>
    <t>994503903930</t>
  </si>
  <si>
    <t>*ALUMPRO211*</t>
  </si>
  <si>
    <t>*ALUMPRO208*</t>
  </si>
  <si>
    <t>*ALUMPRO207*</t>
  </si>
  <si>
    <t>21,12,2024</t>
  </si>
  <si>
    <t xml:space="preserve">Sameddin </t>
  </si>
  <si>
    <t>*ALUMPRO206*</t>
  </si>
  <si>
    <t>Servin</t>
  </si>
  <si>
    <t>*ALUMPRO205*</t>
  </si>
  <si>
    <t>*ALUMPRO204*</t>
  </si>
  <si>
    <t>Zaur Nehmetov</t>
  </si>
  <si>
    <t>994502104465</t>
  </si>
  <si>
    <t>*ALUMPRO203*</t>
  </si>
  <si>
    <t>Punhan Qebele</t>
  </si>
  <si>
    <t>*ALUMPRO202*</t>
  </si>
  <si>
    <t>Zaur Oguz</t>
  </si>
  <si>
    <t>*ALUMPRO201*</t>
  </si>
  <si>
    <t>Royal Legno Mebel</t>
  </si>
  <si>
    <t>994515167423</t>
  </si>
  <si>
    <t>3x3 oval antrasit</t>
  </si>
  <si>
    <t>110 sm</t>
  </si>
  <si>
    <t>*ALUMPRO200*</t>
  </si>
  <si>
    <t>Zerkalni refle şüşə</t>
  </si>
  <si>
    <t>*ALUMPRO199*</t>
  </si>
  <si>
    <t>*ALUMPRO198*</t>
  </si>
  <si>
    <t>*ALUMPRO197*</t>
  </si>
  <si>
    <t>Turan Bayramov</t>
  </si>
  <si>
    <t>*ALUMPRO196*</t>
  </si>
  <si>
    <t>Zakir Bmw Servis</t>
  </si>
  <si>
    <t>994552332387</t>
  </si>
  <si>
    <t>*ALUMPRO195*</t>
  </si>
  <si>
    <t>*ALUMPRO194*</t>
  </si>
  <si>
    <t>19,12,2024</t>
  </si>
  <si>
    <t>Ismayil Ismayilov Zevna</t>
  </si>
  <si>
    <t>994709008920</t>
  </si>
  <si>
    <t>endirim 67 azn qaliq 1400</t>
  </si>
  <si>
    <t>*ALUMPRO193*</t>
  </si>
  <si>
    <t>Niyameddin Bayramov</t>
  </si>
  <si>
    <t>070-299-02-32</t>
  </si>
  <si>
    <t xml:space="preserve"> Temp Şəffaf şüşə</t>
  </si>
  <si>
    <t>*ALUMPRO192*</t>
  </si>
  <si>
    <t>*ALUMPRO191*</t>
  </si>
  <si>
    <t>Geray Memmedov</t>
  </si>
  <si>
    <t>055-515-14-48</t>
  </si>
  <si>
    <t>*ALUMPRO190*</t>
  </si>
  <si>
    <t>*ALUMPRO189*</t>
  </si>
  <si>
    <t>17,12,2024</t>
  </si>
  <si>
    <t>*ALUMPRO188*</t>
  </si>
  <si>
    <t>Elsen Eldizayn</t>
  </si>
  <si>
    <t>endirim 52 azn</t>
  </si>
  <si>
    <t>*ALUMPRO187*</t>
  </si>
  <si>
    <t>16,12,2024</t>
  </si>
  <si>
    <t>Qadir Ceferov</t>
  </si>
  <si>
    <t>0558993386</t>
  </si>
  <si>
    <t>Qəhvəyi zerkalni şüşə</t>
  </si>
  <si>
    <t>*ALUMPRO186*</t>
  </si>
  <si>
    <t>*ALUMPRO185*</t>
  </si>
  <si>
    <t>Tural Punhan</t>
  </si>
  <si>
    <t>*ALUMPRO184*</t>
  </si>
  <si>
    <t>*ALUMPRO183*</t>
  </si>
  <si>
    <t>Ebulfez Qasımzade</t>
  </si>
  <si>
    <t>994558314948</t>
  </si>
  <si>
    <t>*ALUMPRO182*</t>
  </si>
  <si>
    <t>Ceyhun Kaktus</t>
  </si>
  <si>
    <t>*ALUMPRO181*</t>
  </si>
  <si>
    <t>*ALUMPRO180*</t>
  </si>
  <si>
    <t>Xeyyam Insallahoglu</t>
  </si>
  <si>
    <t>*ALUMPRO179*</t>
  </si>
  <si>
    <t>*ALUMPRO178*</t>
  </si>
  <si>
    <t>Aksin Hesenov</t>
  </si>
  <si>
    <t>994555072361</t>
  </si>
  <si>
    <t>*ALUMPRO177*</t>
  </si>
  <si>
    <t>*ALUMPRO176*</t>
  </si>
  <si>
    <t>*ALUMPRO175*</t>
  </si>
  <si>
    <t>14,12,2024</t>
  </si>
  <si>
    <t>Perviz Bine</t>
  </si>
  <si>
    <t>*ALUMPRO174*</t>
  </si>
  <si>
    <t>Vuqar Abdullazade</t>
  </si>
  <si>
    <t>994773332377</t>
  </si>
  <si>
    <t>*ALUMPRO173*</t>
  </si>
  <si>
    <t>13,12,2024</t>
  </si>
  <si>
    <t>Natiq Nesirov</t>
  </si>
  <si>
    <t>994557466563</t>
  </si>
  <si>
    <t>*ALUMPRO172*</t>
  </si>
  <si>
    <t>*ALUMPRO171*</t>
  </si>
  <si>
    <t>*ALUMPRO170*</t>
  </si>
  <si>
    <t>*ALUMPRO169*</t>
  </si>
  <si>
    <t>Rufet Salyan</t>
  </si>
  <si>
    <t>endirim 20</t>
  </si>
  <si>
    <t>*ALUMPRO168*</t>
  </si>
  <si>
    <t>qizili</t>
  </si>
  <si>
    <t>*ALUMPRO167*</t>
  </si>
  <si>
    <t>*ALUMPRO166*</t>
  </si>
  <si>
    <t>12,12,2024</t>
  </si>
  <si>
    <t>*ALUMPRO165*</t>
  </si>
  <si>
    <t>36 m endirim</t>
  </si>
  <si>
    <t>*ALUMPRO164*</t>
  </si>
  <si>
    <t>Faiq Enso</t>
  </si>
  <si>
    <t>994706060666</t>
  </si>
  <si>
    <t>*ALUMPRO162*</t>
  </si>
  <si>
    <t>turk</t>
  </si>
  <si>
    <t>*ALUMPRO161*</t>
  </si>
  <si>
    <t>Eflatun Suse</t>
  </si>
  <si>
    <t>*ALUMPRO160*</t>
  </si>
  <si>
    <t>*ALUMPRO159*</t>
  </si>
  <si>
    <t>*ALUMPRO158*</t>
  </si>
  <si>
    <t>11,12,2024</t>
  </si>
  <si>
    <t>*ALUMPRO157*</t>
  </si>
  <si>
    <t>*ALUMPRO156*</t>
  </si>
  <si>
    <t>*ALUMPRO155*</t>
  </si>
  <si>
    <t>Eli Asbella</t>
  </si>
  <si>
    <t>994773377773</t>
  </si>
  <si>
    <t>*ALUMPRO154*</t>
  </si>
  <si>
    <t>Babek Bey</t>
  </si>
  <si>
    <t>994558102435</t>
  </si>
  <si>
    <t>*ALUMPRO153*</t>
  </si>
  <si>
    <t>Qamma Murad</t>
  </si>
  <si>
    <t>994507551076</t>
  </si>
  <si>
    <t>*ALUMPRO152*</t>
  </si>
  <si>
    <t>Ruslan Celal</t>
  </si>
  <si>
    <t>994558408053</t>
  </si>
  <si>
    <t>*ALUMPRO151*</t>
  </si>
  <si>
    <t>*ALUMPRO150*</t>
  </si>
  <si>
    <t>09,12,2024</t>
  </si>
  <si>
    <t>Behruz Trend</t>
  </si>
  <si>
    <t>994552293110</t>
  </si>
  <si>
    <t>*ALUMPRO149*</t>
  </si>
  <si>
    <t>Sasha Amix</t>
  </si>
  <si>
    <t>994503010061</t>
  </si>
  <si>
    <t>konus antrasit temir</t>
  </si>
  <si>
    <t>Konus qulp</t>
  </si>
  <si>
    <t>*ALUMPRO148*</t>
  </si>
  <si>
    <t>*ALUMPRO147*</t>
  </si>
  <si>
    <t>*ALUMPRO146*</t>
  </si>
  <si>
    <t>07,12,2024</t>
  </si>
  <si>
    <t>qizili vega</t>
  </si>
  <si>
    <t>*ALUMPRO145*</t>
  </si>
  <si>
    <t>*ALUMPRO144*</t>
  </si>
  <si>
    <t>Meftun Murselov</t>
  </si>
  <si>
    <t>*ALUMPRO143*</t>
  </si>
  <si>
    <t>*ALUMPRO142*</t>
  </si>
  <si>
    <t>*ALUMPRO141*</t>
  </si>
  <si>
    <t>*ALUMPRO140*</t>
  </si>
  <si>
    <t>Turk profili parlaq</t>
  </si>
  <si>
    <t>*ALUMPRO139*</t>
  </si>
  <si>
    <t>*ALUMPRO138*</t>
  </si>
  <si>
    <t>*ALUMPRO137*</t>
  </si>
  <si>
    <t>*ALUMPRO136*</t>
  </si>
  <si>
    <t>İbrahim Turk</t>
  </si>
  <si>
    <t>*ALUMPRO135*</t>
  </si>
  <si>
    <t>05,12,2024</t>
  </si>
  <si>
    <t>Camal Qəribov</t>
  </si>
  <si>
    <t>*ALUMPRO134*</t>
  </si>
  <si>
    <t>*ALUMPRO133*</t>
  </si>
  <si>
    <t>*ALUMPRO132*</t>
  </si>
  <si>
    <t>*ALUMPRO131*</t>
  </si>
  <si>
    <t>*ALUMPRO130*</t>
  </si>
  <si>
    <t>Resid Kaya Dizayn</t>
  </si>
  <si>
    <t>994553333144</t>
  </si>
  <si>
    <t>*ALUMPRO129*</t>
  </si>
  <si>
    <t>*ALUMPRO128*</t>
  </si>
  <si>
    <t>Heyder Tehmasib</t>
  </si>
  <si>
    <t>994559074443</t>
  </si>
  <si>
    <t>konus 4 teref qizili</t>
  </si>
  <si>
    <t>20 sm gomme</t>
  </si>
  <si>
    <t>*ALUMPRO127*</t>
  </si>
  <si>
    <t>Abbas Cermet</t>
  </si>
  <si>
    <t>994552308880</t>
  </si>
  <si>
    <t>qaligi var</t>
  </si>
  <si>
    <t>*ALUMPRO126*</t>
  </si>
  <si>
    <t>*ALUMPRO125*</t>
  </si>
  <si>
    <t>*ALUMPRO124*</t>
  </si>
  <si>
    <t>*ALUMPRO123*</t>
  </si>
  <si>
    <t>*ALUMPRO122*</t>
  </si>
  <si>
    <t>*ALUMPRO121*</t>
  </si>
  <si>
    <t>04,12,2024</t>
  </si>
  <si>
    <t>Hakim Klyent</t>
  </si>
  <si>
    <t>994518162431</t>
  </si>
  <si>
    <t>Qızılı</t>
  </si>
  <si>
    <t>*ALUMPRO120*</t>
  </si>
  <si>
    <t>*ALUMPRO119*</t>
  </si>
  <si>
    <t>*ALUMPRO118*</t>
  </si>
  <si>
    <t>Soltan Musteri</t>
  </si>
  <si>
    <t>994557303626</t>
  </si>
  <si>
    <t>*ALUMPRO117*</t>
  </si>
  <si>
    <t>*ALUMPRO116*</t>
  </si>
  <si>
    <t>*ALUMPRO115*</t>
  </si>
  <si>
    <t>03,12,2024</t>
  </si>
  <si>
    <t>*ALUMPRO114*</t>
  </si>
  <si>
    <t>*ALUMPRO113*</t>
  </si>
  <si>
    <t>*ALUMPRO112*</t>
  </si>
  <si>
    <t>Natiq Emrahov</t>
  </si>
  <si>
    <t>994503135243</t>
  </si>
  <si>
    <t>*ALUMPRO111*</t>
  </si>
  <si>
    <t>Emin Abdullayev</t>
  </si>
  <si>
    <t>994512908667</t>
  </si>
  <si>
    <t>*ALUMPRO110*</t>
  </si>
  <si>
    <t>02,12,2024</t>
  </si>
  <si>
    <t>*ALUMPRO109*</t>
  </si>
  <si>
    <t>*ALUMPRO108*</t>
  </si>
  <si>
    <t>*ALUMPRO107*</t>
  </si>
  <si>
    <t>*ALUMPRO106*</t>
  </si>
  <si>
    <t xml:space="preserve"> Ramin Klent</t>
  </si>
  <si>
    <t>*ALUMPRO105*</t>
  </si>
  <si>
    <t>*ALUMPRO104*</t>
  </si>
  <si>
    <t>*ALUMPRO103*</t>
  </si>
  <si>
    <t>*ALUMPRO102*</t>
  </si>
  <si>
    <t>*ALUMPRO101*</t>
  </si>
  <si>
    <t>Tural Elxan Dayi</t>
  </si>
  <si>
    <t>994519333080</t>
  </si>
  <si>
    <t>*ALUMPRO100*</t>
  </si>
  <si>
    <t>*ALUMPRO99*</t>
  </si>
  <si>
    <t>*ALUMPRO98*</t>
  </si>
  <si>
    <t>30,11,2024</t>
  </si>
  <si>
    <t>*ALUMPRO97*</t>
  </si>
  <si>
    <t>*ALUMPRO96*</t>
  </si>
  <si>
    <t>*ALUMPRO95*</t>
  </si>
  <si>
    <t>Elekber Eliyev</t>
  </si>
  <si>
    <t>994503534025</t>
  </si>
  <si>
    <t>ekstra clear suse</t>
  </si>
  <si>
    <t>20 cm</t>
  </si>
  <si>
    <t>*ALUMPRO94*</t>
  </si>
  <si>
    <t>*ALUMPRO93*</t>
  </si>
  <si>
    <t>Aydin Abbasov</t>
  </si>
  <si>
    <t>994553060630</t>
  </si>
  <si>
    <t>*ALUMPRO92*</t>
  </si>
  <si>
    <t>Ilqar Gtv</t>
  </si>
  <si>
    <t>*ALUMPRO91*</t>
  </si>
  <si>
    <t>Elsen Qarazavod</t>
  </si>
  <si>
    <t>994554180365</t>
  </si>
  <si>
    <t>*ALUMPRO90*</t>
  </si>
  <si>
    <t>29,11,2024</t>
  </si>
  <si>
    <t>Elmeddin Soltanov</t>
  </si>
  <si>
    <t>994706202050</t>
  </si>
  <si>
    <t>*ALUMPRO89*</t>
  </si>
  <si>
    <t>Vikenzo Mebel</t>
  </si>
  <si>
    <t>994102127773</t>
  </si>
  <si>
    <t>Gizli qapi profili</t>
  </si>
  <si>
    <t>*ALUMPRO88*</t>
  </si>
  <si>
    <t xml:space="preserve">20 sm </t>
  </si>
  <si>
    <t>2x2 tdəvə</t>
  </si>
  <si>
    <t>*ALUMPRO87*</t>
  </si>
  <si>
    <t>*ALUMPRO86*</t>
  </si>
  <si>
    <t>28,11,2024</t>
  </si>
  <si>
    <t>Taleh Kesle Ulduz</t>
  </si>
  <si>
    <t>994775313066</t>
  </si>
  <si>
    <t>*ALUMPRO85*</t>
  </si>
  <si>
    <t>*ALUMPRO84*</t>
  </si>
  <si>
    <t>Qizili reng</t>
  </si>
  <si>
    <t>*ALUMPRO83*</t>
  </si>
  <si>
    <t>*ALUMPRO81*</t>
  </si>
  <si>
    <t>*ALUMPRO80*</t>
  </si>
  <si>
    <t>27,11,2024</t>
  </si>
  <si>
    <t>Resad Huseynov</t>
  </si>
  <si>
    <t>994708261525</t>
  </si>
  <si>
    <t>*ALUMPRO79*</t>
  </si>
  <si>
    <t>*ALUMPRO78*</t>
  </si>
  <si>
    <t>*ALUMPRO77*</t>
  </si>
  <si>
    <t>Qara güzgü</t>
  </si>
  <si>
    <t>*ALUMPRO76*</t>
  </si>
  <si>
    <t>26,11,2024</t>
  </si>
  <si>
    <t>*ALUMPRO75*</t>
  </si>
  <si>
    <t>Gizli qapi profili aluminum</t>
  </si>
  <si>
    <t>*ALUMPRO74*</t>
  </si>
  <si>
    <t>3x3 oval açıq antrasit</t>
  </si>
  <si>
    <t>*ALUMPRO73*</t>
  </si>
  <si>
    <t>21,11,2024</t>
  </si>
  <si>
    <t>*ALUMPRO72*</t>
  </si>
  <si>
    <t>Muhiddin Bey</t>
  </si>
  <si>
    <t>994502109762</t>
  </si>
  <si>
    <t>*ALUMPRO71*</t>
  </si>
  <si>
    <t>*ALUMPRO70*</t>
  </si>
  <si>
    <t>*ALUMPRO69*</t>
  </si>
  <si>
    <t>*ALUMPRO68*</t>
  </si>
  <si>
    <t>Ruslan Amil</t>
  </si>
  <si>
    <t>994516619888</t>
  </si>
  <si>
    <t>*ALUMPRO67*</t>
  </si>
  <si>
    <t>Erdal Adiyge Mebel</t>
  </si>
  <si>
    <t>994503003825</t>
  </si>
  <si>
    <t>*ALUMPRO66*</t>
  </si>
  <si>
    <t>*ALUMPRO65*</t>
  </si>
  <si>
    <t>*ALUMPRO64*</t>
  </si>
  <si>
    <t>*ALUMPRO63*</t>
  </si>
  <si>
    <t>QARA BOYALI SUSE</t>
  </si>
  <si>
    <t>*ALUMPRO62*</t>
  </si>
  <si>
    <t>*ALUMPRO61*</t>
  </si>
  <si>
    <t>*ALUMPRO60*</t>
  </si>
  <si>
    <t>Rusdem Klyent</t>
  </si>
  <si>
    <t>994708707216</t>
  </si>
  <si>
    <t>*ALUMPRO59*</t>
  </si>
  <si>
    <t>*ALUMPRO58*</t>
  </si>
  <si>
    <t>Ilkin Memmedov</t>
  </si>
  <si>
    <t>994556610491</t>
  </si>
  <si>
    <t>*ALUMPRO57*</t>
  </si>
  <si>
    <t>Mubariz Isgenderov</t>
  </si>
  <si>
    <t>*ALUMPRO56*</t>
  </si>
  <si>
    <t>20,11,2024</t>
  </si>
  <si>
    <t>*ALUMPRO55*</t>
  </si>
  <si>
    <t>*ALUMPRO54*</t>
  </si>
  <si>
    <t>suseler ferqlidi</t>
  </si>
  <si>
    <t>*ALUMPRO53*</t>
  </si>
  <si>
    <t>19,11,2024</t>
  </si>
  <si>
    <t>*ALUMPRO52*</t>
  </si>
  <si>
    <t>*ALUMPRO51*</t>
  </si>
  <si>
    <t>*ALUMPRO50*</t>
  </si>
  <si>
    <t>*ALUMPRO49*</t>
  </si>
  <si>
    <t>*ALUMPRO48*</t>
  </si>
  <si>
    <t>Vega qulp profil</t>
  </si>
  <si>
    <t>vega yan profil</t>
  </si>
  <si>
    <t>*ALUMPRO47*</t>
  </si>
  <si>
    <t>*ALUMPRO46*</t>
  </si>
  <si>
    <t>Nicat (mutfakcida isleyib)</t>
  </si>
  <si>
    <t>*ALUMPRO45*</t>
  </si>
  <si>
    <t>*ALUMPRO44*</t>
  </si>
  <si>
    <t>Art wall</t>
  </si>
  <si>
    <t>*ALUMPRO43*</t>
  </si>
  <si>
    <t>2x2 açıq antrasit</t>
  </si>
  <si>
    <t>*ALUMPRO42*</t>
  </si>
  <si>
    <t>*ALUMPRO41*</t>
  </si>
  <si>
    <t>*ALUMPRO40*</t>
  </si>
  <si>
    <t>Orxan Omer</t>
  </si>
  <si>
    <t>994556252121</t>
  </si>
  <si>
    <t>*ALUMPRO39*</t>
  </si>
  <si>
    <t>Kenan Bileceri</t>
  </si>
  <si>
    <t>994703461203</t>
  </si>
  <si>
    <t>*ALUMPRO38*</t>
  </si>
  <si>
    <t>*ALUMPRO37*</t>
  </si>
  <si>
    <t>*ALUMPRO36*</t>
  </si>
  <si>
    <t>*ALUMPRO35*</t>
  </si>
  <si>
    <t>22 Azn endirim</t>
  </si>
  <si>
    <t>*ALUMPRO33*</t>
  </si>
  <si>
    <t>*ALUMPRO32*</t>
  </si>
  <si>
    <t>QARA BOYALI ŞÜŞƏ</t>
  </si>
  <si>
    <t>*ALUMPRO31*</t>
  </si>
  <si>
    <t>*ALUMPRO30*</t>
  </si>
  <si>
    <t>*ALUMPRO29*</t>
  </si>
  <si>
    <t>Saiq Sumqayit</t>
  </si>
  <si>
    <t>994709418036</t>
  </si>
  <si>
    <t>*ALUMPRO28*</t>
  </si>
  <si>
    <t>*ALUMPRO27*</t>
  </si>
  <si>
    <t>*ALUMPRO26*</t>
  </si>
  <si>
    <t>Behruz Doz</t>
  </si>
  <si>
    <t>994703925000</t>
  </si>
  <si>
    <t>*ALUMPRO25*</t>
  </si>
  <si>
    <t>Sahveled bey</t>
  </si>
  <si>
    <t>994519092713</t>
  </si>
  <si>
    <t>*ALUMPRO24*</t>
  </si>
  <si>
    <t>*ALUMPRO23*</t>
  </si>
  <si>
    <t>*ALUMPRO22*</t>
  </si>
  <si>
    <t>*ALUMPRO21*</t>
  </si>
  <si>
    <t>Ceyhun Zegno</t>
  </si>
  <si>
    <t>994772338900</t>
  </si>
  <si>
    <t>*ALUMPRO20*</t>
  </si>
  <si>
    <t>*ALUMPRO19*</t>
  </si>
  <si>
    <t>Xasay Dayi</t>
  </si>
  <si>
    <t>994703116499</t>
  </si>
  <si>
    <t>*ALUMPRO18*</t>
  </si>
  <si>
    <t>Perviz Ezimov</t>
  </si>
  <si>
    <t>994554924449</t>
  </si>
  <si>
    <t>*ALUMPRO17*</t>
  </si>
  <si>
    <t>*ALUMPRO16*</t>
  </si>
  <si>
    <t>*ALUMPRO15*</t>
  </si>
  <si>
    <t>*ALUMPRO14*</t>
  </si>
  <si>
    <t>Fexreddin Bey</t>
  </si>
  <si>
    <t>994502015406</t>
  </si>
  <si>
    <t>3x3 oval qızılı</t>
  </si>
  <si>
    <t>*ALUMPRO13*</t>
  </si>
  <si>
    <t>*ALUMPRO12*</t>
  </si>
  <si>
    <t>*ALUMPRO11*</t>
  </si>
  <si>
    <t>*ALUMPRO10*</t>
  </si>
  <si>
    <t>Cefer Mirzeyv</t>
  </si>
  <si>
    <t>994504083531</t>
  </si>
  <si>
    <t>*ALUMPRO9*</t>
  </si>
  <si>
    <t>Surxay Bey</t>
  </si>
  <si>
    <t>994708311333</t>
  </si>
  <si>
    <t>2x2 110 sm qulp qızılı</t>
  </si>
  <si>
    <t>yarı</t>
  </si>
  <si>
    <t>*ALUMPRO8*</t>
  </si>
  <si>
    <t>*ALUMPRO7*</t>
  </si>
  <si>
    <t>*ALUMPRO6*</t>
  </si>
  <si>
    <t>*ALUMPRO5*</t>
  </si>
  <si>
    <t>*ALUMPRO4*</t>
  </si>
  <si>
    <t>Boy</t>
  </si>
  <si>
    <t>*ALUMPRO3*</t>
  </si>
  <si>
    <t>45 Qara Boy Qulp</t>
  </si>
  <si>
    <t>*ALUMPRO2*</t>
  </si>
  <si>
    <t>`</t>
  </si>
  <si>
    <t>Whatsapp</t>
  </si>
  <si>
    <t>Ödəniş mesajı</t>
  </si>
  <si>
    <t>Sütun1</t>
  </si>
  <si>
    <t>Vüsal Necefov</t>
  </si>
  <si>
    <t>994502411150</t>
  </si>
  <si>
    <t>Rama</t>
  </si>
  <si>
    <t>Zeynalov Samo</t>
  </si>
  <si>
    <t>Malik</t>
  </si>
  <si>
    <t>Elmeddin Quliyev</t>
  </si>
  <si>
    <t>994556147373</t>
  </si>
  <si>
    <t>994703153323</t>
  </si>
  <si>
    <t>994507593355</t>
  </si>
  <si>
    <t>994552571256</t>
  </si>
  <si>
    <t>994552482004</t>
  </si>
  <si>
    <t>994705062262</t>
  </si>
  <si>
    <t xml:space="preserve">Servin </t>
  </si>
  <si>
    <t>994556111145</t>
  </si>
  <si>
    <t>Anar Dizayner</t>
  </si>
  <si>
    <t>Ramin Klent</t>
  </si>
  <si>
    <t>994503405007</t>
  </si>
  <si>
    <t>M</t>
  </si>
  <si>
    <t>Eli Alumpro</t>
  </si>
  <si>
    <t>994552367976</t>
  </si>
  <si>
    <t>Metin Vusal</t>
  </si>
  <si>
    <t>994503993699</t>
  </si>
  <si>
    <t>Azer Vusal</t>
  </si>
  <si>
    <t>994503911166</t>
  </si>
  <si>
    <t>Tural Cnc Vusal</t>
  </si>
  <si>
    <t>994705785426</t>
  </si>
  <si>
    <t>Ferrux Eliyev</t>
  </si>
  <si>
    <t>994513777215</t>
  </si>
  <si>
    <t>Ehtiram Shena Mebel</t>
  </si>
  <si>
    <t>994558255535</t>
  </si>
  <si>
    <t>Amil Klyent</t>
  </si>
  <si>
    <t>994554819611</t>
  </si>
  <si>
    <t>Zaur Qaracuxur</t>
  </si>
  <si>
    <t>994552433031</t>
  </si>
  <si>
    <t>Camaloglu Mebel</t>
  </si>
  <si>
    <t>994557909439</t>
  </si>
  <si>
    <t>Behzad Imisli</t>
  </si>
  <si>
    <t>994508993233</t>
  </si>
  <si>
    <t>Sukur Vusal</t>
  </si>
  <si>
    <t>994552902929</t>
  </si>
  <si>
    <t>Soltan 40</t>
  </si>
  <si>
    <t>994553441140</t>
  </si>
  <si>
    <t>Sahmurad Muradov</t>
  </si>
  <si>
    <t>994777510818</t>
  </si>
  <si>
    <t>Musa Bine</t>
  </si>
  <si>
    <t>994993013131</t>
  </si>
  <si>
    <t>Centur Concept</t>
  </si>
  <si>
    <t>994558268361</t>
  </si>
  <si>
    <t>Aga Nail</t>
  </si>
  <si>
    <t>994509831905</t>
  </si>
  <si>
    <t>Ramil Melikov</t>
  </si>
  <si>
    <t>994777541252</t>
  </si>
  <si>
    <t>Vidadi Ag Seher</t>
  </si>
  <si>
    <t>994552616232</t>
  </si>
  <si>
    <t>Nurlan Mustfazade</t>
  </si>
  <si>
    <t>994705593555</t>
  </si>
  <si>
    <t>Ramiz Amix</t>
  </si>
  <si>
    <t>994553001701</t>
  </si>
  <si>
    <t>Vuqar Sumqayit</t>
  </si>
  <si>
    <t>994552770330</t>
  </si>
  <si>
    <t>Elmir Home Concept</t>
  </si>
  <si>
    <t>994558646260</t>
  </si>
  <si>
    <t>Faiq Zeynalov</t>
  </si>
  <si>
    <t>994777570207</t>
  </si>
  <si>
    <t>Ismail Qarazavod</t>
  </si>
  <si>
    <t>994506618308</t>
  </si>
  <si>
    <t>Ilham Cermet</t>
  </si>
  <si>
    <t>994502108112</t>
  </si>
  <si>
    <t>Rasim Zengezur</t>
  </si>
  <si>
    <t>994503730533</t>
  </si>
  <si>
    <t>Fexreddin Corat</t>
  </si>
  <si>
    <t>994503213391</t>
  </si>
  <si>
    <t>Movsum Klynet</t>
  </si>
  <si>
    <t>994554018116</t>
  </si>
  <si>
    <t>Imran Klyent</t>
  </si>
  <si>
    <t>994502235602</t>
  </si>
  <si>
    <t>Rmin Klyent</t>
  </si>
  <si>
    <t>994558585828</t>
  </si>
  <si>
    <t>Emin Perviz celal</t>
  </si>
  <si>
    <t>994553546226</t>
  </si>
  <si>
    <t>Mebel Style</t>
  </si>
  <si>
    <t>994554077484</t>
  </si>
  <si>
    <t>Elnur Bineqedi</t>
  </si>
  <si>
    <t>994503358334</t>
  </si>
  <si>
    <t>Kamil Musteri</t>
  </si>
  <si>
    <t>994552544045</t>
  </si>
  <si>
    <t>Emin Aliyev</t>
  </si>
  <si>
    <t>994555050001</t>
  </si>
  <si>
    <t>Elxan Bedelov</t>
  </si>
  <si>
    <t>994703865521</t>
  </si>
  <si>
    <t>Rasim Kristal Dizayner</t>
  </si>
  <si>
    <t>994553406984</t>
  </si>
  <si>
    <t>Ceyhun Memmedov</t>
  </si>
  <si>
    <t>994555330979</t>
  </si>
  <si>
    <t>Xalid Vusal</t>
  </si>
  <si>
    <t>994502067686</t>
  </si>
  <si>
    <t>Cingizxan Fistik</t>
  </si>
  <si>
    <t>994773000614</t>
  </si>
  <si>
    <t>Vasif Abbasov</t>
  </si>
  <si>
    <t>994553000922</t>
  </si>
  <si>
    <t>Elsever Haciogullari</t>
  </si>
  <si>
    <t>994774440455</t>
  </si>
  <si>
    <t>Kapiton Group</t>
  </si>
  <si>
    <t>994559995344</t>
  </si>
  <si>
    <t>Elvin Musteri</t>
  </si>
  <si>
    <t>994556674326</t>
  </si>
  <si>
    <t>Ibo celal</t>
  </si>
  <si>
    <t>994506727636</t>
  </si>
  <si>
    <t>Arif Vusal</t>
  </si>
  <si>
    <t>994707111173</t>
  </si>
  <si>
    <t>Rehim Autocad</t>
  </si>
  <si>
    <t>994703100271</t>
  </si>
  <si>
    <t xml:space="preserve">Elxan Zengezur </t>
  </si>
  <si>
    <t>994502073005</t>
  </si>
  <si>
    <t>Nurlan Aydinoglu</t>
  </si>
  <si>
    <t>994512776609</t>
  </si>
  <si>
    <t>Vuqar Bineqedi</t>
  </si>
  <si>
    <t>994705244278</t>
  </si>
  <si>
    <t>Orxan Kesle</t>
  </si>
  <si>
    <t>994552799143</t>
  </si>
  <si>
    <t>Heyder Bey</t>
  </si>
  <si>
    <t>994554744343</t>
  </si>
  <si>
    <t>Eldeniz Bey</t>
  </si>
  <si>
    <t>994995888080</t>
  </si>
  <si>
    <t>Zaur Monaliza</t>
  </si>
  <si>
    <t>994518060606</t>
  </si>
  <si>
    <t>Ferzeli Mustafayev</t>
  </si>
  <si>
    <t>994704121018</t>
  </si>
  <si>
    <t>Vahid Fierro</t>
  </si>
  <si>
    <t>994707616999</t>
  </si>
  <si>
    <t>Zaur Zabrat</t>
  </si>
  <si>
    <t>994557303259</t>
  </si>
  <si>
    <t>Kleynt Sumqayit</t>
  </si>
  <si>
    <t>994552674191</t>
  </si>
  <si>
    <t>Eltun Dizayner</t>
  </si>
  <si>
    <t>994502612250</t>
  </si>
  <si>
    <t>Andery Musteri</t>
  </si>
  <si>
    <t>994555539850</t>
  </si>
  <si>
    <t>Seyidov Musteri</t>
  </si>
  <si>
    <t>994557464645</t>
  </si>
  <si>
    <t>Yusif Klyent Qonsu</t>
  </si>
  <si>
    <t>994772716000</t>
  </si>
  <si>
    <t>Heyder Veliyev</t>
  </si>
  <si>
    <t>994513200332</t>
  </si>
  <si>
    <t>Tural Veren</t>
  </si>
  <si>
    <t>994705723771</t>
  </si>
  <si>
    <t>Ismail Sadiqli</t>
  </si>
  <si>
    <t>994555910154</t>
  </si>
  <si>
    <t>Miko Enso</t>
  </si>
  <si>
    <t>994702546161</t>
  </si>
  <si>
    <t xml:space="preserve">Gunduz Bine </t>
  </si>
  <si>
    <t>994505194515</t>
  </si>
  <si>
    <t>Irfan Bey</t>
  </si>
  <si>
    <t>994515705442</t>
  </si>
  <si>
    <t>Husyen Prizma</t>
  </si>
  <si>
    <t>994552333919</t>
  </si>
  <si>
    <t>Tacir Dayi Vusal</t>
  </si>
  <si>
    <t>994503205170</t>
  </si>
  <si>
    <t>Mahir Hesenov</t>
  </si>
  <si>
    <t>994552776632</t>
  </si>
  <si>
    <t>Nicat Kaminci</t>
  </si>
  <si>
    <t>994507344727</t>
  </si>
  <si>
    <t>Xelil Bey</t>
  </si>
  <si>
    <t>994555181585</t>
  </si>
  <si>
    <t>Heyder Klyent</t>
  </si>
  <si>
    <t>994557630474</t>
  </si>
  <si>
    <t>Aura Furniture</t>
  </si>
  <si>
    <t>994516837000</t>
  </si>
  <si>
    <t>Elcin Haciyev</t>
  </si>
  <si>
    <t>994559590660</t>
  </si>
  <si>
    <t>Korona Premium</t>
  </si>
  <si>
    <t>994502353108</t>
  </si>
  <si>
    <t>Emin D Group</t>
  </si>
  <si>
    <t>994512776699</t>
  </si>
  <si>
    <t>Emin Cozy Mebel</t>
  </si>
  <si>
    <t>994705300010</t>
  </si>
  <si>
    <t>Natiq Bey</t>
  </si>
  <si>
    <t>994776272777</t>
  </si>
  <si>
    <t xml:space="preserve">Ruslan Elxan </t>
  </si>
  <si>
    <t>994519048800</t>
  </si>
  <si>
    <t>Vasif Abdulov</t>
  </si>
  <si>
    <t>994555153220</t>
  </si>
  <si>
    <t>Vusal Klyent</t>
  </si>
  <si>
    <t>994554226292</t>
  </si>
  <si>
    <t xml:space="preserve">Asif Nazimoglu </t>
  </si>
  <si>
    <t>994709285846</t>
  </si>
  <si>
    <t>Nurxan Bey</t>
  </si>
  <si>
    <t>994773090391</t>
  </si>
  <si>
    <t>Nicat Homely</t>
  </si>
  <si>
    <t>994559095549</t>
  </si>
  <si>
    <t>Tehmasib Klyent</t>
  </si>
  <si>
    <t>994504676767</t>
  </si>
  <si>
    <t>Elnur Huseynov</t>
  </si>
  <si>
    <t>994702782949</t>
  </si>
  <si>
    <t>Mehman Klyent</t>
  </si>
  <si>
    <t>994518401494</t>
  </si>
  <si>
    <t>Tural Mobilya</t>
  </si>
  <si>
    <t>994553224224</t>
  </si>
  <si>
    <t>Cavidan Zakir</t>
  </si>
  <si>
    <t>994559134523</t>
  </si>
  <si>
    <t>Samir Bmw</t>
  </si>
  <si>
    <t>994998787848</t>
  </si>
  <si>
    <t>Nicat N Concept</t>
  </si>
  <si>
    <t>994552608085</t>
  </si>
  <si>
    <t>Amid Panera</t>
  </si>
  <si>
    <t>994705888033</t>
  </si>
  <si>
    <t>Perviz Elizade</t>
  </si>
  <si>
    <t>994555633313</t>
  </si>
  <si>
    <t>Musfiq Cumayev</t>
  </si>
  <si>
    <t>994706728789</t>
  </si>
  <si>
    <t>Emil Fab</t>
  </si>
  <si>
    <t>994517600609</t>
  </si>
  <si>
    <t>Mehman Inshaat</t>
  </si>
  <si>
    <t>994502141498</t>
  </si>
  <si>
    <t>Kenan Memmedov</t>
  </si>
  <si>
    <t>994556957878</t>
  </si>
  <si>
    <t>Vuqar Kesle</t>
  </si>
  <si>
    <t>994516373386</t>
  </si>
  <si>
    <t>Adil Saatli</t>
  </si>
  <si>
    <t>994558519232</t>
  </si>
  <si>
    <t>Ismet Kazimov</t>
  </si>
  <si>
    <t>994706606015</t>
  </si>
  <si>
    <t>Ilqar Musteri</t>
  </si>
  <si>
    <t>994553715040</t>
  </si>
  <si>
    <t>Ramin Bine Atciliq</t>
  </si>
  <si>
    <t>994555569988</t>
  </si>
  <si>
    <t xml:space="preserve">Nazim Yevlax </t>
  </si>
  <si>
    <t>994553424399</t>
  </si>
  <si>
    <t>Tural Muslumov</t>
  </si>
  <si>
    <t>994556022022</t>
  </si>
  <si>
    <t>Firat bey</t>
  </si>
  <si>
    <t>994559940046</t>
  </si>
  <si>
    <t>Yalcin Bey</t>
  </si>
  <si>
    <t>994557639002</t>
  </si>
  <si>
    <t>Cosqun Maraqli Evim</t>
  </si>
  <si>
    <t>994502133974</t>
  </si>
  <si>
    <t>Hemid Bey</t>
  </si>
  <si>
    <t>994552127201</t>
  </si>
  <si>
    <t>Namiq Bey</t>
  </si>
  <si>
    <t>994554447905</t>
  </si>
  <si>
    <t>Ramin Eyyubov</t>
  </si>
  <si>
    <t>994555626228</t>
  </si>
  <si>
    <t>Ilyas Bey</t>
  </si>
  <si>
    <t>994506471066</t>
  </si>
  <si>
    <t>Valeh Diva</t>
  </si>
  <si>
    <t>994708873075</t>
  </si>
  <si>
    <t>Kamal Qizlagac</t>
  </si>
  <si>
    <t>994558530605</t>
  </si>
  <si>
    <t>Agayev Bey</t>
  </si>
  <si>
    <t>994555549596</t>
  </si>
  <si>
    <t>Mebelci Baku</t>
  </si>
  <si>
    <t>994558220737</t>
  </si>
  <si>
    <t>Sefa Mebel</t>
  </si>
  <si>
    <t>994552300412</t>
  </si>
  <si>
    <t>Nail Neoclass</t>
  </si>
  <si>
    <t>994504131144</t>
  </si>
  <si>
    <t>Abbasov Orxan</t>
  </si>
  <si>
    <t>994555152324</t>
  </si>
  <si>
    <t xml:space="preserve">Zaur Bey </t>
  </si>
  <si>
    <t>994773042400</t>
  </si>
  <si>
    <t xml:space="preserve">Yusif Abdullayev </t>
  </si>
  <si>
    <t>994706465080</t>
  </si>
  <si>
    <t xml:space="preserve">Azer bey </t>
  </si>
  <si>
    <t>994555061110</t>
  </si>
  <si>
    <t>Shemsi Muradov</t>
  </si>
  <si>
    <t>994502928191</t>
  </si>
  <si>
    <t>New Line Mebel</t>
  </si>
  <si>
    <t>994503003368</t>
  </si>
  <si>
    <t>Azer Suleymanov</t>
  </si>
  <si>
    <t>994703887725</t>
  </si>
  <si>
    <t>Ramil Fermanoglu</t>
  </si>
  <si>
    <t>994515155225</t>
  </si>
  <si>
    <t>Zulaleddin Musteri</t>
  </si>
  <si>
    <t>994552520251</t>
  </si>
  <si>
    <t>994552639373</t>
  </si>
  <si>
    <t xml:space="preserve">Vaqif Soltan </t>
  </si>
  <si>
    <t>994552042528</t>
  </si>
  <si>
    <t>Elmeddin Klent</t>
  </si>
  <si>
    <t>994558789878</t>
  </si>
  <si>
    <t>994514473834</t>
  </si>
  <si>
    <t>Samir Team For You</t>
  </si>
  <si>
    <t>994555505502</t>
  </si>
  <si>
    <t>Emin Kamal</t>
  </si>
  <si>
    <t>994513000007</t>
  </si>
  <si>
    <t>Meherrem selim</t>
  </si>
  <si>
    <t>994706383438</t>
  </si>
  <si>
    <t>Amorfati Musteri</t>
  </si>
  <si>
    <t>994555603110</t>
  </si>
  <si>
    <t>Sahin Veliyev</t>
  </si>
  <si>
    <t>994552119909</t>
  </si>
  <si>
    <t>Qara Dayi</t>
  </si>
  <si>
    <t>994706411191</t>
  </si>
  <si>
    <t>Ulvi Bey</t>
  </si>
  <si>
    <t>994557281375</t>
  </si>
  <si>
    <t>Cavansir Bey</t>
  </si>
  <si>
    <t>994553557720</t>
  </si>
  <si>
    <t>Ilham Bey</t>
  </si>
  <si>
    <t>994505125816</t>
  </si>
  <si>
    <t>Yadigar Bey</t>
  </si>
  <si>
    <t>9945453827</t>
  </si>
  <si>
    <t>Ramin Dernegul</t>
  </si>
  <si>
    <t>994505707749</t>
  </si>
  <si>
    <t>Bextiyar Vusal Piramida</t>
  </si>
  <si>
    <t>994502094303</t>
  </si>
  <si>
    <t>Vusal Masalli Mesedi</t>
  </si>
  <si>
    <t>994558444466</t>
  </si>
  <si>
    <t>Kamil Klyent</t>
  </si>
  <si>
    <t>994506669237</t>
  </si>
  <si>
    <t>Seid Klyent</t>
  </si>
  <si>
    <t>994556117722</t>
  </si>
  <si>
    <t>Azer Ades</t>
  </si>
  <si>
    <t>994555840090</t>
  </si>
  <si>
    <t>Ariz Memmedov kristal</t>
  </si>
  <si>
    <t>994102537502</t>
  </si>
  <si>
    <t>Elshad Bey</t>
  </si>
  <si>
    <t>994503637956</t>
  </si>
  <si>
    <t>Turkes Dekor</t>
  </si>
  <si>
    <t>994556301661</t>
  </si>
  <si>
    <t>Eyyub Babayev</t>
  </si>
  <si>
    <t>994557671057</t>
  </si>
  <si>
    <t>Elsen 8 Ci Kilometr</t>
  </si>
  <si>
    <t>Elxan Celal</t>
  </si>
  <si>
    <t>994702335557</t>
  </si>
  <si>
    <t>Pasha Casa Design</t>
  </si>
  <si>
    <t>994709770477</t>
  </si>
  <si>
    <t>Rafael Eliyev</t>
  </si>
  <si>
    <t>994509832341</t>
  </si>
  <si>
    <t>Elsen Kesle</t>
  </si>
  <si>
    <t>994508708860</t>
  </si>
  <si>
    <t>Elsen Sukurov</t>
  </si>
  <si>
    <t>994556200347</t>
  </si>
  <si>
    <t>Anar Huseynov</t>
  </si>
  <si>
    <t>994504666990</t>
  </si>
  <si>
    <t>Camal Klyent</t>
  </si>
  <si>
    <t>994556200420</t>
  </si>
  <si>
    <t>Samir Ehmedov</t>
  </si>
  <si>
    <t>994503540605</t>
  </si>
  <si>
    <t>Elvin Doortek</t>
  </si>
  <si>
    <t>994513133155</t>
  </si>
  <si>
    <t>Mehman Kalezyon</t>
  </si>
  <si>
    <t>994502772840</t>
  </si>
  <si>
    <t>Luxconcept Maliye</t>
  </si>
  <si>
    <t>994552033543</t>
  </si>
  <si>
    <t>Nail Kerimov</t>
  </si>
  <si>
    <t>994702545485</t>
  </si>
  <si>
    <t>Nail Naxcivan</t>
  </si>
  <si>
    <t>994558131386</t>
  </si>
  <si>
    <t>Orxan Hacogullari</t>
  </si>
  <si>
    <t>994553841262</t>
  </si>
  <si>
    <t>Arzu Haxverdiyev</t>
  </si>
  <si>
    <t>994503596265</t>
  </si>
  <si>
    <t>Sarvan Bey</t>
  </si>
  <si>
    <t>994513401020</t>
  </si>
  <si>
    <t>994512294647</t>
  </si>
  <si>
    <t>Nagiyev Yasar Premum</t>
  </si>
  <si>
    <t>994706045482</t>
  </si>
  <si>
    <t>Kenan musteri</t>
  </si>
  <si>
    <t>994557274133</t>
  </si>
  <si>
    <t>Rufet Samir</t>
  </si>
  <si>
    <t>994773890063</t>
  </si>
  <si>
    <t>Nureddin Cnc</t>
  </si>
  <si>
    <t>994513916285</t>
  </si>
  <si>
    <t>Satış və Anbardakı məlumatlar</t>
  </si>
  <si>
    <t>Tədarükçü</t>
  </si>
  <si>
    <t>Məhsul adı</t>
  </si>
  <si>
    <r>
      <t>Giriş m</t>
    </r>
    <r>
      <rPr>
        <b/>
        <sz val="11"/>
        <color theme="0" tint="-4.9989318521683403E-2"/>
        <rFont val="Aptos Narrow"/>
        <family val="2"/>
      </rPr>
      <t>²</t>
    </r>
  </si>
  <si>
    <t>Alış qiyməti</t>
  </si>
  <si>
    <t>Satış qiyməti</t>
  </si>
  <si>
    <t>Ümumi alinib</t>
  </si>
  <si>
    <t>Satılıb m²</t>
  </si>
  <si>
    <t>Qalıb m²</t>
  </si>
  <si>
    <t>Alış məbləği</t>
  </si>
  <si>
    <t>Satış məbləği</t>
  </si>
  <si>
    <t>Qazanc</t>
  </si>
  <si>
    <t>GlassHouse</t>
  </si>
  <si>
    <t>Güzgü</t>
  </si>
  <si>
    <t>Röyal</t>
  </si>
  <si>
    <t>Temper</t>
  </si>
  <si>
    <t>Buzlu şüşə</t>
  </si>
  <si>
    <t>Əflatun</t>
  </si>
  <si>
    <t>Qehvəyi güzgü</t>
  </si>
  <si>
    <t>Giriş tarixi</t>
  </si>
  <si>
    <t>Rəng</t>
  </si>
  <si>
    <t>Məhsul kodu</t>
  </si>
  <si>
    <t>Qisa ad</t>
  </si>
  <si>
    <t>Uzun ad</t>
  </si>
  <si>
    <t>Ölçü vahidi</t>
  </si>
  <si>
    <t>Giriş sayı</t>
  </si>
  <si>
    <t>Ümumi alış məbləği</t>
  </si>
  <si>
    <t>Ümumi satış məbləği</t>
  </si>
  <si>
    <t>Satılan sayı</t>
  </si>
  <si>
    <t xml:space="preserve">45 Profil </t>
  </si>
  <si>
    <t>Yan</t>
  </si>
  <si>
    <t>PRF001</t>
  </si>
  <si>
    <t>ədəd</t>
  </si>
  <si>
    <t>PRF002</t>
  </si>
  <si>
    <t>Antrasit</t>
  </si>
  <si>
    <t>PRF003</t>
  </si>
  <si>
    <t>Açıq antrasit</t>
  </si>
  <si>
    <t>PRF004</t>
  </si>
  <si>
    <t>Kofe</t>
  </si>
  <si>
    <t>PRF005</t>
  </si>
  <si>
    <t>Boy Qulp</t>
  </si>
  <si>
    <t>PRF006</t>
  </si>
  <si>
    <t>PRF007</t>
  </si>
  <si>
    <t>PRF008</t>
  </si>
  <si>
    <t>PRF009</t>
  </si>
  <si>
    <t>PRF010</t>
  </si>
  <si>
    <t xml:space="preserve">2x2 Profil </t>
  </si>
  <si>
    <t>PRF011</t>
  </si>
  <si>
    <t>PRF012</t>
  </si>
  <si>
    <t>PRF013</t>
  </si>
  <si>
    <t>PRF014</t>
  </si>
  <si>
    <t>PRF015</t>
  </si>
  <si>
    <t>PRF016</t>
  </si>
  <si>
    <t>PRF017</t>
  </si>
  <si>
    <t>PRF018</t>
  </si>
  <si>
    <t>PRF019</t>
  </si>
  <si>
    <t>PRF020</t>
  </si>
  <si>
    <t>Qulp 20 sol</t>
  </si>
  <si>
    <t>PRF021</t>
  </si>
  <si>
    <t>PRF022</t>
  </si>
  <si>
    <t>PRF023</t>
  </si>
  <si>
    <t>PRF024</t>
  </si>
  <si>
    <t>PRF025</t>
  </si>
  <si>
    <t>Qulp 20 sağ</t>
  </si>
  <si>
    <t>PRF026</t>
  </si>
  <si>
    <t>PRF027</t>
  </si>
  <si>
    <t>PRF028</t>
  </si>
  <si>
    <t>PRF029</t>
  </si>
  <si>
    <t>PRF030</t>
  </si>
  <si>
    <t>Qulp 110 sol</t>
  </si>
  <si>
    <t>PRF031</t>
  </si>
  <si>
    <t>PRF032</t>
  </si>
  <si>
    <t>PRF033</t>
  </si>
  <si>
    <t>PRF034</t>
  </si>
  <si>
    <t>PRF035</t>
  </si>
  <si>
    <t>Qulp 110 sağ</t>
  </si>
  <si>
    <t>PRF036</t>
  </si>
  <si>
    <t>PRF037</t>
  </si>
  <si>
    <t>PRF038</t>
  </si>
  <si>
    <t>PRF039</t>
  </si>
  <si>
    <t>PRF040</t>
  </si>
  <si>
    <t xml:space="preserve">3x3 Profil </t>
  </si>
  <si>
    <t>PRF041</t>
  </si>
  <si>
    <t>PRF042</t>
  </si>
  <si>
    <t>PRF043</t>
  </si>
  <si>
    <t>PRF044</t>
  </si>
  <si>
    <t>PRF045</t>
  </si>
  <si>
    <t>PRF046</t>
  </si>
  <si>
    <t>PRF047</t>
  </si>
  <si>
    <t>PRF048</t>
  </si>
  <si>
    <t>PRF049</t>
  </si>
  <si>
    <t>PRF050</t>
  </si>
  <si>
    <t>PRF051</t>
  </si>
  <si>
    <t>PRF052</t>
  </si>
  <si>
    <t>PRF053</t>
  </si>
  <si>
    <t>PRF054</t>
  </si>
  <si>
    <t>PRF055</t>
  </si>
  <si>
    <t>PRF056</t>
  </si>
  <si>
    <t>PRF057</t>
  </si>
  <si>
    <t>PRF058</t>
  </si>
  <si>
    <t>PRF059</t>
  </si>
  <si>
    <t>PRF060</t>
  </si>
  <si>
    <t>PRF061</t>
  </si>
  <si>
    <t>PRF062</t>
  </si>
  <si>
    <t>PRF063</t>
  </si>
  <si>
    <t>PRF064</t>
  </si>
  <si>
    <t>PRF065</t>
  </si>
  <si>
    <t xml:space="preserve">Konus Profil </t>
  </si>
  <si>
    <t>PRF066</t>
  </si>
  <si>
    <t>PRF067</t>
  </si>
  <si>
    <t>PRF068</t>
  </si>
  <si>
    <t>PRF069</t>
  </si>
  <si>
    <t>PRF070</t>
  </si>
  <si>
    <t>Konus 2 Sm Qulp</t>
  </si>
  <si>
    <t>PRF071</t>
  </si>
  <si>
    <t>PRF072</t>
  </si>
  <si>
    <t>PRF073</t>
  </si>
  <si>
    <t>PRF074</t>
  </si>
  <si>
    <t>PRF075</t>
  </si>
  <si>
    <t xml:space="preserve">Konus </t>
  </si>
  <si>
    <t>Alt-üst</t>
  </si>
  <si>
    <t>PRF076</t>
  </si>
  <si>
    <t>PRF077</t>
  </si>
  <si>
    <t>PRF078</t>
  </si>
  <si>
    <t>PRF079</t>
  </si>
  <si>
    <t>PRF080</t>
  </si>
  <si>
    <t>Qulp 20</t>
  </si>
  <si>
    <t>PRF081</t>
  </si>
  <si>
    <t>PRF082</t>
  </si>
  <si>
    <t>PRF083</t>
  </si>
  <si>
    <t>PRF084</t>
  </si>
  <si>
    <t>PRF085</t>
  </si>
  <si>
    <t>Mətbəx Qulpu</t>
  </si>
  <si>
    <t>QLP001</t>
  </si>
  <si>
    <t>QLP002</t>
  </si>
  <si>
    <t>QLP003</t>
  </si>
  <si>
    <t>QLP004</t>
  </si>
  <si>
    <t>QLP005</t>
  </si>
  <si>
    <t xml:space="preserve">Qarderob </t>
  </si>
  <si>
    <t>QRD001</t>
  </si>
  <si>
    <t>QRD002</t>
  </si>
  <si>
    <t>QRD003</t>
  </si>
  <si>
    <t>Qarderob Bandura</t>
  </si>
  <si>
    <t>QRD004</t>
  </si>
  <si>
    <t>QRD005</t>
  </si>
  <si>
    <t>QRD006</t>
  </si>
  <si>
    <t>Polka İşıqsız Polşa</t>
  </si>
  <si>
    <t>PLK001</t>
  </si>
  <si>
    <t>PLK002</t>
  </si>
  <si>
    <t>PLK003</t>
  </si>
  <si>
    <t>Polka İşıqlı Polşa</t>
  </si>
  <si>
    <t>PLK004</t>
  </si>
  <si>
    <t>Polka İşıqsız Türk</t>
  </si>
  <si>
    <t>PLK005</t>
  </si>
  <si>
    <t>Polka İşıqlı Türk</t>
  </si>
  <si>
    <t>PLK006</t>
  </si>
  <si>
    <t>Vega Profil  Polşa</t>
  </si>
  <si>
    <t>VQ001</t>
  </si>
  <si>
    <t>VQ002</t>
  </si>
  <si>
    <t>Vega Profil Qulp Polşa</t>
  </si>
  <si>
    <t>VQ003</t>
  </si>
  <si>
    <t>VQ004</t>
  </si>
  <si>
    <t>Vega Alt Üst Polşa</t>
  </si>
  <si>
    <t>VQ005</t>
  </si>
  <si>
    <t>VQ006</t>
  </si>
  <si>
    <t>Vega Araçita Polşa</t>
  </si>
  <si>
    <t>VQ007</t>
  </si>
  <si>
    <t>VQ008</t>
  </si>
  <si>
    <t>Mərmər Profili</t>
  </si>
  <si>
    <t>PRF086</t>
  </si>
  <si>
    <t>PRF087</t>
  </si>
  <si>
    <t>PRF088</t>
  </si>
  <si>
    <t>PRF089</t>
  </si>
  <si>
    <t>PRF090</t>
  </si>
  <si>
    <t>Düz Petlə 2x2</t>
  </si>
  <si>
    <t>PT001</t>
  </si>
  <si>
    <t>Yarım Dəvə 2x2</t>
  </si>
  <si>
    <t>PT002</t>
  </si>
  <si>
    <t>Tam Dəvə 2x2</t>
  </si>
  <si>
    <t>PT003</t>
  </si>
  <si>
    <t>Gizli Petlə</t>
  </si>
  <si>
    <t>PT004</t>
  </si>
  <si>
    <t>Gizli Qapı Petləsi</t>
  </si>
  <si>
    <t>PT005</t>
  </si>
  <si>
    <t>İnox</t>
  </si>
  <si>
    <t>PT006</t>
  </si>
  <si>
    <t>Düz Petlə 2x2 DİSO</t>
  </si>
  <si>
    <t>PT007</t>
  </si>
  <si>
    <t>Turba</t>
  </si>
  <si>
    <t>TRB001</t>
  </si>
  <si>
    <t>TRB002</t>
  </si>
  <si>
    <t>TRB003</t>
  </si>
  <si>
    <t>TRB004</t>
  </si>
  <si>
    <t>TRB005</t>
  </si>
  <si>
    <t>Başlıq</t>
  </si>
  <si>
    <t>BSL001</t>
  </si>
  <si>
    <t>BSL002</t>
  </si>
  <si>
    <t>BSL003</t>
  </si>
  <si>
    <t>BSL004</t>
  </si>
  <si>
    <t>BSL005</t>
  </si>
  <si>
    <t>Bağlantı 2x2 qalın</t>
  </si>
  <si>
    <t>Metallik</t>
  </si>
  <si>
    <t>BQT001</t>
  </si>
  <si>
    <t>Bağlantı 2x2 nazik</t>
  </si>
  <si>
    <t>BQT002</t>
  </si>
  <si>
    <t>Bağlantı 3x3 oval</t>
  </si>
  <si>
    <t>BQT003</t>
  </si>
  <si>
    <t>Vertikal Qulp</t>
  </si>
  <si>
    <t>QLP006</t>
  </si>
  <si>
    <t>QLP007</t>
  </si>
  <si>
    <t>QLP008</t>
  </si>
  <si>
    <t>QLP009</t>
  </si>
  <si>
    <t>QLP010</t>
  </si>
  <si>
    <t>Horizontal Qulp</t>
  </si>
  <si>
    <t>QLP011</t>
  </si>
  <si>
    <t>QLP012</t>
  </si>
  <si>
    <t>QLP013</t>
  </si>
  <si>
    <t>QLP014</t>
  </si>
  <si>
    <t>QLP015</t>
  </si>
  <si>
    <t>U Profil İşıqlı</t>
  </si>
  <si>
    <t>PRF091</t>
  </si>
  <si>
    <t>PRF092</t>
  </si>
  <si>
    <t>PRF093</t>
  </si>
  <si>
    <t>U Profil işıqsız</t>
  </si>
  <si>
    <t>PRF094</t>
  </si>
  <si>
    <t>PRF095</t>
  </si>
  <si>
    <t>PRF096</t>
  </si>
  <si>
    <t>L Profil İşıqlı</t>
  </si>
  <si>
    <t>PRF097</t>
  </si>
  <si>
    <t>PRF098</t>
  </si>
  <si>
    <t>PRF099</t>
  </si>
  <si>
    <t>L Profil İşıqsız</t>
  </si>
  <si>
    <t>PRF100</t>
  </si>
  <si>
    <t>PRF101</t>
  </si>
  <si>
    <t>PRF102</t>
  </si>
  <si>
    <t>Mətbəx Üst Profil İşıqlı</t>
  </si>
  <si>
    <t>PRF103</t>
  </si>
  <si>
    <t>PRF104</t>
  </si>
  <si>
    <t>PRF105</t>
  </si>
  <si>
    <t>Mətbəx Üst Profil İşıqsız</t>
  </si>
  <si>
    <t>PRF106</t>
  </si>
  <si>
    <t>PRF107</t>
  </si>
  <si>
    <t>PRF108</t>
  </si>
  <si>
    <t>45 Profil  Türk</t>
  </si>
  <si>
    <t>PRF109</t>
  </si>
  <si>
    <t>PRF110</t>
  </si>
  <si>
    <t>45 Profil Qulp Türk</t>
  </si>
  <si>
    <t>PRF111</t>
  </si>
  <si>
    <t>PRF112</t>
  </si>
  <si>
    <t>Asqılı Qapı Mexanizmi</t>
  </si>
  <si>
    <t>Albatur</t>
  </si>
  <si>
    <t>AQM001</t>
  </si>
  <si>
    <t>Təkər</t>
  </si>
  <si>
    <t>TK001</t>
  </si>
  <si>
    <t>Açıq Qarderob Profili</t>
  </si>
  <si>
    <t>PRF113</t>
  </si>
  <si>
    <t>Açıq Qarderob Turbası</t>
  </si>
  <si>
    <t>TRB006</t>
  </si>
  <si>
    <t>Açıq Qarderob Plasmas Bağlantı</t>
  </si>
  <si>
    <t>AQPB001</t>
  </si>
  <si>
    <t>Acıq Qarderob İşıq Knişka</t>
  </si>
  <si>
    <t>AQIK001</t>
  </si>
  <si>
    <t>OPK</t>
  </si>
  <si>
    <t>OPK001</t>
  </si>
  <si>
    <t>OPK002</t>
  </si>
  <si>
    <t>Rels 2m</t>
  </si>
  <si>
    <t>ALBTR001</t>
  </si>
  <si>
    <t>Veqa mexanizmi</t>
  </si>
  <si>
    <t>ALBTR002</t>
  </si>
  <si>
    <t xml:space="preserve">İşıq Profili Qulaqlı </t>
  </si>
  <si>
    <t>Ağ</t>
  </si>
  <si>
    <t>PRF114</t>
  </si>
  <si>
    <t>PRF115</t>
  </si>
  <si>
    <t>İşıq ProfiliQulaqsız</t>
  </si>
  <si>
    <t>PRF116</t>
  </si>
  <si>
    <t>PRF117</t>
  </si>
  <si>
    <t xml:space="preserve">Köşə Türk </t>
  </si>
  <si>
    <t>KOST001</t>
  </si>
  <si>
    <t>Sehife adlari</t>
  </si>
  <si>
    <t>Users</t>
  </si>
  <si>
    <t>Sifaris blanki</t>
  </si>
  <si>
    <t>Sifarisler</t>
  </si>
  <si>
    <t>Müştərilər</t>
  </si>
  <si>
    <t>Anbar</t>
  </si>
  <si>
    <t>data</t>
  </si>
  <si>
    <t>Statistika</t>
  </si>
  <si>
    <t>Məlumatlar</t>
  </si>
  <si>
    <t>Istifadeci</t>
  </si>
  <si>
    <t>Kəsim ve təhvil</t>
  </si>
  <si>
    <t>pvt_melumatlar</t>
  </si>
  <si>
    <t>Qeydiyyat</t>
  </si>
  <si>
    <t>Ayarlar</t>
  </si>
  <si>
    <t>Ümumi statistika</t>
  </si>
  <si>
    <t>Məhsullar haqqında məlumatlar</t>
  </si>
  <si>
    <t>Şüşə alış qiyməti</t>
  </si>
  <si>
    <t>Şüşə satış qiyməti</t>
  </si>
  <si>
    <t>Profil rəngləri</t>
  </si>
  <si>
    <t>Profil tipi</t>
  </si>
  <si>
    <t>Status</t>
  </si>
  <si>
    <t xml:space="preserve">Profilllər </t>
  </si>
  <si>
    <t>Odenis karti</t>
  </si>
  <si>
    <t>Bu gün</t>
  </si>
  <si>
    <t>m</t>
  </si>
  <si>
    <t>4098584464110962</t>
  </si>
  <si>
    <t>Bu gün günorta</t>
  </si>
  <si>
    <t>45 antrasit</t>
  </si>
  <si>
    <t>Bu gün axşam</t>
  </si>
  <si>
    <t>2x2 ydəvə</t>
  </si>
  <si>
    <t>m²</t>
  </si>
  <si>
    <t>Sabah</t>
  </si>
  <si>
    <t>Gizli qapi qara</t>
  </si>
  <si>
    <t>Rulon</t>
  </si>
  <si>
    <t>Sabah günorta</t>
  </si>
  <si>
    <t>Gizli qapi boz</t>
  </si>
  <si>
    <t>6 m</t>
  </si>
  <si>
    <t>Sabah axşam</t>
  </si>
  <si>
    <t>3 m</t>
  </si>
  <si>
    <t>2,7 m</t>
  </si>
  <si>
    <t>3 qulplu</t>
  </si>
  <si>
    <t>2 m</t>
  </si>
  <si>
    <t>2 qulplu</t>
  </si>
  <si>
    <t>Qulp 110</t>
  </si>
  <si>
    <t>2x2 20 sm qulp qara</t>
  </si>
  <si>
    <t>2x2 20 sm qulp antrasit</t>
  </si>
  <si>
    <t>2x2 20 sm qulp açıq antrasit</t>
  </si>
  <si>
    <t>2x2 110 sm qulp kofe</t>
  </si>
  <si>
    <t>2x2 110 sm qulp qara</t>
  </si>
  <si>
    <t>2x2 110 sm qulp antrasit</t>
  </si>
  <si>
    <t>2x2 110 sm qulp açıq antrasit</t>
  </si>
  <si>
    <t>2x2 110sm qulp kofe</t>
  </si>
  <si>
    <t>3x3 oval qara</t>
  </si>
  <si>
    <t>3x3 oval kofe</t>
  </si>
  <si>
    <t>3x3 oval 20 sm qulp qara</t>
  </si>
  <si>
    <t>3x3 oval 20 sm qulp antrasit</t>
  </si>
  <si>
    <t>3x3 oval 20 sm qulp açıq antrasit</t>
  </si>
  <si>
    <t>3x3 oval 110 sm qulp kofe</t>
  </si>
  <si>
    <t>3x3 oval 110 sm qulp qızılı</t>
  </si>
  <si>
    <t>23x3 oval 110 sm qulp qara</t>
  </si>
  <si>
    <t>3x3 oval 110 sm qulp antrasit</t>
  </si>
  <si>
    <t>3x3 oval 110 sm qulp açıq antrasit</t>
  </si>
  <si>
    <t>3x3 oval 110sm qulp kofe</t>
  </si>
  <si>
    <t xml:space="preserve">3x3 kvadrat 20sm qara </t>
  </si>
  <si>
    <t>3x3 kvadrat qara</t>
  </si>
  <si>
    <t xml:space="preserve">Albatur asqı </t>
  </si>
  <si>
    <t>Konus alt-üst</t>
  </si>
  <si>
    <t xml:space="preserve">45 Türk  qara </t>
  </si>
  <si>
    <t>Qulp</t>
  </si>
  <si>
    <t>Qarderob Boru</t>
  </si>
  <si>
    <t>Qarderob Boru baqlantısı</t>
  </si>
  <si>
    <t>Qarderob yan profil</t>
  </si>
  <si>
    <t>Vega alt-üst rels</t>
  </si>
  <si>
    <t>Vega alt-üst bağlantı</t>
  </si>
  <si>
    <t>Mətbəx U işıqlı</t>
  </si>
  <si>
    <t>Mətbəx L işıqlı</t>
  </si>
  <si>
    <t>Mətbəx üst işıqsız</t>
  </si>
  <si>
    <t>Açıq qarderob profili</t>
  </si>
  <si>
    <t>Açıq qarderob borusu</t>
  </si>
  <si>
    <t>Açıq qard Türk rəf profili</t>
  </si>
  <si>
    <t>Türk rəf profili işıqlı</t>
  </si>
  <si>
    <t>Türk rəf profili işıqsız</t>
  </si>
  <si>
    <t>Polşa rəf profili işıqlı</t>
  </si>
  <si>
    <t>Polşa rəf profili işıqsız</t>
  </si>
  <si>
    <t>18-lik mdf profili</t>
  </si>
  <si>
    <t>İstifadəçilər və məlumatları</t>
  </si>
  <si>
    <t>Onlayn İstifadəçi</t>
  </si>
  <si>
    <t>Istifadeci adi</t>
  </si>
  <si>
    <t>Sifre</t>
  </si>
  <si>
    <t>Adi</t>
  </si>
  <si>
    <t>Vezife</t>
  </si>
  <si>
    <t>İstifadəçi adı</t>
  </si>
  <si>
    <t>Giriş saatı</t>
  </si>
  <si>
    <t>vusalcnc044</t>
  </si>
  <si>
    <t>Vüsal bəy</t>
  </si>
  <si>
    <t>Mudir</t>
  </si>
  <si>
    <t>Admin</t>
  </si>
  <si>
    <t>Celal</t>
  </si>
  <si>
    <t>elindor</t>
  </si>
  <si>
    <t>Celal bəy</t>
  </si>
  <si>
    <t>nihad044</t>
  </si>
  <si>
    <t>Nihad bəy</t>
  </si>
  <si>
    <t>İdarə Heyətinin Sədri</t>
  </si>
  <si>
    <t>Aygun</t>
  </si>
  <si>
    <t>aygun44@</t>
  </si>
  <si>
    <t>Aygün xanım</t>
  </si>
  <si>
    <t>Satış Meneceri</t>
  </si>
  <si>
    <t>Satici</t>
  </si>
  <si>
    <t>eli123</t>
  </si>
  <si>
    <t>Əli bəy</t>
  </si>
  <si>
    <t>Sifarişlərin qəbul və Təhvil verilməsi</t>
  </si>
  <si>
    <t>Kod</t>
  </si>
  <si>
    <t>ALUMPRO3</t>
  </si>
  <si>
    <t>ALUMPRO10</t>
  </si>
  <si>
    <t>ALUMPRO4</t>
  </si>
  <si>
    <t>ALUMPRO2</t>
  </si>
  <si>
    <t>ALUMPRO5</t>
  </si>
  <si>
    <t>Satır Etiketleri</t>
  </si>
  <si>
    <t>Toplam Ümumi məbləğ</t>
  </si>
  <si>
    <t>Toplam Qalıq</t>
  </si>
  <si>
    <t>(boş)</t>
  </si>
  <si>
    <t>Genel Toplam</t>
  </si>
  <si>
    <t>İstifadəçi giriş cədvəli</t>
  </si>
  <si>
    <t>Vaxt</t>
  </si>
  <si>
    <t>Adminler butun sehifeleri gore biler</t>
  </si>
  <si>
    <t>Saticilarin gore bileceyi sehifeler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</si>
</sst>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#,##0.00\ &quot;₼&quot;"/>
    <numFmt numFmtId="165" formatCode="dd/mm/yyyy;@"/>
    <numFmt numFmtId="166" formatCode="#000#0"/>
    <numFmt numFmtId="167" formatCode="#,##0\ &quot;₼&quot;"/>
    <numFmt numFmtId="168" formatCode="##0.00\ &quot;₼&quot;"/>
    <numFmt numFmtId="169" formatCode="##0.0\ &quot;₼&quot;"/>
    <numFmt numFmtId="170" formatCode="##0\ &quot;₼&quot;"/>
    <numFmt numFmtId="171" formatCode="0\ &quot;əd&quot;"/>
    <numFmt numFmtId="172" formatCode="[$-F800]dddd\,\ mmmm\ dd\,\ yyyy"/>
    <numFmt numFmtId="173" formatCode="_-* #,##0_-;\-* #,##0_-;_-* &quot;-&quot;??_-;_-@_-"/>
    <numFmt numFmtId="174" formatCode="0\ &quot;m²&quot;"/>
    <numFmt numFmtId="175" formatCode="#,##0\ [$₼-42C]"/>
  </numFmts>
  <fonts count="89">
    <font>
      <sz val="11"/>
      <color theme="1"/>
      <name val="Aptos Narrow"/>
      <family val="2"/>
      <charset val="186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186"/>
      <scheme val="minor"/>
    </font>
    <font>
      <b/>
      <sz val="11"/>
      <color theme="0" tint="-4.9989318521683403E-2"/>
      <name val="Artifakt Element Book"/>
      <family val="2"/>
      <charset val="204"/>
    </font>
    <font>
      <sz val="11"/>
      <color theme="1"/>
      <name val="Artifakt Element Book"/>
      <family val="2"/>
      <charset val="204"/>
    </font>
    <font>
      <sz val="11"/>
      <color rgb="FFFF0000"/>
      <name val="Artifakt Element Book"/>
      <family val="2"/>
      <charset val="204"/>
    </font>
    <font>
      <u/>
      <sz val="11"/>
      <color theme="10"/>
      <name val="Artifakt Element Book"/>
      <family val="2"/>
      <charset val="204"/>
    </font>
    <font>
      <u/>
      <sz val="11"/>
      <color theme="1" tint="4.9989318521683403E-2"/>
      <name val="Artifakt Element Book"/>
      <family val="2"/>
      <charset val="204"/>
    </font>
    <font>
      <sz val="1"/>
      <color theme="1"/>
      <name val="Artifakt Element Book"/>
      <family val="2"/>
      <charset val="204"/>
    </font>
    <font>
      <sz val="48"/>
      <color theme="9" tint="-0.499984740745262"/>
      <name val="Poppins"/>
    </font>
    <font>
      <sz val="5"/>
      <color theme="1"/>
      <name val="Aptos Narrow"/>
      <family val="2"/>
      <charset val="186"/>
      <scheme val="minor"/>
    </font>
    <font>
      <b/>
      <sz val="11"/>
      <color rgb="FF3F3F3F"/>
      <name val="Aptos Narrow"/>
      <family val="2"/>
      <charset val="186"/>
      <scheme val="minor"/>
    </font>
    <font>
      <b/>
      <sz val="11"/>
      <color theme="0"/>
      <name val="Aptos Narrow"/>
      <family val="2"/>
      <charset val="186"/>
      <scheme val="minor"/>
    </font>
    <font>
      <sz val="11"/>
      <color theme="1"/>
      <name val="Aptos Narrow"/>
      <family val="2"/>
      <charset val="186"/>
      <scheme val="minor"/>
    </font>
    <font>
      <b/>
      <sz val="11"/>
      <color theme="1" tint="4.9989318521683403E-2"/>
      <name val="Aptos Narrow"/>
      <family val="2"/>
      <scheme val="minor"/>
    </font>
    <font>
      <b/>
      <sz val="11"/>
      <color theme="0" tint="-4.9989318521683403E-2"/>
      <name val="Aptos Narrow"/>
      <family val="2"/>
    </font>
    <font>
      <sz val="11"/>
      <color theme="1" tint="4.9989318521683403E-2"/>
      <name val="Artifakt Element Book"/>
      <family val="2"/>
      <charset val="204"/>
    </font>
    <font>
      <sz val="48"/>
      <color theme="5" tint="0.79998168889431442"/>
      <name val="Poppins"/>
    </font>
    <font>
      <sz val="11"/>
      <color theme="5" tint="0.79998168889431442"/>
      <name val="Aptos Narrow"/>
      <family val="2"/>
      <charset val="186"/>
      <scheme val="minor"/>
    </font>
    <font>
      <sz val="1"/>
      <color theme="1"/>
      <name val="Segoe UI"/>
      <family val="2"/>
      <charset val="204"/>
    </font>
    <font>
      <u/>
      <sz val="10"/>
      <color theme="1"/>
      <name val="Segoe UI"/>
      <family val="2"/>
      <charset val="204"/>
    </font>
    <font>
      <sz val="10"/>
      <color theme="1"/>
      <name val="Segoe UI"/>
      <family val="2"/>
      <charset val="204"/>
    </font>
    <font>
      <b/>
      <sz val="10"/>
      <color theme="5" tint="0.79998168889431442"/>
      <name val="Poppins"/>
    </font>
    <font>
      <sz val="10"/>
      <color theme="1"/>
      <name val="Poppins"/>
    </font>
    <font>
      <sz val="9"/>
      <color theme="1"/>
      <name val="Segoe UI"/>
      <family val="2"/>
      <charset val="204"/>
    </font>
    <font>
      <b/>
      <sz val="10"/>
      <color rgb="FF3F3F3F"/>
      <name val="Segoe UI"/>
      <family val="2"/>
      <charset val="204"/>
    </font>
    <font>
      <b/>
      <sz val="10"/>
      <color theme="1" tint="4.9989318521683403E-2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11"/>
      <color theme="1"/>
      <name val="Poppins Light"/>
    </font>
    <font>
      <b/>
      <sz val="10"/>
      <color theme="0" tint="-4.9989318521683403E-2"/>
      <name val="Poppins"/>
    </font>
    <font>
      <sz val="22"/>
      <color theme="5" tint="0.79998168889431442"/>
      <name val="Aptos Narrow"/>
      <family val="2"/>
      <charset val="186"/>
      <scheme val="minor"/>
    </font>
    <font>
      <sz val="28"/>
      <color theme="5" tint="0.79998168889431442"/>
      <name val="Aptos Narrow"/>
      <family val="2"/>
      <scheme val="minor"/>
    </font>
    <font>
      <b/>
      <sz val="10"/>
      <color theme="5" tint="0.79998168889431442"/>
      <name val="Segoe UI"/>
      <family val="2"/>
      <charset val="204"/>
    </font>
    <font>
      <sz val="11"/>
      <color theme="5" tint="-0.499984740745262"/>
      <name val="Aptos Narrow"/>
      <family val="2"/>
      <charset val="186"/>
      <scheme val="minor"/>
    </font>
    <font>
      <sz val="8"/>
      <name val="Aptos Narrow"/>
      <family val="2"/>
      <charset val="186"/>
      <scheme val="minor"/>
    </font>
    <font>
      <sz val="48"/>
      <color theme="2"/>
      <name val="Poppins"/>
    </font>
    <font>
      <sz val="10"/>
      <color rgb="FF3F3F3F"/>
      <name val="Segoe UI"/>
      <family val="2"/>
      <charset val="204"/>
    </font>
    <font>
      <b/>
      <sz val="12"/>
      <color theme="5" tint="0.79998168889431442"/>
      <name val="Segoe UI"/>
      <family val="2"/>
      <charset val="204"/>
    </font>
    <font>
      <sz val="20"/>
      <color theme="5" tint="0.79998168889431442"/>
      <name val="Segoe UI Symbol"/>
      <family val="2"/>
    </font>
    <font>
      <b/>
      <sz val="11"/>
      <color theme="5" tint="0.79998168889431442"/>
      <name val="Aptos Narrow"/>
      <family val="2"/>
      <scheme val="minor"/>
    </font>
    <font>
      <b/>
      <sz val="10"/>
      <color theme="1"/>
      <name val="Segoe UI"/>
      <family val="2"/>
    </font>
    <font>
      <b/>
      <sz val="11"/>
      <color theme="5" tint="0.79998168889431442"/>
      <name val="Artifakt Element Book"/>
      <family val="2"/>
    </font>
    <font>
      <sz val="11"/>
      <color theme="1"/>
      <name val="Artifakt Element"/>
      <family val="2"/>
    </font>
    <font>
      <b/>
      <sz val="10"/>
      <color theme="1"/>
      <name val="Univers"/>
      <family val="2"/>
    </font>
    <font>
      <sz val="9"/>
      <color theme="1"/>
      <name val="Univers"/>
      <family val="2"/>
    </font>
    <font>
      <sz val="9"/>
      <color theme="9" tint="-0.499984740745262"/>
      <name val="Univers"/>
      <family val="2"/>
    </font>
    <font>
      <sz val="8"/>
      <color theme="1"/>
      <name val="Poppins"/>
    </font>
    <font>
      <b/>
      <sz val="10"/>
      <color theme="1"/>
      <name val="Segoe UI"/>
      <family val="2"/>
      <charset val="204"/>
    </font>
    <font>
      <b/>
      <sz val="11"/>
      <color theme="1"/>
      <name val="Segoe UI"/>
      <family val="2"/>
      <charset val="204"/>
    </font>
    <font>
      <b/>
      <sz val="10"/>
      <color theme="0" tint="-4.9989318521683403E-2"/>
      <name val="Calibri"/>
      <family val="2"/>
      <charset val="204"/>
    </font>
    <font>
      <b/>
      <sz val="11"/>
      <color theme="5" tint="0.79998168889431442"/>
      <name val="Poppins"/>
    </font>
    <font>
      <sz val="11"/>
      <color theme="5" tint="0.79998168889431442"/>
      <name val="Poppins"/>
    </font>
    <font>
      <b/>
      <sz val="11"/>
      <color theme="0" tint="-4.9989318521683403E-2"/>
      <name val="Poppins"/>
    </font>
    <font>
      <b/>
      <sz val="10"/>
      <color theme="1"/>
      <name val="Poppins"/>
    </font>
    <font>
      <u/>
      <sz val="11"/>
      <color theme="7" tint="-0.499984740745262"/>
      <name val="Artifakt Element Book"/>
      <family val="2"/>
      <charset val="204"/>
    </font>
    <font>
      <sz val="22"/>
      <color theme="1"/>
      <name val="Aptos Narrow"/>
      <family val="2"/>
      <scheme val="minor"/>
    </font>
    <font>
      <b/>
      <sz val="11"/>
      <color theme="1"/>
      <name val="Aptos Narrow"/>
      <family val="2"/>
      <charset val="162"/>
      <scheme val="minor"/>
    </font>
    <font>
      <b/>
      <sz val="10"/>
      <color theme="1"/>
      <name val="Segoe UI"/>
      <family val="2"/>
      <charset val="162"/>
    </font>
    <font>
      <b/>
      <sz val="9"/>
      <color theme="1"/>
      <name val="Segoe UI"/>
      <family val="2"/>
      <charset val="162"/>
    </font>
    <font>
      <b/>
      <sz val="10"/>
      <color theme="1"/>
      <name val="Univers"/>
      <family val="2"/>
      <charset val="162"/>
    </font>
    <font>
      <b/>
      <sz val="12"/>
      <color theme="1"/>
      <name val="Aptos Narrow"/>
      <family val="2"/>
      <charset val="162"/>
      <scheme val="minor"/>
    </font>
    <font>
      <sz val="12"/>
      <color theme="9" tint="-0.499984740745262"/>
      <name val="IDAutomationHC39M Free Version"/>
      <family val="1"/>
      <charset val="2"/>
    </font>
    <font>
      <b/>
      <u/>
      <sz val="11"/>
      <color theme="1"/>
      <name val="Segoe UI"/>
      <family val="2"/>
    </font>
    <font>
      <u/>
      <sz val="1"/>
      <color theme="1"/>
      <name val="Segoe UI"/>
      <family val="2"/>
      <charset val="204"/>
    </font>
    <font>
      <b/>
      <u/>
      <sz val="10"/>
      <color theme="1"/>
      <name val="Segoe UI"/>
      <family val="2"/>
    </font>
    <font>
      <b/>
      <sz val="12"/>
      <color theme="5" tint="0.79998168889431442"/>
      <name val="Aptos Narrow"/>
      <family val="2"/>
      <scheme val="minor"/>
    </font>
    <font>
      <sz val="11"/>
      <color theme="5" tint="0.79998168889431442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22"/>
      <color theme="5" tint="0.79998168889431442"/>
      <name val="Poppins"/>
    </font>
    <font>
      <b/>
      <u/>
      <sz val="14"/>
      <color theme="1" tint="4.9989318521683403E-2"/>
      <name val="Aptos Narrow"/>
      <family val="2"/>
      <scheme val="minor"/>
    </font>
    <font>
      <sz val="9"/>
      <color theme="1"/>
      <name val="Aptos Narrow"/>
      <family val="2"/>
      <charset val="186"/>
      <scheme val="minor"/>
    </font>
    <font>
      <b/>
      <u/>
      <sz val="14"/>
      <color theme="9"/>
      <name val="Aptos Narrow"/>
      <family val="2"/>
      <scheme val="minor"/>
    </font>
    <font>
      <b/>
      <sz val="11"/>
      <color theme="1" tint="4.9989318521683403E-2"/>
      <name val="Segoe UI"/>
      <family val="2"/>
      <charset val="204"/>
    </font>
    <font>
      <sz val="11"/>
      <color theme="1"/>
      <name val="Segoe UI"/>
      <family val="2"/>
      <charset val="204"/>
    </font>
    <font>
      <b/>
      <sz val="11"/>
      <color rgb="FF3F3F3F"/>
      <name val="Segoe UI"/>
      <family val="2"/>
      <charset val="204"/>
    </font>
    <font>
      <sz val="11"/>
      <color rgb="FF3F3F3F"/>
      <name val="Segoe UI"/>
      <family val="2"/>
      <charset val="204"/>
    </font>
    <font>
      <b/>
      <sz val="11"/>
      <color rgb="FF3F3F3F"/>
      <name val="Segoe UI"/>
      <family val="2"/>
    </font>
    <font>
      <b/>
      <sz val="11"/>
      <color theme="1"/>
      <name val="Segoe UI"/>
      <family val="2"/>
    </font>
    <font>
      <b/>
      <sz val="10"/>
      <color rgb="FF3F3F3F"/>
      <name val="Segoe UI"/>
      <family val="2"/>
    </font>
    <font>
      <sz val="48"/>
      <color theme="5" tint="-0.499984740745262"/>
      <name val="Poppins"/>
    </font>
    <font>
      <b/>
      <sz val="11"/>
      <color theme="0" tint="-4.9989318521683403E-2"/>
      <name val="Artifakt Element Book"/>
      <family val="2"/>
      <charset val="162"/>
    </font>
    <font>
      <b/>
      <sz val="11"/>
      <color theme="1"/>
      <name val="Artifakt Element Book"/>
      <family val="2"/>
      <charset val="162"/>
    </font>
    <font>
      <sz val="14"/>
      <color theme="9" tint="-0.499984740745262"/>
      <name val="IDAutomationHC39M Free Version"/>
      <family val="1"/>
      <charset val="2"/>
    </font>
    <font>
      <b/>
      <sz val="9"/>
      <color theme="0" tint="-4.9989318521683403E-2"/>
      <name val="Artifakt Element Book"/>
      <family val="2"/>
      <charset val="204"/>
    </font>
    <font>
      <b/>
      <sz val="11"/>
      <color theme="1"/>
      <name val="Aptos"/>
      <family val="2"/>
    </font>
    <font>
      <b/>
      <sz val="11"/>
      <color theme="5" tint="-0.499984740745262"/>
      <name val="Aptos"/>
      <family val="2"/>
    </font>
    <font>
      <b/>
      <u/>
      <sz val="11"/>
      <color theme="10"/>
      <name val="Aptos"/>
      <family val="2"/>
    </font>
    <font>
      <b/>
      <sz val="9"/>
      <color theme="1"/>
      <name val="Aptos"/>
      <family val="2"/>
    </font>
    <font>
      <sz val="9"/>
      <color theme="1"/>
      <name val="Aptos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C9BF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/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rgb="FF3F3F3F"/>
      </left>
      <right/>
      <top style="thin">
        <color indexed="64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11" fillId="6" borderId="15" applyNumberFormat="0" applyAlignment="0" applyProtection="0"/>
    <xf numFmtId="0" fontId="12" fillId="7" borderId="16" applyNumberFormat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353">
    <xf numFmtId="0" fontId="0" fillId="0" borderId="0" xfId="0"/>
    <xf numFmtId="0" fontId="1" fillId="0" borderId="7" xfId="0" applyFont="1" applyBorder="1" applyAlignment="1">
      <alignment horizontal="left" indent="1"/>
    </xf>
    <xf numFmtId="0" fontId="0" fillId="0" borderId="2" xfId="0" applyBorder="1"/>
    <xf numFmtId="0" fontId="1" fillId="0" borderId="8" xfId="0" applyFont="1" applyBorder="1" applyAlignment="1">
      <alignment horizontal="left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7" fillId="3" borderId="10" xfId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10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10" xfId="0" applyBorder="1" applyAlignment="1">
      <alignment horizontal="center" vertical="center"/>
    </xf>
    <xf numFmtId="1" fontId="7" fillId="0" borderId="5" xfId="1" applyNumberFormat="1" applyFont="1" applyBorder="1" applyAlignment="1">
      <alignment horizontal="center" vertical="center"/>
    </xf>
    <xf numFmtId="0" fontId="17" fillId="8" borderId="0" xfId="0" applyFont="1" applyFill="1" applyAlignment="1" applyProtection="1">
      <alignment vertical="center"/>
      <protection hidden="1"/>
    </xf>
    <xf numFmtId="0" fontId="23" fillId="8" borderId="1" xfId="0" applyFont="1" applyFill="1" applyBorder="1" applyAlignment="1">
      <alignment horizontal="center"/>
    </xf>
    <xf numFmtId="0" fontId="23" fillId="8" borderId="2" xfId="0" applyFont="1" applyFill="1" applyBorder="1" applyAlignment="1">
      <alignment horizontal="center"/>
    </xf>
    <xf numFmtId="0" fontId="23" fillId="8" borderId="3" xfId="0" applyFont="1" applyFill="1" applyBorder="1" applyAlignment="1">
      <alignment horizontal="center"/>
    </xf>
    <xf numFmtId="0" fontId="24" fillId="0" borderId="0" xfId="0" applyFont="1"/>
    <xf numFmtId="1" fontId="24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0" fontId="27" fillId="0" borderId="0" xfId="0" applyFont="1"/>
    <xf numFmtId="0" fontId="18" fillId="8" borderId="0" xfId="0" applyFont="1" applyFill="1"/>
    <xf numFmtId="0" fontId="17" fillId="9" borderId="0" xfId="0" applyFont="1" applyFill="1" applyAlignment="1" applyProtection="1">
      <alignment vertical="center"/>
      <protection hidden="1"/>
    </xf>
    <xf numFmtId="0" fontId="18" fillId="9" borderId="32" xfId="0" applyFont="1" applyFill="1" applyBorder="1"/>
    <xf numFmtId="0" fontId="18" fillId="9" borderId="0" xfId="0" applyFont="1" applyFill="1"/>
    <xf numFmtId="0" fontId="0" fillId="8" borderId="0" xfId="0" applyFill="1"/>
    <xf numFmtId="0" fontId="28" fillId="0" borderId="4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164" fontId="3" fillId="8" borderId="11" xfId="0" applyNumberFormat="1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18" fillId="0" borderId="0" xfId="0" applyFont="1"/>
    <xf numFmtId="0" fontId="0" fillId="0" borderId="10" xfId="0" applyBorder="1"/>
    <xf numFmtId="1" fontId="35" fillId="0" borderId="0" xfId="0" applyNumberFormat="1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/>
    <xf numFmtId="0" fontId="2" fillId="0" borderId="4" xfId="1" applyBorder="1" applyAlignment="1">
      <alignment horizontal="center" vertical="center"/>
    </xf>
    <xf numFmtId="0" fontId="3" fillId="8" borderId="35" xfId="0" applyFont="1" applyFill="1" applyBorder="1" applyAlignment="1">
      <alignment horizontal="center" vertical="center"/>
    </xf>
    <xf numFmtId="0" fontId="3" fillId="8" borderId="32" xfId="0" applyFont="1" applyFill="1" applyBorder="1" applyAlignment="1">
      <alignment horizontal="center" vertical="center"/>
    </xf>
    <xf numFmtId="164" fontId="3" fillId="8" borderId="35" xfId="0" applyNumberFormat="1" applyFont="1" applyFill="1" applyBorder="1" applyAlignment="1">
      <alignment horizontal="center" vertical="center"/>
    </xf>
    <xf numFmtId="0" fontId="0" fillId="9" borderId="0" xfId="0" applyFill="1"/>
    <xf numFmtId="0" fontId="37" fillId="11" borderId="10" xfId="0" applyFont="1" applyFill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166" fontId="0" fillId="0" borderId="0" xfId="0" applyNumberFormat="1"/>
    <xf numFmtId="14" fontId="0" fillId="0" borderId="0" xfId="0" applyNumberFormat="1"/>
    <xf numFmtId="22" fontId="0" fillId="0" borderId="0" xfId="0" applyNumberFormat="1"/>
    <xf numFmtId="0" fontId="39" fillId="8" borderId="10" xfId="0" applyFont="1" applyFill="1" applyBorder="1" applyAlignment="1">
      <alignment horizontal="center" vertical="center"/>
    </xf>
    <xf numFmtId="0" fontId="40" fillId="0" borderId="10" xfId="0" applyFont="1" applyBorder="1"/>
    <xf numFmtId="14" fontId="40" fillId="0" borderId="10" xfId="0" applyNumberFormat="1" applyFont="1" applyBorder="1"/>
    <xf numFmtId="0" fontId="1" fillId="5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14" fillId="5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" fontId="4" fillId="0" borderId="5" xfId="4" applyNumberFormat="1" applyFont="1" applyBorder="1" applyAlignment="1">
      <alignment horizontal="center" vertical="center"/>
    </xf>
    <xf numFmtId="169" fontId="4" fillId="0" borderId="5" xfId="0" applyNumberFormat="1" applyFont="1" applyBorder="1" applyAlignment="1">
      <alignment horizontal="center" vertical="center"/>
    </xf>
    <xf numFmtId="170" fontId="4" fillId="0" borderId="5" xfId="0" applyNumberFormat="1" applyFont="1" applyBorder="1" applyAlignment="1">
      <alignment horizontal="center" vertical="center"/>
    </xf>
    <xf numFmtId="1" fontId="16" fillId="0" borderId="5" xfId="0" applyNumberFormat="1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164" fontId="43" fillId="0" borderId="26" xfId="0" applyNumberFormat="1" applyFont="1" applyBorder="1" applyAlignment="1">
      <alignment horizontal="center" vertical="center"/>
    </xf>
    <xf numFmtId="0" fontId="43" fillId="0" borderId="26" xfId="0" applyFont="1" applyBorder="1" applyAlignment="1">
      <alignment horizontal="center" vertical="center"/>
    </xf>
    <xf numFmtId="49" fontId="43" fillId="0" borderId="0" xfId="0" applyNumberFormat="1" applyFont="1" applyAlignment="1">
      <alignment vertical="center"/>
    </xf>
    <xf numFmtId="0" fontId="43" fillId="0" borderId="10" xfId="0" applyFont="1" applyBorder="1"/>
    <xf numFmtId="0" fontId="43" fillId="2" borderId="10" xfId="0" applyFont="1" applyFill="1" applyBorder="1" applyAlignment="1">
      <alignment horizontal="center" vertical="center"/>
    </xf>
    <xf numFmtId="0" fontId="44" fillId="0" borderId="0" xfId="0" applyFont="1"/>
    <xf numFmtId="0" fontId="45" fillId="0" borderId="31" xfId="0" applyFont="1" applyBorder="1" applyAlignment="1">
      <alignment vertical="center"/>
    </xf>
    <xf numFmtId="0" fontId="46" fillId="0" borderId="0" xfId="0" applyFont="1"/>
    <xf numFmtId="0" fontId="21" fillId="0" borderId="0" xfId="0" applyFont="1"/>
    <xf numFmtId="0" fontId="21" fillId="0" borderId="0" xfId="0" applyFont="1" applyAlignment="1">
      <alignment horizontal="center" vertical="center"/>
    </xf>
    <xf numFmtId="0" fontId="36" fillId="0" borderId="15" xfId="2" applyFont="1" applyFill="1" applyAlignment="1">
      <alignment horizontal="center" vertical="center"/>
    </xf>
    <xf numFmtId="0" fontId="36" fillId="0" borderId="10" xfId="2" applyFont="1" applyFill="1" applyBorder="1" applyAlignment="1">
      <alignment horizontal="center" vertical="center"/>
    </xf>
    <xf numFmtId="0" fontId="50" fillId="8" borderId="26" xfId="0" applyFont="1" applyFill="1" applyBorder="1" applyAlignment="1">
      <alignment horizontal="center" vertical="center"/>
    </xf>
    <xf numFmtId="0" fontId="50" fillId="8" borderId="10" xfId="0" applyFont="1" applyFill="1" applyBorder="1" applyAlignment="1">
      <alignment horizontal="center" vertical="center"/>
    </xf>
    <xf numFmtId="0" fontId="51" fillId="8" borderId="10" xfId="0" applyFont="1" applyFill="1" applyBorder="1"/>
    <xf numFmtId="0" fontId="51" fillId="8" borderId="10" xfId="0" applyFont="1" applyFill="1" applyBorder="1" applyAlignment="1">
      <alignment horizontal="center" vertical="center"/>
    </xf>
    <xf numFmtId="0" fontId="50" fillId="8" borderId="28" xfId="0" applyFont="1" applyFill="1" applyBorder="1" applyAlignment="1">
      <alignment horizontal="center" vertical="center"/>
    </xf>
    <xf numFmtId="0" fontId="43" fillId="0" borderId="2" xfId="0" applyFont="1" applyBorder="1" applyAlignment="1">
      <alignment horizontal="center" vertical="center"/>
    </xf>
    <xf numFmtId="0" fontId="52" fillId="8" borderId="10" xfId="0" applyFont="1" applyFill="1" applyBorder="1" applyAlignment="1">
      <alignment horizontal="center" vertical="center"/>
    </xf>
    <xf numFmtId="167" fontId="43" fillId="0" borderId="10" xfId="0" applyNumberFormat="1" applyFont="1" applyBorder="1" applyAlignment="1">
      <alignment horizontal="center" vertical="center"/>
    </xf>
    <xf numFmtId="0" fontId="51" fillId="8" borderId="26" xfId="0" applyFont="1" applyFill="1" applyBorder="1" applyAlignment="1">
      <alignment horizontal="center" vertical="center"/>
    </xf>
    <xf numFmtId="0" fontId="22" fillId="8" borderId="26" xfId="0" applyFont="1" applyFill="1" applyBorder="1" applyAlignment="1">
      <alignment horizontal="center" vertical="center"/>
    </xf>
    <xf numFmtId="49" fontId="4" fillId="2" borderId="38" xfId="0" applyNumberFormat="1" applyFont="1" applyFill="1" applyBorder="1" applyAlignment="1">
      <alignment horizontal="center" vertical="center"/>
    </xf>
    <xf numFmtId="1" fontId="6" fillId="2" borderId="38" xfId="1" applyNumberFormat="1" applyFont="1" applyFill="1" applyBorder="1" applyAlignment="1">
      <alignment horizontal="center" vertical="center"/>
    </xf>
    <xf numFmtId="0" fontId="4" fillId="2" borderId="38" xfId="0" applyFont="1" applyFill="1" applyBorder="1" applyAlignment="1">
      <alignment horizontal="center" vertical="center"/>
    </xf>
    <xf numFmtId="0" fontId="23" fillId="0" borderId="10" xfId="0" applyFont="1" applyBorder="1" applyAlignment="1">
      <alignment horizontal="center"/>
    </xf>
    <xf numFmtId="14" fontId="23" fillId="0" borderId="10" xfId="0" applyNumberFormat="1" applyFont="1" applyBorder="1" applyAlignment="1">
      <alignment horizontal="center"/>
    </xf>
    <xf numFmtId="49" fontId="4" fillId="2" borderId="10" xfId="0" applyNumberFormat="1" applyFont="1" applyFill="1" applyBorder="1" applyAlignment="1">
      <alignment horizontal="center" vertical="center"/>
    </xf>
    <xf numFmtId="1" fontId="6" fillId="2" borderId="10" xfId="1" applyNumberFormat="1" applyFont="1" applyFill="1" applyBorder="1" applyAlignment="1">
      <alignment horizontal="center" vertical="center"/>
    </xf>
    <xf numFmtId="171" fontId="54" fillId="2" borderId="38" xfId="1" applyNumberFormat="1" applyFont="1" applyFill="1" applyBorder="1" applyAlignment="1">
      <alignment horizontal="center" vertical="center"/>
    </xf>
    <xf numFmtId="20" fontId="40" fillId="0" borderId="10" xfId="0" applyNumberFormat="1" applyFont="1" applyBorder="1"/>
    <xf numFmtId="20" fontId="23" fillId="0" borderId="10" xfId="0" applyNumberFormat="1" applyFont="1" applyBorder="1" applyAlignment="1">
      <alignment horizontal="center"/>
    </xf>
    <xf numFmtId="22" fontId="53" fillId="0" borderId="10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0" xfId="0" applyFont="1"/>
    <xf numFmtId="0" fontId="4" fillId="2" borderId="41" xfId="0" applyFont="1" applyFill="1" applyBorder="1" applyAlignment="1">
      <alignment horizontal="center" vertical="center"/>
    </xf>
    <xf numFmtId="171" fontId="54" fillId="2" borderId="41" xfId="1" applyNumberFormat="1" applyFont="1" applyFill="1" applyBorder="1" applyAlignment="1">
      <alignment horizontal="center" vertical="center"/>
    </xf>
    <xf numFmtId="14" fontId="28" fillId="0" borderId="5" xfId="0" applyNumberFormat="1" applyFont="1" applyBorder="1" applyAlignment="1">
      <alignment horizontal="center" vertical="center"/>
    </xf>
    <xf numFmtId="172" fontId="28" fillId="0" borderId="5" xfId="0" applyNumberFormat="1" applyFont="1" applyBorder="1" applyAlignment="1">
      <alignment horizontal="center" vertical="center"/>
    </xf>
    <xf numFmtId="173" fontId="0" fillId="0" borderId="0" xfId="5" applyNumberFormat="1" applyFont="1" applyAlignment="1">
      <alignment horizontal="center" vertical="center"/>
    </xf>
    <xf numFmtId="0" fontId="36" fillId="0" borderId="19" xfId="2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5"/>
    </xf>
    <xf numFmtId="164" fontId="3" fillId="8" borderId="18" xfId="0" applyNumberFormat="1" applyFont="1" applyFill="1" applyBorder="1" applyAlignment="1">
      <alignment horizontal="center" vertical="center"/>
    </xf>
    <xf numFmtId="168" fontId="4" fillId="0" borderId="26" xfId="0" applyNumberFormat="1" applyFont="1" applyBorder="1" applyAlignment="1">
      <alignment horizontal="center" vertical="center"/>
    </xf>
    <xf numFmtId="0" fontId="3" fillId="8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6" fillId="0" borderId="33" xfId="0" applyFont="1" applyBorder="1" applyAlignment="1">
      <alignment horizontal="center" vertical="center"/>
    </xf>
    <xf numFmtId="0" fontId="56" fillId="0" borderId="3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47" fillId="12" borderId="27" xfId="0" applyFont="1" applyFill="1" applyBorder="1" applyAlignment="1">
      <alignment horizontal="center" vertical="center"/>
    </xf>
    <xf numFmtId="1" fontId="26" fillId="12" borderId="3" xfId="3" applyNumberFormat="1" applyFont="1" applyFill="1" applyBorder="1" applyAlignment="1">
      <alignment horizontal="right" vertical="center"/>
    </xf>
    <xf numFmtId="166" fontId="26" fillId="12" borderId="1" xfId="3" quotePrefix="1" applyNumberFormat="1" applyFont="1" applyFill="1" applyBorder="1" applyAlignment="1">
      <alignment horizontal="left" vertical="center" indent="3"/>
    </xf>
    <xf numFmtId="0" fontId="47" fillId="12" borderId="26" xfId="0" applyFont="1" applyFill="1" applyBorder="1" applyAlignment="1">
      <alignment horizontal="center" vertical="center"/>
    </xf>
    <xf numFmtId="0" fontId="25" fillId="12" borderId="2" xfId="2" applyFont="1" applyFill="1" applyBorder="1" applyAlignment="1">
      <alignment horizontal="center" vertical="center"/>
    </xf>
    <xf numFmtId="0" fontId="25" fillId="12" borderId="37" xfId="2" applyFont="1" applyFill="1" applyBorder="1" applyAlignment="1">
      <alignment vertical="center"/>
    </xf>
    <xf numFmtId="0" fontId="25" fillId="12" borderId="29" xfId="2" applyFont="1" applyFill="1" applyBorder="1" applyAlignment="1">
      <alignment horizontal="center" vertical="center"/>
    </xf>
    <xf numFmtId="0" fontId="56" fillId="12" borderId="10" xfId="0" applyFont="1" applyFill="1" applyBorder="1" applyAlignment="1">
      <alignment horizontal="center" vertical="center"/>
    </xf>
    <xf numFmtId="0" fontId="56" fillId="12" borderId="5" xfId="0" applyFont="1" applyFill="1" applyBorder="1" applyAlignment="1">
      <alignment horizontal="center" vertical="center"/>
    </xf>
    <xf numFmtId="0" fontId="56" fillId="12" borderId="2" xfId="0" applyFont="1" applyFill="1" applyBorder="1" applyAlignment="1">
      <alignment horizontal="center" vertical="center"/>
    </xf>
    <xf numFmtId="175" fontId="57" fillId="12" borderId="26" xfId="0" applyNumberFormat="1" applyFont="1" applyFill="1" applyBorder="1" applyAlignment="1">
      <alignment horizontal="center" vertical="center"/>
    </xf>
    <xf numFmtId="171" fontId="57" fillId="12" borderId="10" xfId="0" applyNumberFormat="1" applyFont="1" applyFill="1" applyBorder="1" applyAlignment="1">
      <alignment horizontal="center" vertical="center"/>
    </xf>
    <xf numFmtId="0" fontId="57" fillId="12" borderId="10" xfId="0" applyFont="1" applyFill="1" applyBorder="1" applyAlignment="1">
      <alignment horizontal="center" vertical="center"/>
    </xf>
    <xf numFmtId="175" fontId="57" fillId="12" borderId="10" xfId="0" applyNumberFormat="1" applyFont="1" applyFill="1" applyBorder="1" applyAlignment="1">
      <alignment horizontal="center" vertical="center"/>
    </xf>
    <xf numFmtId="171" fontId="56" fillId="0" borderId="0" xfId="0" applyNumberFormat="1" applyFont="1" applyAlignment="1">
      <alignment horizontal="center" vertical="center"/>
    </xf>
    <xf numFmtId="0" fontId="56" fillId="0" borderId="4" xfId="0" applyFont="1" applyBorder="1" applyAlignment="1">
      <alignment horizontal="center" vertical="center"/>
    </xf>
    <xf numFmtId="171" fontId="56" fillId="0" borderId="29" xfId="0" applyNumberFormat="1" applyFont="1" applyBorder="1" applyAlignment="1">
      <alignment horizontal="center" vertical="center"/>
    </xf>
    <xf numFmtId="171" fontId="1" fillId="0" borderId="29" xfId="0" applyNumberFormat="1" applyFont="1" applyBorder="1" applyAlignment="1">
      <alignment horizontal="center" vertical="center"/>
    </xf>
    <xf numFmtId="171" fontId="56" fillId="0" borderId="37" xfId="0" applyNumberFormat="1" applyFont="1" applyBorder="1" applyAlignment="1">
      <alignment horizontal="center" vertical="center"/>
    </xf>
    <xf numFmtId="175" fontId="57" fillId="0" borderId="26" xfId="0" applyNumberFormat="1" applyFont="1" applyBorder="1" applyAlignment="1">
      <alignment horizontal="center" vertical="center"/>
    </xf>
    <xf numFmtId="171" fontId="57" fillId="0" borderId="10" xfId="0" applyNumberFormat="1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174" fontId="56" fillId="0" borderId="10" xfId="0" applyNumberFormat="1" applyFont="1" applyBorder="1" applyAlignment="1">
      <alignment horizontal="center" vertical="center"/>
    </xf>
    <xf numFmtId="175" fontId="56" fillId="0" borderId="10" xfId="0" applyNumberFormat="1" applyFont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4" fontId="0" fillId="0" borderId="0" xfId="0" applyNumberFormat="1" applyAlignment="1">
      <alignment horizontal="center" vertical="center"/>
    </xf>
    <xf numFmtId="175" fontId="0" fillId="0" borderId="0" xfId="0" applyNumberFormat="1"/>
    <xf numFmtId="171" fontId="0" fillId="0" borderId="0" xfId="0" applyNumberFormat="1"/>
    <xf numFmtId="174" fontId="0" fillId="0" borderId="0" xfId="0" applyNumberFormat="1"/>
    <xf numFmtId="175" fontId="62" fillId="4" borderId="0" xfId="1" applyNumberFormat="1" applyFont="1" applyFill="1" applyBorder="1" applyAlignment="1">
      <alignment horizontal="center" vertical="center"/>
    </xf>
    <xf numFmtId="175" fontId="2" fillId="0" borderId="0" xfId="1" applyNumberFormat="1" applyFill="1" applyBorder="1" applyAlignment="1">
      <alignment horizontal="center" vertical="center"/>
    </xf>
    <xf numFmtId="175" fontId="40" fillId="0" borderId="0" xfId="0" applyNumberFormat="1" applyFont="1" applyAlignment="1">
      <alignment horizontal="center" vertical="center"/>
    </xf>
    <xf numFmtId="0" fontId="64" fillId="0" borderId="0" xfId="1" applyNumberFormat="1" applyFont="1" applyFill="1" applyBorder="1" applyAlignment="1">
      <alignment horizontal="center" vertical="center"/>
    </xf>
    <xf numFmtId="0" fontId="63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20" fillId="0" borderId="0" xfId="1" applyNumberFormat="1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" fontId="65" fillId="11" borderId="1" xfId="0" applyNumberFormat="1" applyFont="1" applyFill="1" applyBorder="1" applyAlignment="1">
      <alignment horizontal="center" vertical="center"/>
    </xf>
    <xf numFmtId="1" fontId="65" fillId="11" borderId="2" xfId="0" applyNumberFormat="1" applyFont="1" applyFill="1" applyBorder="1" applyAlignment="1">
      <alignment horizontal="center" vertical="center"/>
    </xf>
    <xf numFmtId="165" fontId="65" fillId="11" borderId="2" xfId="0" applyNumberFormat="1" applyFont="1" applyFill="1" applyBorder="1" applyAlignment="1">
      <alignment horizontal="center" vertical="center"/>
    </xf>
    <xf numFmtId="0" fontId="65" fillId="11" borderId="2" xfId="0" applyFont="1" applyFill="1" applyBorder="1" applyAlignment="1">
      <alignment horizontal="center" vertical="center"/>
    </xf>
    <xf numFmtId="164" fontId="65" fillId="11" borderId="2" xfId="0" applyNumberFormat="1" applyFont="1" applyFill="1" applyBorder="1" applyAlignment="1">
      <alignment horizontal="center" vertical="center"/>
    </xf>
    <xf numFmtId="0" fontId="65" fillId="11" borderId="3" xfId="0" applyFont="1" applyFill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5" fontId="0" fillId="0" borderId="5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4" fontId="0" fillId="0" borderId="5" xfId="0" applyNumberFormat="1" applyBorder="1" applyAlignment="1">
      <alignment horizontal="center" vertical="center"/>
    </xf>
    <xf numFmtId="175" fontId="2" fillId="4" borderId="5" xfId="1" applyNumberFormat="1" applyFill="1" applyBorder="1" applyAlignment="1">
      <alignment horizontal="center" vertical="center"/>
    </xf>
    <xf numFmtId="175" fontId="40" fillId="4" borderId="5" xfId="0" applyNumberFormat="1" applyFont="1" applyFill="1" applyBorder="1" applyAlignment="1">
      <alignment horizontal="center" vertical="center"/>
    </xf>
    <xf numFmtId="0" fontId="64" fillId="4" borderId="5" xfId="1" applyNumberFormat="1" applyFont="1" applyFill="1" applyBorder="1" applyAlignment="1">
      <alignment horizontal="center" vertical="center"/>
    </xf>
    <xf numFmtId="0" fontId="63" fillId="4" borderId="5" xfId="0" applyFont="1" applyFill="1" applyBorder="1" applyAlignment="1">
      <alignment horizontal="center" vertical="center" wrapText="1"/>
    </xf>
    <xf numFmtId="0" fontId="19" fillId="4" borderId="5" xfId="0" applyFont="1" applyFill="1" applyBorder="1" applyAlignment="1">
      <alignment horizontal="center" vertical="center"/>
    </xf>
    <xf numFmtId="0" fontId="20" fillId="4" borderId="5" xfId="1" applyNumberFormat="1" applyFont="1" applyFill="1" applyBorder="1" applyAlignment="1">
      <alignment horizontal="center" vertical="center"/>
    </xf>
    <xf numFmtId="0" fontId="21" fillId="4" borderId="6" xfId="0" applyFont="1" applyFill="1" applyBorder="1" applyAlignment="1">
      <alignment horizontal="center" vertical="center"/>
    </xf>
    <xf numFmtId="1" fontId="32" fillId="11" borderId="10" xfId="3" applyNumberFormat="1" applyFont="1" applyFill="1" applyBorder="1" applyAlignment="1">
      <alignment horizontal="center" vertical="center" wrapText="1"/>
    </xf>
    <xf numFmtId="165" fontId="29" fillId="11" borderId="10" xfId="0" applyNumberFormat="1" applyFont="1" applyFill="1" applyBorder="1" applyAlignment="1">
      <alignment horizontal="center" vertical="center" wrapText="1"/>
    </xf>
    <xf numFmtId="0" fontId="29" fillId="11" borderId="10" xfId="0" applyFont="1" applyFill="1" applyBorder="1" applyAlignment="1">
      <alignment horizontal="center" vertical="center" wrapText="1"/>
    </xf>
    <xf numFmtId="164" fontId="29" fillId="11" borderId="10" xfId="0" applyNumberFormat="1" applyFont="1" applyFill="1" applyBorder="1" applyAlignment="1">
      <alignment horizontal="center" vertical="center" wrapText="1"/>
    </xf>
    <xf numFmtId="175" fontId="67" fillId="0" borderId="5" xfId="0" applyNumberFormat="1" applyFont="1" applyBorder="1" applyAlignment="1">
      <alignment horizontal="center" vertical="center"/>
    </xf>
    <xf numFmtId="19" fontId="28" fillId="0" borderId="5" xfId="0" applyNumberFormat="1" applyFont="1" applyBorder="1" applyAlignment="1">
      <alignment horizontal="center" vertical="center"/>
    </xf>
    <xf numFmtId="0" fontId="41" fillId="8" borderId="44" xfId="0" applyFont="1" applyFill="1" applyBorder="1" applyAlignment="1">
      <alignment horizontal="center" vertical="center"/>
    </xf>
    <xf numFmtId="1" fontId="4" fillId="0" borderId="10" xfId="4" applyNumberFormat="1" applyFont="1" applyBorder="1" applyAlignment="1">
      <alignment horizontal="center" vertical="center"/>
    </xf>
    <xf numFmtId="169" fontId="4" fillId="0" borderId="10" xfId="0" applyNumberFormat="1" applyFont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9" fillId="8" borderId="14" xfId="0" applyFont="1" applyFill="1" applyBorder="1" applyAlignment="1">
      <alignment vertical="center"/>
    </xf>
    <xf numFmtId="0" fontId="9" fillId="13" borderId="14" xfId="0" applyFont="1" applyFill="1" applyBorder="1" applyAlignment="1">
      <alignment vertical="center"/>
    </xf>
    <xf numFmtId="0" fontId="0" fillId="13" borderId="0" xfId="0" applyFill="1"/>
    <xf numFmtId="1" fontId="6" fillId="13" borderId="0" xfId="1" applyNumberFormat="1" applyFont="1" applyFill="1" applyBorder="1" applyAlignment="1">
      <alignment horizontal="center" vertical="center"/>
    </xf>
    <xf numFmtId="0" fontId="7" fillId="13" borderId="0" xfId="1" applyFont="1" applyFill="1" applyBorder="1" applyAlignment="1">
      <alignment horizontal="center" vertical="center"/>
    </xf>
    <xf numFmtId="0" fontId="3" fillId="8" borderId="45" xfId="0" applyFont="1" applyFill="1" applyBorder="1" applyAlignment="1">
      <alignment horizontal="center" vertical="center"/>
    </xf>
    <xf numFmtId="0" fontId="3" fillId="8" borderId="46" xfId="0" applyFont="1" applyFill="1" applyBorder="1" applyAlignment="1">
      <alignment horizontal="center" vertical="center"/>
    </xf>
    <xf numFmtId="0" fontId="65" fillId="8" borderId="0" xfId="0" applyFont="1" applyFill="1" applyAlignment="1">
      <alignment horizontal="center"/>
    </xf>
    <xf numFmtId="170" fontId="4" fillId="0" borderId="10" xfId="0" applyNumberFormat="1" applyFont="1" applyBorder="1" applyAlignment="1">
      <alignment horizontal="center" vertical="center"/>
    </xf>
    <xf numFmtId="169" fontId="42" fillId="0" borderId="2" xfId="0" applyNumberFormat="1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5" xfId="0" quotePrefix="1" applyNumberFormat="1" applyBorder="1" applyAlignment="1">
      <alignment horizontal="center" vertical="center"/>
    </xf>
    <xf numFmtId="0" fontId="71" fillId="14" borderId="9" xfId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69" fillId="14" borderId="9" xfId="1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29" fillId="11" borderId="12" xfId="0" applyNumberFormat="1" applyFont="1" applyFill="1" applyBorder="1" applyAlignment="1">
      <alignment horizontal="center" vertical="center" wrapText="1"/>
    </xf>
    <xf numFmtId="0" fontId="18" fillId="11" borderId="0" xfId="0" applyFont="1" applyFill="1"/>
    <xf numFmtId="0" fontId="48" fillId="0" borderId="27" xfId="0" applyFont="1" applyBorder="1" applyAlignment="1">
      <alignment horizontal="center" vertical="center"/>
    </xf>
    <xf numFmtId="1" fontId="72" fillId="10" borderId="3" xfId="3" applyNumberFormat="1" applyFont="1" applyFill="1" applyBorder="1" applyAlignment="1">
      <alignment horizontal="right" vertical="center"/>
    </xf>
    <xf numFmtId="166" fontId="72" fillId="10" borderId="1" xfId="3" quotePrefix="1" applyNumberFormat="1" applyFont="1" applyFill="1" applyBorder="1" applyAlignment="1">
      <alignment horizontal="left" vertical="center" indent="3"/>
    </xf>
    <xf numFmtId="0" fontId="48" fillId="0" borderId="10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74" fillId="10" borderId="2" xfId="2" applyFont="1" applyFill="1" applyBorder="1" applyAlignment="1">
      <alignment horizontal="center" vertical="center"/>
    </xf>
    <xf numFmtId="0" fontId="74" fillId="10" borderId="37" xfId="2" applyFont="1" applyFill="1" applyBorder="1" applyAlignment="1">
      <alignment vertical="center"/>
    </xf>
    <xf numFmtId="0" fontId="73" fillId="0" borderId="0" xfId="0" applyFont="1" applyAlignment="1">
      <alignment horizontal="center" vertical="center"/>
    </xf>
    <xf numFmtId="0" fontId="73" fillId="0" borderId="0" xfId="0" applyFont="1"/>
    <xf numFmtId="0" fontId="74" fillId="10" borderId="15" xfId="2" applyFont="1" applyFill="1" applyAlignment="1">
      <alignment horizontal="center" vertical="center"/>
    </xf>
    <xf numFmtId="0" fontId="74" fillId="10" borderId="19" xfId="2" applyFont="1" applyFill="1" applyBorder="1" applyAlignment="1">
      <alignment horizontal="center" vertical="center"/>
    </xf>
    <xf numFmtId="0" fontId="76" fillId="0" borderId="15" xfId="2" applyFont="1" applyFill="1" applyAlignment="1">
      <alignment horizontal="center" vertical="center"/>
    </xf>
    <xf numFmtId="0" fontId="76" fillId="0" borderId="19" xfId="2" applyFont="1" applyFill="1" applyBorder="1" applyAlignment="1">
      <alignment horizontal="center" vertical="center"/>
    </xf>
    <xf numFmtId="0" fontId="76" fillId="0" borderId="10" xfId="2" applyFont="1" applyFill="1" applyBorder="1" applyAlignment="1">
      <alignment horizontal="center" vertical="center"/>
    </xf>
    <xf numFmtId="0" fontId="75" fillId="0" borderId="0" xfId="2" applyFont="1" applyFill="1" applyBorder="1" applyAlignment="1">
      <alignment vertical="center"/>
    </xf>
    <xf numFmtId="0" fontId="73" fillId="0" borderId="10" xfId="0" applyFont="1" applyBorder="1" applyAlignment="1">
      <alignment horizontal="center" vertical="center"/>
    </xf>
    <xf numFmtId="0" fontId="75" fillId="0" borderId="40" xfId="2" applyFont="1" applyFill="1" applyBorder="1" applyAlignment="1">
      <alignment horizontal="center" vertical="center"/>
    </xf>
    <xf numFmtId="0" fontId="75" fillId="0" borderId="30" xfId="2" applyFont="1" applyFill="1" applyBorder="1" applyAlignment="1">
      <alignment horizontal="center" vertical="center"/>
    </xf>
    <xf numFmtId="0" fontId="75" fillId="0" borderId="39" xfId="2" applyFont="1" applyFill="1" applyBorder="1" applyAlignment="1">
      <alignment horizontal="center" vertical="center"/>
    </xf>
    <xf numFmtId="0" fontId="13" fillId="0" borderId="0" xfId="0" applyFont="1"/>
    <xf numFmtId="0" fontId="77" fillId="0" borderId="10" xfId="0" applyFont="1" applyBorder="1" applyAlignment="1">
      <alignment horizontal="center" vertical="center"/>
    </xf>
    <xf numFmtId="0" fontId="76" fillId="0" borderId="40" xfId="2" applyFont="1" applyFill="1" applyBorder="1" applyAlignment="1">
      <alignment horizontal="center" vertical="center"/>
    </xf>
    <xf numFmtId="0" fontId="76" fillId="0" borderId="30" xfId="2" applyFont="1" applyFill="1" applyBorder="1" applyAlignment="1">
      <alignment horizontal="center" vertical="center"/>
    </xf>
    <xf numFmtId="0" fontId="76" fillId="0" borderId="39" xfId="2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164" fontId="3" fillId="8" borderId="2" xfId="0" applyNumberFormat="1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164" fontId="5" fillId="0" borderId="10" xfId="0" applyNumberFormat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 wrapText="1"/>
    </xf>
    <xf numFmtId="0" fontId="0" fillId="0" borderId="5" xfId="0" applyBorder="1"/>
    <xf numFmtId="0" fontId="21" fillId="4" borderId="28" xfId="0" applyFont="1" applyFill="1" applyBorder="1" applyAlignment="1">
      <alignment horizontal="center" vertical="center"/>
    </xf>
    <xf numFmtId="9" fontId="43" fillId="0" borderId="10" xfId="0" applyNumberFormat="1" applyFont="1" applyBorder="1" applyAlignment="1">
      <alignment horizontal="center" vertical="center"/>
    </xf>
    <xf numFmtId="0" fontId="79" fillId="8" borderId="0" xfId="0" applyFont="1" applyFill="1" applyAlignment="1" applyProtection="1">
      <alignment vertical="center"/>
      <protection hidden="1"/>
    </xf>
    <xf numFmtId="14" fontId="33" fillId="0" borderId="26" xfId="0" applyNumberFormat="1" applyFont="1" applyBorder="1" applyAlignment="1">
      <alignment horizontal="center" vertical="center"/>
    </xf>
    <xf numFmtId="14" fontId="33" fillId="0" borderId="4" xfId="0" applyNumberFormat="1" applyFont="1" applyBorder="1" applyAlignment="1">
      <alignment horizontal="center" vertical="center"/>
    </xf>
    <xf numFmtId="0" fontId="80" fillId="8" borderId="2" xfId="0" applyFont="1" applyFill="1" applyBorder="1" applyAlignment="1">
      <alignment horizontal="center" vertical="center"/>
    </xf>
    <xf numFmtId="0" fontId="56" fillId="0" borderId="10" xfId="0" applyFont="1" applyBorder="1" applyAlignment="1">
      <alignment horizontal="center" vertical="center"/>
    </xf>
    <xf numFmtId="49" fontId="81" fillId="0" borderId="10" xfId="0" applyNumberFormat="1" applyFont="1" applyBorder="1" applyAlignment="1">
      <alignment horizontal="center" vertical="center"/>
    </xf>
    <xf numFmtId="49" fontId="81" fillId="0" borderId="5" xfId="0" applyNumberFormat="1" applyFont="1" applyBorder="1" applyAlignment="1">
      <alignment horizontal="center" vertical="center"/>
    </xf>
    <xf numFmtId="0" fontId="56" fillId="0" borderId="0" xfId="0" applyFont="1"/>
    <xf numFmtId="0" fontId="43" fillId="0" borderId="12" xfId="0" applyFont="1" applyBorder="1" applyAlignment="1">
      <alignment horizontal="center" vertical="center"/>
    </xf>
    <xf numFmtId="0" fontId="3" fillId="8" borderId="34" xfId="0" applyFont="1" applyFill="1" applyBorder="1" applyAlignment="1">
      <alignment horizontal="center" vertical="center"/>
    </xf>
    <xf numFmtId="0" fontId="63" fillId="4" borderId="10" xfId="0" applyFont="1" applyFill="1" applyBorder="1" applyAlignment="1">
      <alignment horizontal="center" vertical="center" wrapText="1"/>
    </xf>
    <xf numFmtId="0" fontId="19" fillId="4" borderId="10" xfId="0" applyFont="1" applyFill="1" applyBorder="1" applyAlignment="1">
      <alignment horizontal="center" vertical="center"/>
    </xf>
    <xf numFmtId="0" fontId="20" fillId="4" borderId="10" xfId="1" applyNumberFormat="1" applyFont="1" applyFill="1" applyBorder="1" applyAlignment="1">
      <alignment horizontal="center" vertical="center"/>
    </xf>
    <xf numFmtId="164" fontId="83" fillId="8" borderId="2" xfId="0" applyNumberFormat="1" applyFont="1" applyFill="1" applyBorder="1" applyAlignment="1">
      <alignment horizontal="center" vertical="center" wrapText="1"/>
    </xf>
    <xf numFmtId="175" fontId="0" fillId="0" borderId="10" xfId="0" applyNumberFormat="1" applyBorder="1" applyAlignment="1">
      <alignment horizontal="center" vertical="center"/>
    </xf>
    <xf numFmtId="1" fontId="84" fillId="0" borderId="10" xfId="0" applyNumberFormat="1" applyFont="1" applyBorder="1" applyAlignment="1">
      <alignment horizontal="center" vertical="center"/>
    </xf>
    <xf numFmtId="168" fontId="84" fillId="0" borderId="10" xfId="0" applyNumberFormat="1" applyFont="1" applyBorder="1" applyAlignment="1">
      <alignment horizontal="center" vertical="center"/>
    </xf>
    <xf numFmtId="164" fontId="84" fillId="0" borderId="10" xfId="0" applyNumberFormat="1" applyFont="1" applyBorder="1" applyAlignment="1">
      <alignment horizontal="center" vertical="center"/>
    </xf>
    <xf numFmtId="1" fontId="85" fillId="0" borderId="10" xfId="0" applyNumberFormat="1" applyFont="1" applyBorder="1" applyAlignment="1">
      <alignment horizontal="center" vertical="center"/>
    </xf>
    <xf numFmtId="1" fontId="86" fillId="0" borderId="28" xfId="1" applyNumberFormat="1" applyFont="1" applyBorder="1" applyAlignment="1">
      <alignment horizontal="center" vertical="center"/>
    </xf>
    <xf numFmtId="0" fontId="87" fillId="5" borderId="10" xfId="0" applyFont="1" applyFill="1" applyBorder="1"/>
    <xf numFmtId="0" fontId="88" fillId="0" borderId="10" xfId="0" applyFont="1" applyBorder="1" applyAlignment="1">
      <alignment horizontal="center" vertical="center"/>
    </xf>
    <xf numFmtId="0" fontId="47" fillId="12" borderId="10" xfId="0" applyFont="1" applyFill="1" applyBorder="1" applyAlignment="1">
      <alignment horizontal="center" vertical="center"/>
    </xf>
    <xf numFmtId="0" fontId="74" fillId="10" borderId="10" xfId="2" applyFont="1" applyFill="1" applyBorder="1" applyAlignment="1">
      <alignment horizontal="center" vertical="center"/>
    </xf>
    <xf numFmtId="0" fontId="74" fillId="10" borderId="29" xfId="2" applyFont="1" applyFill="1" applyBorder="1" applyAlignment="1">
      <alignment horizontal="center" vertical="center"/>
    </xf>
    <xf numFmtId="0" fontId="82" fillId="0" borderId="37" xfId="0" applyFont="1" applyBorder="1" applyAlignment="1">
      <alignment horizontal="left" vertical="top" indent="14"/>
    </xf>
    <xf numFmtId="0" fontId="74" fillId="10" borderId="10" xfId="2" applyFont="1" applyFill="1" applyBorder="1" applyAlignment="1">
      <alignment horizontal="center" vertical="center"/>
    </xf>
    <xf numFmtId="0" fontId="36" fillId="0" borderId="23" xfId="2" applyFont="1" applyFill="1" applyBorder="1" applyAlignment="1">
      <alignment horizontal="center" vertical="center"/>
    </xf>
    <xf numFmtId="0" fontId="36" fillId="0" borderId="24" xfId="2" applyFont="1" applyFill="1" applyBorder="1" applyAlignment="1">
      <alignment horizontal="center" vertical="center"/>
    </xf>
    <xf numFmtId="0" fontId="36" fillId="0" borderId="25" xfId="2" applyFont="1" applyFill="1" applyBorder="1" applyAlignment="1">
      <alignment horizontal="center" vertical="center"/>
    </xf>
    <xf numFmtId="0" fontId="36" fillId="0" borderId="20" xfId="2" applyFont="1" applyFill="1" applyBorder="1" applyAlignment="1">
      <alignment horizontal="center" vertical="center"/>
    </xf>
    <xf numFmtId="0" fontId="36" fillId="0" borderId="21" xfId="2" applyFont="1" applyFill="1" applyBorder="1" applyAlignment="1">
      <alignment horizontal="center" vertical="center"/>
    </xf>
    <xf numFmtId="0" fontId="36" fillId="0" borderId="22" xfId="2" applyFont="1" applyFill="1" applyBorder="1" applyAlignment="1">
      <alignment horizontal="center" vertical="center"/>
    </xf>
    <xf numFmtId="0" fontId="74" fillId="10" borderId="29" xfId="2" applyFont="1" applyFill="1" applyBorder="1" applyAlignment="1">
      <alignment horizontal="center" vertical="center"/>
    </xf>
    <xf numFmtId="0" fontId="74" fillId="10" borderId="26" xfId="2" applyFont="1" applyFill="1" applyBorder="1" applyAlignment="1">
      <alignment horizontal="center" vertical="center"/>
    </xf>
    <xf numFmtId="49" fontId="72" fillId="10" borderId="12" xfId="3" applyNumberFormat="1" applyFont="1" applyFill="1" applyBorder="1" applyAlignment="1">
      <alignment horizontal="center" vertical="center"/>
    </xf>
    <xf numFmtId="49" fontId="72" fillId="10" borderId="27" xfId="3" applyNumberFormat="1" applyFont="1" applyFill="1" applyBorder="1" applyAlignment="1">
      <alignment horizontal="center" vertical="center"/>
    </xf>
    <xf numFmtId="0" fontId="48" fillId="0" borderId="12" xfId="0" applyFont="1" applyBorder="1" applyAlignment="1">
      <alignment horizontal="center" vertical="center"/>
    </xf>
    <xf numFmtId="0" fontId="78" fillId="0" borderId="23" xfId="2" applyFont="1" applyFill="1" applyBorder="1" applyAlignment="1">
      <alignment horizontal="center" vertical="center"/>
    </xf>
    <xf numFmtId="0" fontId="78" fillId="0" borderId="24" xfId="2" applyFont="1" applyFill="1" applyBorder="1" applyAlignment="1">
      <alignment horizontal="center" vertical="center"/>
    </xf>
    <xf numFmtId="0" fontId="78" fillId="0" borderId="25" xfId="2" applyFont="1" applyFill="1" applyBorder="1" applyAlignment="1">
      <alignment horizontal="center" vertical="center"/>
    </xf>
    <xf numFmtId="0" fontId="78" fillId="0" borderId="20" xfId="2" applyFont="1" applyFill="1" applyBorder="1" applyAlignment="1">
      <alignment horizontal="center" vertical="center"/>
    </xf>
    <xf numFmtId="0" fontId="78" fillId="0" borderId="21" xfId="2" applyFont="1" applyFill="1" applyBorder="1" applyAlignment="1">
      <alignment horizontal="center" vertical="center"/>
    </xf>
    <xf numFmtId="0" fontId="78" fillId="0" borderId="22" xfId="2" applyFont="1" applyFill="1" applyBorder="1" applyAlignment="1">
      <alignment horizontal="center" vertical="center"/>
    </xf>
    <xf numFmtId="0" fontId="48" fillId="0" borderId="28" xfId="0" applyFont="1" applyBorder="1" applyAlignment="1">
      <alignment horizontal="center" vertical="center"/>
    </xf>
    <xf numFmtId="0" fontId="48" fillId="0" borderId="29" xfId="0" applyFont="1" applyBorder="1" applyAlignment="1">
      <alignment horizontal="center" vertical="center"/>
    </xf>
    <xf numFmtId="0" fontId="74" fillId="10" borderId="28" xfId="2" applyFont="1" applyFill="1" applyBorder="1" applyAlignment="1">
      <alignment horizontal="center" vertical="center"/>
    </xf>
    <xf numFmtId="0" fontId="73" fillId="0" borderId="29" xfId="0" applyFont="1" applyBorder="1" applyAlignment="1">
      <alignment horizontal="center" vertical="center"/>
    </xf>
    <xf numFmtId="0" fontId="73" fillId="0" borderId="26" xfId="0" applyFont="1" applyBorder="1" applyAlignment="1">
      <alignment horizontal="center" vertical="center"/>
    </xf>
    <xf numFmtId="0" fontId="56" fillId="12" borderId="28" xfId="0" applyFont="1" applyFill="1" applyBorder="1" applyAlignment="1">
      <alignment horizontal="center" vertical="center"/>
    </xf>
    <xf numFmtId="0" fontId="56" fillId="12" borderId="29" xfId="0" applyFont="1" applyFill="1" applyBorder="1" applyAlignment="1">
      <alignment horizontal="center" vertical="center"/>
    </xf>
    <xf numFmtId="0" fontId="56" fillId="12" borderId="26" xfId="0" applyFont="1" applyFill="1" applyBorder="1" applyAlignment="1">
      <alignment horizontal="center" vertical="center"/>
    </xf>
    <xf numFmtId="0" fontId="60" fillId="0" borderId="1" xfId="0" applyFont="1" applyBorder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60" fillId="0" borderId="3" xfId="0" applyFont="1" applyBorder="1" applyAlignment="1">
      <alignment horizontal="center" vertical="center"/>
    </xf>
    <xf numFmtId="0" fontId="57" fillId="12" borderId="28" xfId="0" applyFont="1" applyFill="1" applyBorder="1" applyAlignment="1">
      <alignment horizontal="center" vertical="center"/>
    </xf>
    <xf numFmtId="0" fontId="57" fillId="12" borderId="26" xfId="0" applyFont="1" applyFill="1" applyBorder="1" applyAlignment="1">
      <alignment horizontal="center" vertical="center"/>
    </xf>
    <xf numFmtId="0" fontId="61" fillId="0" borderId="37" xfId="0" applyFont="1" applyBorder="1" applyAlignment="1">
      <alignment horizontal="left"/>
    </xf>
    <xf numFmtId="49" fontId="26" fillId="12" borderId="12" xfId="3" applyNumberFormat="1" applyFont="1" applyFill="1" applyBorder="1" applyAlignment="1">
      <alignment horizontal="center" vertical="center"/>
    </xf>
    <xf numFmtId="0" fontId="26" fillId="12" borderId="27" xfId="3" applyNumberFormat="1" applyFont="1" applyFill="1" applyBorder="1" applyAlignment="1">
      <alignment horizontal="center" vertical="center"/>
    </xf>
    <xf numFmtId="0" fontId="47" fillId="12" borderId="28" xfId="0" applyFont="1" applyFill="1" applyBorder="1" applyAlignment="1">
      <alignment horizontal="center" vertical="center"/>
    </xf>
    <xf numFmtId="0" fontId="47" fillId="12" borderId="29" xfId="0" applyFont="1" applyFill="1" applyBorder="1" applyAlignment="1">
      <alignment horizontal="center" vertical="center"/>
    </xf>
    <xf numFmtId="0" fontId="25" fillId="12" borderId="28" xfId="2" applyFont="1" applyFill="1" applyBorder="1" applyAlignment="1">
      <alignment horizontal="center" vertical="center"/>
    </xf>
    <xf numFmtId="0" fontId="25" fillId="12" borderId="26" xfId="2" applyFont="1" applyFill="1" applyBorder="1" applyAlignment="1">
      <alignment horizontal="center" vertical="center"/>
    </xf>
    <xf numFmtId="0" fontId="47" fillId="12" borderId="10" xfId="0" applyFont="1" applyFill="1" applyBorder="1" applyAlignment="1">
      <alignment horizontal="center" vertical="center"/>
    </xf>
    <xf numFmtId="0" fontId="48" fillId="12" borderId="42" xfId="0" applyFont="1" applyFill="1" applyBorder="1" applyAlignment="1">
      <alignment horizontal="center" vertical="center"/>
    </xf>
    <xf numFmtId="0" fontId="48" fillId="12" borderId="43" xfId="0" applyFont="1" applyFill="1" applyBorder="1" applyAlignment="1">
      <alignment horizontal="center" vertical="center"/>
    </xf>
    <xf numFmtId="0" fontId="58" fillId="12" borderId="28" xfId="0" applyFont="1" applyFill="1" applyBorder="1" applyAlignment="1">
      <alignment horizontal="center" vertical="center"/>
    </xf>
    <xf numFmtId="0" fontId="58" fillId="12" borderId="2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70" fillId="0" borderId="11" xfId="0" applyFont="1" applyBorder="1" applyAlignment="1">
      <alignment horizontal="center" wrapText="1"/>
    </xf>
    <xf numFmtId="0" fontId="70" fillId="0" borderId="35" xfId="0" applyFont="1" applyBorder="1" applyAlignment="1">
      <alignment horizontal="center" wrapText="1"/>
    </xf>
    <xf numFmtId="0" fontId="70" fillId="0" borderId="44" xfId="0" applyFont="1" applyBorder="1" applyAlignment="1">
      <alignment horizontal="center" wrapText="1"/>
    </xf>
    <xf numFmtId="0" fontId="55" fillId="0" borderId="0" xfId="0" applyFont="1" applyAlignment="1">
      <alignment horizontal="center" vertical="center"/>
    </xf>
    <xf numFmtId="0" fontId="65" fillId="8" borderId="0" xfId="0" applyFont="1" applyFill="1" applyAlignment="1">
      <alignment horizontal="center" vertical="center"/>
    </xf>
    <xf numFmtId="0" fontId="66" fillId="8" borderId="0" xfId="0" applyFont="1" applyFill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56" fillId="0" borderId="2" xfId="0" applyFont="1" applyBorder="1" applyAlignment="1">
      <alignment horizontal="center" vertical="center"/>
    </xf>
    <xf numFmtId="0" fontId="56" fillId="0" borderId="3" xfId="0" applyFont="1" applyBorder="1" applyAlignment="1">
      <alignment horizontal="center" vertical="center"/>
    </xf>
    <xf numFmtId="0" fontId="57" fillId="12" borderId="6" xfId="0" applyFont="1" applyFill="1" applyBorder="1" applyAlignment="1">
      <alignment horizontal="center" vertical="center"/>
    </xf>
    <xf numFmtId="0" fontId="57" fillId="12" borderId="4" xfId="0" applyFont="1" applyFill="1" applyBorder="1" applyAlignment="1">
      <alignment horizontal="center" vertical="center"/>
    </xf>
    <xf numFmtId="0" fontId="58" fillId="12" borderId="3" xfId="0" applyFont="1" applyFill="1" applyBorder="1" applyAlignment="1">
      <alignment horizontal="center" vertical="center"/>
    </xf>
    <xf numFmtId="0" fontId="58" fillId="12" borderId="1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68" fillId="8" borderId="14" xfId="0" applyFont="1" applyFill="1" applyBorder="1" applyAlignment="1">
      <alignment horizontal="center" vertical="center"/>
    </xf>
    <xf numFmtId="0" fontId="17" fillId="8" borderId="0" xfId="0" applyFont="1" applyFill="1" applyAlignment="1" applyProtection="1">
      <alignment horizontal="center" vertical="center"/>
      <protection hidden="1"/>
    </xf>
    <xf numFmtId="0" fontId="31" fillId="8" borderId="0" xfId="0" applyFont="1" applyFill="1" applyAlignment="1">
      <alignment horizontal="center" vertical="center"/>
    </xf>
    <xf numFmtId="0" fontId="30" fillId="8" borderId="27" xfId="0" applyFont="1" applyFill="1" applyBorder="1" applyAlignment="1">
      <alignment horizontal="center" vertical="center"/>
    </xf>
    <xf numFmtId="0" fontId="30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8" fillId="8" borderId="0" xfId="0" applyFont="1" applyFill="1" applyAlignment="1">
      <alignment horizontal="center" vertical="center"/>
    </xf>
    <xf numFmtId="0" fontId="37" fillId="8" borderId="10" xfId="0" applyFont="1" applyFill="1" applyBorder="1" applyAlignment="1">
      <alignment horizontal="center"/>
    </xf>
  </cellXfs>
  <cellStyles count="6">
    <cellStyle name="Check Cell" xfId="3" builtinId="23"/>
    <cellStyle name="Comma" xfId="5" builtinId="3"/>
    <cellStyle name="Hyperlink" xfId="1" builtinId="8"/>
    <cellStyle name="Normal" xfId="0" builtinId="0"/>
    <cellStyle name="Output" xfId="2" builtinId="21"/>
    <cellStyle name="Percent" xfId="4" builtinId="5"/>
  </cellStyles>
  <dxfs count="129">
    <dxf>
      <font>
        <b/>
        <strike val="0"/>
        <outline val="0"/>
        <shadow val="0"/>
        <u val="none"/>
        <vertAlign val="baseline"/>
        <sz val="11"/>
        <color theme="1"/>
        <name val="Poppins Light"/>
        <scheme val="none"/>
      </font>
      <numFmt numFmtId="172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Poppins Light"/>
        <scheme val="none"/>
      </font>
      <numFmt numFmtId="24" formatCode="h:mm:ss\ AM/P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Poppins Light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 Light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Poppins Light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Poppins Light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Poppins"/>
        <scheme val="none"/>
      </font>
      <fill>
        <patternFill patternType="solid">
          <fgColor indexed="64"/>
          <bgColor theme="5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Poppins Light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Poppins Light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Poppins Light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 Light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Poppins Light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Poppins Light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Poppins"/>
        <scheme val="none"/>
      </font>
      <fill>
        <patternFill patternType="solid">
          <fgColor indexed="64"/>
          <bgColor theme="5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rtifakt Element Book"/>
        <family val="2"/>
        <charset val="204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Artifakt Element Book"/>
        <family val="2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164" formatCode="#,##0.00\ &quot;₼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164" formatCode="#,##0.00\ &quot;₼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164" formatCode="#,##0.00\ &quot;₼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164" formatCode="#,##0.00\ &quot;₼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164" formatCode="#,##0.00\ &quot;₼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6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16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Aptos Narrow"/>
        <family val="2"/>
        <charset val="186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Artifakt Element Book"/>
        <family val="2"/>
        <charset val="204"/>
        <scheme val="none"/>
      </font>
      <fill>
        <patternFill patternType="solid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169" formatCode="##0.0\ &quot;₼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169" formatCode="##0.0\ &quot;₼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BFC9B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tifakt Element Book"/>
        <family val="2"/>
        <charset val="204"/>
        <scheme val="none"/>
      </font>
      <numFmt numFmtId="164" formatCode="#,##0.00\ &quot;₼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164" formatCode="#,##0.00\ &quot;₼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164" formatCode="#,##0.00\ &quot;₼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tifakt Element Book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Artifakt Element Book"/>
        <family val="2"/>
        <charset val="204"/>
        <scheme val="none"/>
      </font>
      <fill>
        <patternFill patternType="solid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charset val="204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/>
        <name val="Segoe UI"/>
        <family val="2"/>
        <charset val="204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"/>
        <color theme="1"/>
        <name val="Segoe UI"/>
        <family val="2"/>
        <charset val="204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"/>
        <color theme="1"/>
        <name val="Segoe UI"/>
        <family val="2"/>
        <charset val="204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theme="1"/>
        <name val="Segoe UI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5" formatCode="#,##0\ [$₼-42C]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#,##0\ [$₼-42C]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#,##0\ [$₼-42C]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rgb="FFFF0000"/>
        <name val="Aptos Narrow"/>
        <family val="2"/>
        <charset val="186"/>
        <scheme val="minor"/>
      </font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\ &quot;əd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4" formatCode="0\ &quot;m²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1" formatCode="0\ &quot;əd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\ &quot;əd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1" formatCode="0\ &quot;əd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#,##0\ [$₼-42C]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6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#000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5" tint="0.79998168889431442"/>
        <name val="Aptos Narrow"/>
        <family val="2"/>
        <scheme val="minor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2" tint="-0.89996032593768116"/>
      </font>
      <fill>
        <patternFill>
          <bgColor rgb="FFFFC000"/>
        </patternFill>
      </fill>
    </dxf>
    <dxf>
      <font>
        <color theme="0" tint="-4.9989318521683403E-2"/>
      </font>
      <fill>
        <patternFill>
          <bgColor theme="9" tint="0.39994506668294322"/>
        </patternFill>
      </fill>
    </dxf>
    <dxf>
      <font>
        <color theme="1" tint="4.9989318521683403E-2"/>
      </font>
      <fill>
        <patternFill>
          <bgColor theme="5" tint="-0.24994659260841701"/>
        </patternFill>
      </fill>
    </dxf>
    <dxf>
      <font>
        <color theme="1" tint="4.9989318521683403E-2"/>
      </font>
      <fill>
        <patternFill>
          <bgColor rgb="FFFFFF00"/>
        </patternFill>
      </fill>
    </dxf>
    <dxf>
      <numFmt numFmtId="167" formatCode="#,##0\ &quot;₼&quot;"/>
    </dxf>
    <dxf>
      <numFmt numFmtId="167" formatCode="#,##0\ &quot;₼&quot;"/>
    </dxf>
    <dxf>
      <numFmt numFmtId="167" formatCode="#,##0\ &quot;₼&quot;"/>
    </dxf>
  </dxfs>
  <tableStyles count="0" defaultTableStyle="TableStyleMedium2" defaultPivotStyle="PivotStyleLight16"/>
  <colors>
    <mruColors>
      <color rgb="FFBFC9BF"/>
      <color rgb="FF9C1C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[AlumPro.xlsm]pvt_melumatlar!PivotTable1</c:name>
    <c:fmtId val="7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z-Latn-AZ"/>
              <a:t>Tarixə görə satış</a:t>
            </a:r>
            <a:endParaRPr lang="en-US"/>
          </a:p>
        </c:rich>
      </c:tx>
      <c:layout>
        <c:manualLayout>
          <c:xMode val="edge"/>
          <c:yMode val="edge"/>
          <c:x val="0.3825277777777778"/>
          <c:y val="5.9164479440069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gradFill>
              <a:gsLst>
                <a:gs pos="48000">
                  <a:schemeClr val="accent3">
                    <a:lumMod val="50000"/>
                  </a:schemeClr>
                </a:gs>
                <a:gs pos="79000">
                  <a:schemeClr val="accent1">
                    <a:lumMod val="45000"/>
                    <a:lumOff val="55000"/>
                    <a:alpha val="52000"/>
                  </a:schemeClr>
                </a:gs>
                <a:gs pos="9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1800000" scaled="0"/>
            </a:gra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gradFill>
              <a:gsLst>
                <a:gs pos="48000">
                  <a:schemeClr val="accent3">
                    <a:lumMod val="50000"/>
                  </a:schemeClr>
                </a:gs>
                <a:gs pos="79000">
                  <a:schemeClr val="accent1">
                    <a:lumMod val="45000"/>
                    <a:lumOff val="55000"/>
                    <a:alpha val="52000"/>
                  </a:schemeClr>
                </a:gs>
                <a:gs pos="9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1800000" scaled="0"/>
            </a:gradFill>
            <a:round/>
          </a:ln>
          <a:effectLst/>
        </c:spPr>
        <c:marker>
          <c:symbol val="none"/>
        </c:marker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olidFill>
            <a:schemeClr val="accent1"/>
          </a:solidFill>
          <a:ln w="28575" cap="rnd">
            <a:gradFill>
              <a:gsLst>
                <a:gs pos="48000">
                  <a:schemeClr val="accent3">
                    <a:lumMod val="50000"/>
                  </a:schemeClr>
                </a:gs>
                <a:gs pos="79000">
                  <a:schemeClr val="accent1">
                    <a:lumMod val="45000"/>
                    <a:lumOff val="55000"/>
                    <a:alpha val="52000"/>
                  </a:schemeClr>
                </a:gs>
                <a:gs pos="9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1800000" scaled="0"/>
            </a:gra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gradFill>
              <a:gsLst>
                <a:gs pos="48000">
                  <a:schemeClr val="accent3">
                    <a:lumMod val="50000"/>
                  </a:schemeClr>
                </a:gs>
                <a:gs pos="79000">
                  <a:schemeClr val="accent1">
                    <a:lumMod val="45000"/>
                    <a:lumOff val="55000"/>
                    <a:alpha val="52000"/>
                  </a:schemeClr>
                </a:gs>
                <a:gs pos="9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1800000" scaled="0"/>
            </a:gra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gradFill>
              <a:gsLst>
                <a:gs pos="48000">
                  <a:schemeClr val="accent3">
                    <a:lumMod val="50000"/>
                  </a:schemeClr>
                </a:gs>
                <a:gs pos="79000">
                  <a:schemeClr val="accent1">
                    <a:lumMod val="45000"/>
                    <a:lumOff val="55000"/>
                    <a:alpha val="52000"/>
                  </a:schemeClr>
                </a:gs>
                <a:gs pos="9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1800000" scaled="0"/>
            </a:gra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gradFill>
              <a:gsLst>
                <a:gs pos="48000">
                  <a:schemeClr val="accent3">
                    <a:lumMod val="50000"/>
                  </a:schemeClr>
                </a:gs>
                <a:gs pos="79000">
                  <a:schemeClr val="accent1">
                    <a:lumMod val="45000"/>
                    <a:lumOff val="55000"/>
                    <a:alpha val="52000"/>
                  </a:schemeClr>
                </a:gs>
                <a:gs pos="9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1800000" scaled="0"/>
            </a:gra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gradFill>
              <a:gsLst>
                <a:gs pos="48000">
                  <a:schemeClr val="accent3">
                    <a:lumMod val="50000"/>
                  </a:schemeClr>
                </a:gs>
                <a:gs pos="79000">
                  <a:schemeClr val="accent1">
                    <a:lumMod val="45000"/>
                    <a:lumOff val="55000"/>
                    <a:alpha val="52000"/>
                  </a:schemeClr>
                </a:gs>
                <a:gs pos="9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1800000" scaled="0"/>
            </a:gradFill>
            <a:round/>
          </a:ln>
          <a:effectLst/>
        </c:spPr>
        <c:marker>
          <c:symbol val="none"/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9167454204388487E-2"/>
          <c:y val="0.21760699334070843"/>
          <c:w val="0.91798727434979688"/>
          <c:h val="0.55819570074401859"/>
        </c:manualLayout>
      </c:layout>
      <c:lineChart>
        <c:grouping val="standard"/>
        <c:varyColors val="1"/>
        <c:ser>
          <c:idx val="0"/>
          <c:order val="0"/>
          <c:tx>
            <c:strRef>
              <c:f>pvt_melumatlar!$C$17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E5E-40BE-A353-93A1AFCCB821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E5E-40BE-A353-93A1AFCCB821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chemeClr val="accent3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E5E-40BE-A353-93A1AFCCB821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E5E-40BE-A353-93A1AFCCB821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E5E-40BE-A353-93A1AFCCB8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z-Latn-AZ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pvt_melumatlar!$B$18:$B$23</c:f>
              <c:strCache>
                <c:ptCount val="5"/>
                <c:pt idx="0">
                  <c:v>07,12,2024</c:v>
                </c:pt>
                <c:pt idx="1">
                  <c:v>18,12,2024</c:v>
                </c:pt>
                <c:pt idx="2">
                  <c:v>23,12,2024</c:v>
                </c:pt>
                <c:pt idx="3">
                  <c:v>28,12,2024</c:v>
                </c:pt>
                <c:pt idx="4">
                  <c:v>(blank)</c:v>
                </c:pt>
              </c:strCache>
            </c:strRef>
          </c:cat>
          <c:val>
            <c:numRef>
              <c:f>pvt_melumatlar!$C$18:$C$23</c:f>
              <c:numCache>
                <c:formatCode>General</c:formatCode>
                <c:ptCount val="5"/>
                <c:pt idx="0">
                  <c:v>7547</c:v>
                </c:pt>
                <c:pt idx="1">
                  <c:v>6009</c:v>
                </c:pt>
                <c:pt idx="2">
                  <c:v>29791.5</c:v>
                </c:pt>
                <c:pt idx="3">
                  <c:v>54209</c:v>
                </c:pt>
                <c:pt idx="4">
                  <c:v>7531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D8B-410E-A99A-63D275600C2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583958608"/>
        <c:axId val="1583960528"/>
      </c:lineChart>
      <c:catAx>
        <c:axId val="158395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z-Latn-AZ"/>
          </a:p>
        </c:txPr>
        <c:crossAx val="1583960528"/>
        <c:crosses val="autoZero"/>
        <c:auto val="1"/>
        <c:lblAlgn val="ctr"/>
        <c:lblOffset val="100"/>
        <c:noMultiLvlLbl val="0"/>
      </c:catAx>
      <c:valAx>
        <c:axId val="1583960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z-Latn-AZ"/>
          </a:p>
        </c:txPr>
        <c:crossAx val="158395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z-Latn-AZ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[AlumPro.xlsm]pvt_melumatlar!PivotTable2</c:name>
    <c:fmtId val="7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z-Latn-AZ"/>
              <a:t>Ən çox sifariş</a:t>
            </a:r>
            <a:r>
              <a:rPr lang="az-Latn-AZ" baseline="0"/>
              <a:t> verən 5 müştəri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\ &quot;₼&quot;" sourceLinked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  <a:alpha val="89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\ &quot;₼&quot;" sourceLinked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  <a:alpha val="89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\ &quot;₼&quot;" sourceLinked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  <a:alpha val="89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pvt_melumatlar!$M$16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A8-4EB0-A71C-4AB21A01379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A8-4EB0-A71C-4AB21A01379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A8-4EB0-A71C-4AB21A01379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FA8-4EB0-A71C-4AB21A01379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FA8-4EB0-A71C-4AB21A0137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z-Latn-AZ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pvt_melumatlar!$L$17:$L$22</c:f>
              <c:strCache>
                <c:ptCount val="5"/>
                <c:pt idx="0">
                  <c:v>(blank)</c:v>
                </c:pt>
                <c:pt idx="1">
                  <c:v>Fariz Faiq</c:v>
                </c:pt>
                <c:pt idx="2">
                  <c:v>Lux Concept</c:v>
                </c:pt>
                <c:pt idx="3">
                  <c:v>My Concept</c:v>
                </c:pt>
                <c:pt idx="4">
                  <c:v>Behman Elit Mebel</c:v>
                </c:pt>
              </c:strCache>
            </c:strRef>
          </c:cat>
          <c:val>
            <c:numRef>
              <c:f>pvt_melumatlar!$M$17:$M$22</c:f>
              <c:numCache>
                <c:formatCode>General</c:formatCode>
                <c:ptCount val="5"/>
                <c:pt idx="0">
                  <c:v>7531</c:v>
                </c:pt>
                <c:pt idx="1">
                  <c:v>9799</c:v>
                </c:pt>
                <c:pt idx="2">
                  <c:v>11138</c:v>
                </c:pt>
                <c:pt idx="3">
                  <c:v>15047</c:v>
                </c:pt>
                <c:pt idx="4">
                  <c:v>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880-406B-A007-35C111D08F6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z-Latn-AZ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z-Latn-AZ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[AlumPro.xlsm]pvt_melumatlar!PivotTable3</c:name>
    <c:fmtId val="8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z-Latn-AZ"/>
              <a:t>Ən çox borcu olan 5 müştəri</a:t>
            </a:r>
            <a:endParaRPr lang="en-US"/>
          </a:p>
        </c:rich>
      </c:tx>
      <c:layout>
        <c:manualLayout>
          <c:xMode val="edge"/>
          <c:yMode val="edge"/>
          <c:x val="0.24980731739241258"/>
          <c:y val="0.14877521818688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3">
                  <a:lumMod val="50000"/>
                </a:schemeClr>
              </a:gs>
              <a:gs pos="84000">
                <a:srgbClr val="9C1CFC">
                  <a:alpha val="51765"/>
                </a:srgbClr>
              </a:gs>
              <a:gs pos="94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36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pvt_melumatlar!$U$16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3">
                    <a:lumMod val="50000"/>
                  </a:schemeClr>
                </a:gs>
                <a:gs pos="84000">
                  <a:srgbClr val="9C1CFC">
                    <a:alpha val="51765"/>
                  </a:srgbClr>
                </a:gs>
                <a:gs pos="94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3600000" scaled="0"/>
            </a:gradFill>
            <a:ln>
              <a:noFill/>
            </a:ln>
            <a:effectLst/>
          </c:spPr>
          <c:invertIfNegative val="0"/>
          <c:dPt>
            <c:idx val="3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580B-4007-8FA2-8D7468C6DF3F}"/>
              </c:ext>
            </c:extLst>
          </c:dPt>
          <c:cat>
            <c:strRef>
              <c:f>pvt_melumatlar!$T$17:$T$22</c:f>
              <c:strCache>
                <c:ptCount val="5"/>
                <c:pt idx="0">
                  <c:v>Lux Concept</c:v>
                </c:pt>
                <c:pt idx="1">
                  <c:v>My Concept</c:v>
                </c:pt>
                <c:pt idx="2">
                  <c:v>Kamran kaya desıgn</c:v>
                </c:pt>
                <c:pt idx="3">
                  <c:v>Gulnare White Corner</c:v>
                </c:pt>
                <c:pt idx="4">
                  <c:v>Behman Elit Mebel</c:v>
                </c:pt>
              </c:strCache>
            </c:strRef>
          </c:cat>
          <c:val>
            <c:numRef>
              <c:f>pvt_melumatlar!$U$17:$U$22</c:f>
              <c:numCache>
                <c:formatCode>General</c:formatCode>
                <c:ptCount val="5"/>
                <c:pt idx="0">
                  <c:v>7970</c:v>
                </c:pt>
                <c:pt idx="1">
                  <c:v>13047</c:v>
                </c:pt>
                <c:pt idx="2">
                  <c:v>5929</c:v>
                </c:pt>
                <c:pt idx="3">
                  <c:v>6359</c:v>
                </c:pt>
                <c:pt idx="4">
                  <c:v>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B-4007-8FA2-8D7468C6D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62051151"/>
        <c:axId val="1762053551"/>
      </c:barChart>
      <c:catAx>
        <c:axId val="1762051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z-Latn-AZ"/>
          </a:p>
        </c:txPr>
        <c:crossAx val="1762053551"/>
        <c:crosses val="autoZero"/>
        <c:auto val="1"/>
        <c:lblAlgn val="ctr"/>
        <c:lblOffset val="100"/>
        <c:noMultiLvlLbl val="0"/>
      </c:catAx>
      <c:valAx>
        <c:axId val="1762053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z-Latn-AZ"/>
          </a:p>
        </c:txPr>
        <c:crossAx val="1762051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z-Latn-AZ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z-Latn-AZ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[AlumPro.xlsm]pvt_melumatlar!PivotTable1</c:name>
    <c:fmtId val="7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z-Latn-AZ"/>
              <a:t>Tarixə</a:t>
            </a:r>
            <a:r>
              <a:rPr lang="az-Latn-AZ" baseline="0"/>
              <a:t> görə satış</a:t>
            </a:r>
            <a:endParaRPr lang="en-US"/>
          </a:p>
        </c:rich>
      </c:tx>
      <c:layout>
        <c:manualLayout>
          <c:xMode val="edge"/>
          <c:yMode val="edge"/>
          <c:x val="0.3825277777777778"/>
          <c:y val="5.9164479440069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pvt_melumatlar!$C$17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z-Latn-AZ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pvt_melumatlar!$B$18:$B$23</c:f>
              <c:strCache>
                <c:ptCount val="5"/>
                <c:pt idx="0">
                  <c:v>07,12,2024</c:v>
                </c:pt>
                <c:pt idx="1">
                  <c:v>18,12,2024</c:v>
                </c:pt>
                <c:pt idx="2">
                  <c:v>23,12,2024</c:v>
                </c:pt>
                <c:pt idx="3">
                  <c:v>28,12,2024</c:v>
                </c:pt>
                <c:pt idx="4">
                  <c:v>(blank)</c:v>
                </c:pt>
              </c:strCache>
            </c:strRef>
          </c:cat>
          <c:val>
            <c:numRef>
              <c:f>pvt_melumatlar!$C$18:$C$23</c:f>
              <c:numCache>
                <c:formatCode>General</c:formatCode>
                <c:ptCount val="5"/>
                <c:pt idx="0">
                  <c:v>7547</c:v>
                </c:pt>
                <c:pt idx="1">
                  <c:v>6009</c:v>
                </c:pt>
                <c:pt idx="2">
                  <c:v>29791.5</c:v>
                </c:pt>
                <c:pt idx="3">
                  <c:v>54209</c:v>
                </c:pt>
                <c:pt idx="4">
                  <c:v>7531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55-444B-BCAF-71A03E81EA6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583958608"/>
        <c:axId val="1583960528"/>
      </c:lineChart>
      <c:catAx>
        <c:axId val="158395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z-Latn-AZ"/>
          </a:p>
        </c:txPr>
        <c:crossAx val="1583960528"/>
        <c:crosses val="autoZero"/>
        <c:auto val="1"/>
        <c:lblAlgn val="ctr"/>
        <c:lblOffset val="100"/>
        <c:noMultiLvlLbl val="0"/>
      </c:catAx>
      <c:valAx>
        <c:axId val="158396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z-Latn-AZ"/>
          </a:p>
        </c:txPr>
        <c:crossAx val="1583958608"/>
        <c:crosses val="autoZero"/>
        <c:crossBetween val="between"/>
      </c:valAx>
      <c:spPr>
        <a:noFill/>
        <a:ln>
          <a:solidFill>
            <a:schemeClr val="accent3">
              <a:lumMod val="50000"/>
            </a:schemeClr>
          </a:solidFill>
          <a:prstDash val="lgDash"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z-Latn-AZ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[AlumPro.xlsm]pvt_melumatlar!PivotTable2</c:name>
    <c:fmtId val="7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z-Latn-AZ"/>
              <a:t>Ən çox sifariş</a:t>
            </a:r>
            <a:r>
              <a:rPr lang="az-Latn-AZ" baseline="0"/>
              <a:t> verən 5 müştəri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\ &quot;₼&quot;" sourceLinked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  <a:alpha val="89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accent2">
                        <a:lumMod val="20000"/>
                        <a:lumOff val="80000"/>
                      </a:schemeClr>
                    </a:solidFill>
                  </a:ln>
                  <a:solidFill>
                    <a:schemeClr val="tx1">
                      <a:lumMod val="95000"/>
                      <a:lumOff val="5000"/>
                      <a:alpha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z-Latn-AZ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pvt_melumatlar!$M$16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1C-4CE2-964D-2EA2FAB9101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1C-4CE2-964D-2EA2FAB9101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D1C-4CE2-964D-2EA2FAB9101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D1C-4CE2-964D-2EA2FAB9101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D1C-4CE2-964D-2EA2FAB910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accent2">
                          <a:lumMod val="20000"/>
                          <a:lumOff val="80000"/>
                        </a:schemeClr>
                      </a:solidFill>
                    </a:ln>
                    <a:solidFill>
                      <a:schemeClr val="tx1">
                        <a:lumMod val="95000"/>
                        <a:lumOff val="5000"/>
                        <a:alpha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z-Latn-AZ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pvt_melumatlar!$L$17:$L$22</c:f>
              <c:strCache>
                <c:ptCount val="5"/>
                <c:pt idx="0">
                  <c:v>(blank)</c:v>
                </c:pt>
                <c:pt idx="1">
                  <c:v>Fariz Faiq</c:v>
                </c:pt>
                <c:pt idx="2">
                  <c:v>Lux Concept</c:v>
                </c:pt>
                <c:pt idx="3">
                  <c:v>My Concept</c:v>
                </c:pt>
                <c:pt idx="4">
                  <c:v>Behman Elit Mebel</c:v>
                </c:pt>
              </c:strCache>
            </c:strRef>
          </c:cat>
          <c:val>
            <c:numRef>
              <c:f>pvt_melumatlar!$M$17:$M$22</c:f>
              <c:numCache>
                <c:formatCode>General</c:formatCode>
                <c:ptCount val="5"/>
                <c:pt idx="0">
                  <c:v>7531</c:v>
                </c:pt>
                <c:pt idx="1">
                  <c:v>9799</c:v>
                </c:pt>
                <c:pt idx="2">
                  <c:v>11138</c:v>
                </c:pt>
                <c:pt idx="3">
                  <c:v>15047</c:v>
                </c:pt>
                <c:pt idx="4">
                  <c:v>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0F-40FE-9E14-DAD2A4371F7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371254324470872"/>
          <c:y val="0.34019539224263634"/>
          <c:w val="0.30753669502463926"/>
          <c:h val="0.578264435695538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z-Latn-AZ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z-Latn-AZ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[AlumPro.xlsm]pvt_melumatlar!PivotTable3</c:name>
    <c:fmtId val="7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z-Latn-AZ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pvt_melumatlar!$U$16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pvt_melumatlar!$T$17:$T$22</c:f>
              <c:strCache>
                <c:ptCount val="5"/>
                <c:pt idx="0">
                  <c:v>Lux Concept</c:v>
                </c:pt>
                <c:pt idx="1">
                  <c:v>My Concept</c:v>
                </c:pt>
                <c:pt idx="2">
                  <c:v>Kamran kaya desıgn</c:v>
                </c:pt>
                <c:pt idx="3">
                  <c:v>Gulnare White Corner</c:v>
                </c:pt>
                <c:pt idx="4">
                  <c:v>Behman Elit Mebel</c:v>
                </c:pt>
              </c:strCache>
            </c:strRef>
          </c:cat>
          <c:val>
            <c:numRef>
              <c:f>pvt_melumatlar!$U$17:$U$22</c:f>
              <c:numCache>
                <c:formatCode>General</c:formatCode>
                <c:ptCount val="5"/>
                <c:pt idx="0">
                  <c:v>7970</c:v>
                </c:pt>
                <c:pt idx="1">
                  <c:v>13047</c:v>
                </c:pt>
                <c:pt idx="2">
                  <c:v>5929</c:v>
                </c:pt>
                <c:pt idx="3">
                  <c:v>6359</c:v>
                </c:pt>
                <c:pt idx="4">
                  <c:v>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D0-4645-80D1-A5BFD8DE7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762051151"/>
        <c:axId val="1762053551"/>
      </c:barChart>
      <c:catAx>
        <c:axId val="1762051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z-Latn-AZ"/>
          </a:p>
        </c:txPr>
        <c:crossAx val="1762053551"/>
        <c:crosses val="autoZero"/>
        <c:auto val="1"/>
        <c:lblAlgn val="ctr"/>
        <c:lblOffset val="100"/>
        <c:noMultiLvlLbl val="0"/>
      </c:catAx>
      <c:valAx>
        <c:axId val="1762053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z-Latn-AZ"/>
          </a:p>
        </c:txPr>
        <c:crossAx val="1762051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z-Latn-AZ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z-Latn-AZ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stifadeci!A1"/><Relationship Id="rId13" Type="http://schemas.openxmlformats.org/officeDocument/2006/relationships/image" Target="../media/image10.svg"/><Relationship Id="rId18" Type="http://schemas.openxmlformats.org/officeDocument/2006/relationships/hyperlink" Target="#Ayarlar!A1"/><Relationship Id="rId26" Type="http://schemas.openxmlformats.org/officeDocument/2006/relationships/image" Target="../media/image17.png"/><Relationship Id="rId3" Type="http://schemas.openxmlformats.org/officeDocument/2006/relationships/image" Target="../media/image3.png"/><Relationship Id="rId21" Type="http://schemas.openxmlformats.org/officeDocument/2006/relationships/hyperlink" Target="#Statistika!A1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image" Target="../media/image12.svg"/><Relationship Id="rId25" Type="http://schemas.openxmlformats.org/officeDocument/2006/relationships/hyperlink" Target="#M&#601;lumatlar!A1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20" Type="http://schemas.openxmlformats.org/officeDocument/2006/relationships/image" Target="../media/image14.svg"/><Relationship Id="rId29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Anbar!A1"/><Relationship Id="rId24" Type="http://schemas.openxmlformats.org/officeDocument/2006/relationships/hyperlink" Target="#'Sifari&#351; blank&#305;'!A1"/><Relationship Id="rId5" Type="http://schemas.openxmlformats.org/officeDocument/2006/relationships/hyperlink" Target="#'Sifaris blanki'!A1"/><Relationship Id="rId15" Type="http://schemas.openxmlformats.org/officeDocument/2006/relationships/hyperlink" Target="#Sifarisler!A1"/><Relationship Id="rId23" Type="http://schemas.openxmlformats.org/officeDocument/2006/relationships/image" Target="../media/image16.svg"/><Relationship Id="rId28" Type="http://schemas.openxmlformats.org/officeDocument/2006/relationships/image" Target="../media/image19.png"/><Relationship Id="rId10" Type="http://schemas.openxmlformats.org/officeDocument/2006/relationships/image" Target="../media/image8.svg"/><Relationship Id="rId19" Type="http://schemas.openxmlformats.org/officeDocument/2006/relationships/image" Target="../media/image13.png"/><Relationship Id="rId31" Type="http://schemas.openxmlformats.org/officeDocument/2006/relationships/image" Target="../media/image22.sv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350;&#252;&#351;&#601;!A1"/><Relationship Id="rId22" Type="http://schemas.openxmlformats.org/officeDocument/2006/relationships/image" Target="../media/image15.png"/><Relationship Id="rId27" Type="http://schemas.openxmlformats.org/officeDocument/2006/relationships/image" Target="../media/image18.svg"/><Relationship Id="rId30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svg"/><Relationship Id="rId18" Type="http://schemas.openxmlformats.org/officeDocument/2006/relationships/image" Target="../media/image11.png"/><Relationship Id="rId26" Type="http://schemas.openxmlformats.org/officeDocument/2006/relationships/hyperlink" Target="#M&#601;lumatlar!A1"/><Relationship Id="rId3" Type="http://schemas.openxmlformats.org/officeDocument/2006/relationships/image" Target="../media/image3.png"/><Relationship Id="rId21" Type="http://schemas.openxmlformats.org/officeDocument/2006/relationships/image" Target="../media/image13.png"/><Relationship Id="rId34" Type="http://schemas.openxmlformats.org/officeDocument/2006/relationships/image" Target="../media/image26.sv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hyperlink" Target="#Sifarisler!A1"/><Relationship Id="rId25" Type="http://schemas.openxmlformats.org/officeDocument/2006/relationships/image" Target="../media/image16.svg"/><Relationship Id="rId33" Type="http://schemas.openxmlformats.org/officeDocument/2006/relationships/image" Target="../media/image25.png"/><Relationship Id="rId2" Type="http://schemas.openxmlformats.org/officeDocument/2006/relationships/image" Target="../media/image2.svg"/><Relationship Id="rId16" Type="http://schemas.openxmlformats.org/officeDocument/2006/relationships/image" Target="../media/image24.svg"/><Relationship Id="rId20" Type="http://schemas.openxmlformats.org/officeDocument/2006/relationships/hyperlink" Target="#Ayarlar!A1"/><Relationship Id="rId29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Anbar!A1"/><Relationship Id="rId24" Type="http://schemas.openxmlformats.org/officeDocument/2006/relationships/image" Target="../media/image15.png"/><Relationship Id="rId32" Type="http://schemas.openxmlformats.org/officeDocument/2006/relationships/image" Target="../media/image22.svg"/><Relationship Id="rId5" Type="http://schemas.openxmlformats.org/officeDocument/2006/relationships/hyperlink" Target="#'Sifari&#351; blank&#305;'!A1"/><Relationship Id="rId15" Type="http://schemas.openxmlformats.org/officeDocument/2006/relationships/image" Target="../media/image23.png"/><Relationship Id="rId23" Type="http://schemas.openxmlformats.org/officeDocument/2006/relationships/hyperlink" Target="#Statistika!A1"/><Relationship Id="rId28" Type="http://schemas.openxmlformats.org/officeDocument/2006/relationships/image" Target="../media/image18.svg"/><Relationship Id="rId10" Type="http://schemas.openxmlformats.org/officeDocument/2006/relationships/image" Target="../media/image8.svg"/><Relationship Id="rId19" Type="http://schemas.openxmlformats.org/officeDocument/2006/relationships/image" Target="../media/image12.svg"/><Relationship Id="rId31" Type="http://schemas.openxmlformats.org/officeDocument/2006/relationships/image" Target="../media/image21.pn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350;&#252;&#351;&#601;!A1"/><Relationship Id="rId22" Type="http://schemas.openxmlformats.org/officeDocument/2006/relationships/image" Target="../media/image14.svg"/><Relationship Id="rId27" Type="http://schemas.openxmlformats.org/officeDocument/2006/relationships/image" Target="../media/image17.png"/><Relationship Id="rId30" Type="http://schemas.openxmlformats.org/officeDocument/2006/relationships/image" Target="../media/image20.svg"/><Relationship Id="rId8" Type="http://schemas.openxmlformats.org/officeDocument/2006/relationships/hyperlink" Target="#Istifadeci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Istifadeci!A1"/><Relationship Id="rId13" Type="http://schemas.openxmlformats.org/officeDocument/2006/relationships/image" Target="../media/image10.svg"/><Relationship Id="rId18" Type="http://schemas.openxmlformats.org/officeDocument/2006/relationships/hyperlink" Target="#Ayarlar!A1"/><Relationship Id="rId26" Type="http://schemas.openxmlformats.org/officeDocument/2006/relationships/image" Target="../media/image19.png"/><Relationship Id="rId3" Type="http://schemas.openxmlformats.org/officeDocument/2006/relationships/image" Target="../media/image3.png"/><Relationship Id="rId21" Type="http://schemas.openxmlformats.org/officeDocument/2006/relationships/image" Target="../media/image15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image" Target="../media/image12.svg"/><Relationship Id="rId25" Type="http://schemas.openxmlformats.org/officeDocument/2006/relationships/image" Target="../media/image18.svg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20" Type="http://schemas.openxmlformats.org/officeDocument/2006/relationships/image" Target="../media/image14.svg"/><Relationship Id="rId29" Type="http://schemas.openxmlformats.org/officeDocument/2006/relationships/image" Target="../media/image2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Anbar!A1"/><Relationship Id="rId24" Type="http://schemas.openxmlformats.org/officeDocument/2006/relationships/image" Target="../media/image17.png"/><Relationship Id="rId5" Type="http://schemas.openxmlformats.org/officeDocument/2006/relationships/hyperlink" Target="#'Sifari&#351; blank&#305;'!A1"/><Relationship Id="rId15" Type="http://schemas.openxmlformats.org/officeDocument/2006/relationships/hyperlink" Target="#Sifarisler!A1"/><Relationship Id="rId23" Type="http://schemas.openxmlformats.org/officeDocument/2006/relationships/hyperlink" Target="#M&#601;lumatlar!A1"/><Relationship Id="rId28" Type="http://schemas.openxmlformats.org/officeDocument/2006/relationships/image" Target="../media/image21.png"/><Relationship Id="rId10" Type="http://schemas.openxmlformats.org/officeDocument/2006/relationships/image" Target="../media/image8.svg"/><Relationship Id="rId19" Type="http://schemas.openxmlformats.org/officeDocument/2006/relationships/image" Target="../media/image13.pn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350;&#252;&#351;&#601;!A1"/><Relationship Id="rId22" Type="http://schemas.openxmlformats.org/officeDocument/2006/relationships/image" Target="../media/image16.svg"/><Relationship Id="rId27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Istifadeci!A1"/><Relationship Id="rId13" Type="http://schemas.openxmlformats.org/officeDocument/2006/relationships/image" Target="../media/image10.svg"/><Relationship Id="rId18" Type="http://schemas.openxmlformats.org/officeDocument/2006/relationships/hyperlink" Target="#Ayarlar!A1"/><Relationship Id="rId26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hyperlink" Target="#Statistika!A1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image" Target="../media/image12.svg"/><Relationship Id="rId25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20" Type="http://schemas.openxmlformats.org/officeDocument/2006/relationships/image" Target="../media/image14.svg"/><Relationship Id="rId29" Type="http://schemas.openxmlformats.org/officeDocument/2006/relationships/image" Target="../media/image21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Anbar!A1"/><Relationship Id="rId24" Type="http://schemas.openxmlformats.org/officeDocument/2006/relationships/hyperlink" Target="#M&#601;lumatlar!A1"/><Relationship Id="rId5" Type="http://schemas.openxmlformats.org/officeDocument/2006/relationships/hyperlink" Target="#'Sifari&#351; blank&#305;'!A1"/><Relationship Id="rId15" Type="http://schemas.openxmlformats.org/officeDocument/2006/relationships/hyperlink" Target="#Sifarisler!A1"/><Relationship Id="rId23" Type="http://schemas.openxmlformats.org/officeDocument/2006/relationships/image" Target="../media/image16.svg"/><Relationship Id="rId28" Type="http://schemas.openxmlformats.org/officeDocument/2006/relationships/image" Target="../media/image20.svg"/><Relationship Id="rId10" Type="http://schemas.openxmlformats.org/officeDocument/2006/relationships/image" Target="../media/image8.svg"/><Relationship Id="rId19" Type="http://schemas.openxmlformats.org/officeDocument/2006/relationships/image" Target="../media/image13.pn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350;&#252;&#351;&#601;!A1"/><Relationship Id="rId22" Type="http://schemas.openxmlformats.org/officeDocument/2006/relationships/image" Target="../media/image15.png"/><Relationship Id="rId27" Type="http://schemas.openxmlformats.org/officeDocument/2006/relationships/image" Target="../media/image19.png"/><Relationship Id="rId30" Type="http://schemas.openxmlformats.org/officeDocument/2006/relationships/image" Target="../media/image22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Istifadeci!A1"/><Relationship Id="rId13" Type="http://schemas.openxmlformats.org/officeDocument/2006/relationships/image" Target="../media/image10.svg"/><Relationship Id="rId18" Type="http://schemas.openxmlformats.org/officeDocument/2006/relationships/hyperlink" Target="#Ayarlar!A1"/><Relationship Id="rId26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hyperlink" Target="#Statistika!A1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image" Target="../media/image12.svg"/><Relationship Id="rId25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20" Type="http://schemas.openxmlformats.org/officeDocument/2006/relationships/image" Target="../media/image14.svg"/><Relationship Id="rId29" Type="http://schemas.openxmlformats.org/officeDocument/2006/relationships/image" Target="../media/image21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Anbar!A1"/><Relationship Id="rId24" Type="http://schemas.openxmlformats.org/officeDocument/2006/relationships/hyperlink" Target="#M&#601;lumatlar!A1"/><Relationship Id="rId5" Type="http://schemas.openxmlformats.org/officeDocument/2006/relationships/hyperlink" Target="#'Sifari&#351; blank&#305;'!A1"/><Relationship Id="rId15" Type="http://schemas.openxmlformats.org/officeDocument/2006/relationships/hyperlink" Target="#Sifarisler!A1"/><Relationship Id="rId23" Type="http://schemas.openxmlformats.org/officeDocument/2006/relationships/image" Target="../media/image16.svg"/><Relationship Id="rId28" Type="http://schemas.openxmlformats.org/officeDocument/2006/relationships/image" Target="../media/image20.svg"/><Relationship Id="rId10" Type="http://schemas.openxmlformats.org/officeDocument/2006/relationships/image" Target="../media/image8.svg"/><Relationship Id="rId19" Type="http://schemas.openxmlformats.org/officeDocument/2006/relationships/image" Target="../media/image13.pn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350;&#252;&#351;&#601;!A1"/><Relationship Id="rId22" Type="http://schemas.openxmlformats.org/officeDocument/2006/relationships/image" Target="../media/image15.png"/><Relationship Id="rId27" Type="http://schemas.openxmlformats.org/officeDocument/2006/relationships/image" Target="../media/image19.png"/><Relationship Id="rId30" Type="http://schemas.openxmlformats.org/officeDocument/2006/relationships/image" Target="../media/image22.sv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svg"/><Relationship Id="rId18" Type="http://schemas.openxmlformats.org/officeDocument/2006/relationships/hyperlink" Target="#Ayarlar!A1"/><Relationship Id="rId26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hyperlink" Target="#Statistika!A1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image" Target="../media/image12.svg"/><Relationship Id="rId25" Type="http://schemas.openxmlformats.org/officeDocument/2006/relationships/image" Target="../media/image17.png"/><Relationship Id="rId33" Type="http://schemas.openxmlformats.org/officeDocument/2006/relationships/chart" Target="../charts/chart3.xml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20" Type="http://schemas.openxmlformats.org/officeDocument/2006/relationships/image" Target="../media/image14.svg"/><Relationship Id="rId29" Type="http://schemas.openxmlformats.org/officeDocument/2006/relationships/image" Target="../media/image21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Anbar!A1"/><Relationship Id="rId24" Type="http://schemas.openxmlformats.org/officeDocument/2006/relationships/hyperlink" Target="#M&#601;lumatlar!A1"/><Relationship Id="rId32" Type="http://schemas.openxmlformats.org/officeDocument/2006/relationships/chart" Target="../charts/chart2.xml"/><Relationship Id="rId5" Type="http://schemas.openxmlformats.org/officeDocument/2006/relationships/hyperlink" Target="#'Sifari&#351; blank&#305;'!A1"/><Relationship Id="rId15" Type="http://schemas.openxmlformats.org/officeDocument/2006/relationships/hyperlink" Target="#Sifarisler!A1"/><Relationship Id="rId23" Type="http://schemas.openxmlformats.org/officeDocument/2006/relationships/image" Target="../media/image16.svg"/><Relationship Id="rId28" Type="http://schemas.openxmlformats.org/officeDocument/2006/relationships/image" Target="../media/image20.svg"/><Relationship Id="rId10" Type="http://schemas.openxmlformats.org/officeDocument/2006/relationships/image" Target="../media/image8.svg"/><Relationship Id="rId19" Type="http://schemas.openxmlformats.org/officeDocument/2006/relationships/image" Target="../media/image13.png"/><Relationship Id="rId31" Type="http://schemas.openxmlformats.org/officeDocument/2006/relationships/chart" Target="../charts/chart1.xml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350;&#252;&#351;&#601;!A1"/><Relationship Id="rId22" Type="http://schemas.openxmlformats.org/officeDocument/2006/relationships/image" Target="../media/image15.png"/><Relationship Id="rId27" Type="http://schemas.openxmlformats.org/officeDocument/2006/relationships/image" Target="../media/image19.png"/><Relationship Id="rId30" Type="http://schemas.openxmlformats.org/officeDocument/2006/relationships/image" Target="../media/image22.svg"/><Relationship Id="rId8" Type="http://schemas.openxmlformats.org/officeDocument/2006/relationships/hyperlink" Target="#Istifadeci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Istifadeci!A1"/><Relationship Id="rId13" Type="http://schemas.openxmlformats.org/officeDocument/2006/relationships/image" Target="../media/image10.svg"/><Relationship Id="rId18" Type="http://schemas.openxmlformats.org/officeDocument/2006/relationships/hyperlink" Target="#Ayarlar!A1"/><Relationship Id="rId26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hyperlink" Target="#Statistika!A1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image" Target="../media/image12.svg"/><Relationship Id="rId25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20" Type="http://schemas.openxmlformats.org/officeDocument/2006/relationships/image" Target="../media/image14.svg"/><Relationship Id="rId29" Type="http://schemas.openxmlformats.org/officeDocument/2006/relationships/image" Target="../media/image21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Anbar!A1"/><Relationship Id="rId24" Type="http://schemas.openxmlformats.org/officeDocument/2006/relationships/hyperlink" Target="#M&#601;lumatlar!A1"/><Relationship Id="rId5" Type="http://schemas.openxmlformats.org/officeDocument/2006/relationships/hyperlink" Target="#'Sifari&#351; blank&#305;'!A1"/><Relationship Id="rId15" Type="http://schemas.openxmlformats.org/officeDocument/2006/relationships/hyperlink" Target="#Sifarisler!A1"/><Relationship Id="rId23" Type="http://schemas.openxmlformats.org/officeDocument/2006/relationships/image" Target="../media/image16.svg"/><Relationship Id="rId28" Type="http://schemas.openxmlformats.org/officeDocument/2006/relationships/image" Target="../media/image20.svg"/><Relationship Id="rId10" Type="http://schemas.openxmlformats.org/officeDocument/2006/relationships/image" Target="../media/image8.svg"/><Relationship Id="rId19" Type="http://schemas.openxmlformats.org/officeDocument/2006/relationships/image" Target="../media/image13.pn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350;&#252;&#351;&#601;!A1"/><Relationship Id="rId22" Type="http://schemas.openxmlformats.org/officeDocument/2006/relationships/image" Target="../media/image15.png"/><Relationship Id="rId27" Type="http://schemas.openxmlformats.org/officeDocument/2006/relationships/image" Target="../media/image19.png"/><Relationship Id="rId30" Type="http://schemas.openxmlformats.org/officeDocument/2006/relationships/image" Target="../media/image22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Istifadeci!A1"/><Relationship Id="rId13" Type="http://schemas.openxmlformats.org/officeDocument/2006/relationships/image" Target="../media/image10.svg"/><Relationship Id="rId18" Type="http://schemas.openxmlformats.org/officeDocument/2006/relationships/hyperlink" Target="#Ayarlar!A1"/><Relationship Id="rId26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hyperlink" Target="#Statistika!A1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image" Target="../media/image12.svg"/><Relationship Id="rId25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20" Type="http://schemas.openxmlformats.org/officeDocument/2006/relationships/image" Target="../media/image14.svg"/><Relationship Id="rId29" Type="http://schemas.openxmlformats.org/officeDocument/2006/relationships/image" Target="../media/image21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Anbar!A1"/><Relationship Id="rId24" Type="http://schemas.openxmlformats.org/officeDocument/2006/relationships/hyperlink" Target="#M&#601;lumatlar!A1"/><Relationship Id="rId5" Type="http://schemas.openxmlformats.org/officeDocument/2006/relationships/hyperlink" Target="#'Sifari&#351; blank&#305;'!A1"/><Relationship Id="rId15" Type="http://schemas.openxmlformats.org/officeDocument/2006/relationships/hyperlink" Target="#Sifarisler!A1"/><Relationship Id="rId23" Type="http://schemas.openxmlformats.org/officeDocument/2006/relationships/image" Target="../media/image16.svg"/><Relationship Id="rId28" Type="http://schemas.openxmlformats.org/officeDocument/2006/relationships/image" Target="../media/image20.svg"/><Relationship Id="rId10" Type="http://schemas.openxmlformats.org/officeDocument/2006/relationships/image" Target="../media/image8.svg"/><Relationship Id="rId19" Type="http://schemas.openxmlformats.org/officeDocument/2006/relationships/image" Target="../media/image13.pn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350;&#252;&#351;&#601;!A1"/><Relationship Id="rId22" Type="http://schemas.openxmlformats.org/officeDocument/2006/relationships/image" Target="../media/image15.png"/><Relationship Id="rId27" Type="http://schemas.openxmlformats.org/officeDocument/2006/relationships/image" Target="../media/image19.png"/><Relationship Id="rId30" Type="http://schemas.openxmlformats.org/officeDocument/2006/relationships/image" Target="../media/image2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Istifadeci!A1"/><Relationship Id="rId13" Type="http://schemas.openxmlformats.org/officeDocument/2006/relationships/image" Target="../media/image10.svg"/><Relationship Id="rId18" Type="http://schemas.openxmlformats.org/officeDocument/2006/relationships/hyperlink" Target="#Ayarlar!A1"/><Relationship Id="rId26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hyperlink" Target="#Statistika!A1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image" Target="../media/image12.svg"/><Relationship Id="rId25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20" Type="http://schemas.openxmlformats.org/officeDocument/2006/relationships/image" Target="../media/image14.svg"/><Relationship Id="rId29" Type="http://schemas.openxmlformats.org/officeDocument/2006/relationships/image" Target="../media/image21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Anbar!A1"/><Relationship Id="rId24" Type="http://schemas.openxmlformats.org/officeDocument/2006/relationships/hyperlink" Target="#M&#601;lumatlar!A1"/><Relationship Id="rId5" Type="http://schemas.openxmlformats.org/officeDocument/2006/relationships/hyperlink" Target="#'Sifari&#351; blank&#305;'!A1"/><Relationship Id="rId15" Type="http://schemas.openxmlformats.org/officeDocument/2006/relationships/hyperlink" Target="#Sifarisler!A1"/><Relationship Id="rId23" Type="http://schemas.openxmlformats.org/officeDocument/2006/relationships/image" Target="../media/image16.svg"/><Relationship Id="rId28" Type="http://schemas.openxmlformats.org/officeDocument/2006/relationships/image" Target="../media/image20.svg"/><Relationship Id="rId10" Type="http://schemas.openxmlformats.org/officeDocument/2006/relationships/image" Target="../media/image8.svg"/><Relationship Id="rId19" Type="http://schemas.openxmlformats.org/officeDocument/2006/relationships/image" Target="../media/image13.pn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350;&#252;&#351;&#601;!A1"/><Relationship Id="rId22" Type="http://schemas.openxmlformats.org/officeDocument/2006/relationships/image" Target="../media/image15.png"/><Relationship Id="rId27" Type="http://schemas.openxmlformats.org/officeDocument/2006/relationships/image" Target="../media/image19.png"/><Relationship Id="rId30" Type="http://schemas.openxmlformats.org/officeDocument/2006/relationships/image" Target="../media/image22.sv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Istifadeci!A1"/><Relationship Id="rId13" Type="http://schemas.openxmlformats.org/officeDocument/2006/relationships/image" Target="../media/image10.svg"/><Relationship Id="rId18" Type="http://schemas.openxmlformats.org/officeDocument/2006/relationships/hyperlink" Target="#Ayarlar!A1"/><Relationship Id="rId26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hyperlink" Target="#Statistika!A1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image" Target="../media/image12.svg"/><Relationship Id="rId25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20" Type="http://schemas.openxmlformats.org/officeDocument/2006/relationships/image" Target="../media/image14.svg"/><Relationship Id="rId29" Type="http://schemas.openxmlformats.org/officeDocument/2006/relationships/image" Target="../media/image21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Anbar!A1"/><Relationship Id="rId24" Type="http://schemas.openxmlformats.org/officeDocument/2006/relationships/hyperlink" Target="#M&#601;lumatlar!A1"/><Relationship Id="rId5" Type="http://schemas.openxmlformats.org/officeDocument/2006/relationships/hyperlink" Target="#'Sifari&#351; blank&#305;'!A1"/><Relationship Id="rId15" Type="http://schemas.openxmlformats.org/officeDocument/2006/relationships/hyperlink" Target="#Sifarisler!A1"/><Relationship Id="rId23" Type="http://schemas.openxmlformats.org/officeDocument/2006/relationships/image" Target="../media/image16.svg"/><Relationship Id="rId28" Type="http://schemas.openxmlformats.org/officeDocument/2006/relationships/image" Target="../media/image20.svg"/><Relationship Id="rId10" Type="http://schemas.openxmlformats.org/officeDocument/2006/relationships/image" Target="../media/image8.svg"/><Relationship Id="rId19" Type="http://schemas.openxmlformats.org/officeDocument/2006/relationships/image" Target="../media/image13.pn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350;&#252;&#351;&#601;!A1"/><Relationship Id="rId22" Type="http://schemas.openxmlformats.org/officeDocument/2006/relationships/image" Target="../media/image15.png"/><Relationship Id="rId27" Type="http://schemas.openxmlformats.org/officeDocument/2006/relationships/image" Target="../media/image19.png"/><Relationship Id="rId30" Type="http://schemas.openxmlformats.org/officeDocument/2006/relationships/image" Target="../media/image22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Ayarlar!A1"/><Relationship Id="rId18" Type="http://schemas.openxmlformats.org/officeDocument/2006/relationships/image" Target="../media/image16.svg"/><Relationship Id="rId26" Type="http://schemas.openxmlformats.org/officeDocument/2006/relationships/hyperlink" Target="#'Sifari&#351; blank&#305;'!A1"/><Relationship Id="rId3" Type="http://schemas.openxmlformats.org/officeDocument/2006/relationships/hyperlink" Target="#Istifadeci!A1"/><Relationship Id="rId21" Type="http://schemas.openxmlformats.org/officeDocument/2006/relationships/image" Target="../media/image18.svg"/><Relationship Id="rId7" Type="http://schemas.openxmlformats.org/officeDocument/2006/relationships/image" Target="../media/image9.png"/><Relationship Id="rId12" Type="http://schemas.openxmlformats.org/officeDocument/2006/relationships/image" Target="../media/image12.svg"/><Relationship Id="rId17" Type="http://schemas.openxmlformats.org/officeDocument/2006/relationships/image" Target="../media/image15.png"/><Relationship Id="rId25" Type="http://schemas.openxmlformats.org/officeDocument/2006/relationships/image" Target="../media/image22.svg"/><Relationship Id="rId2" Type="http://schemas.openxmlformats.org/officeDocument/2006/relationships/image" Target="../media/image2.svg"/><Relationship Id="rId16" Type="http://schemas.openxmlformats.org/officeDocument/2006/relationships/hyperlink" Target="#Statistika!A1"/><Relationship Id="rId20" Type="http://schemas.openxmlformats.org/officeDocument/2006/relationships/image" Target="../media/image17.png"/><Relationship Id="rId29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hyperlink" Target="#Anbar!A1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8.svg"/><Relationship Id="rId15" Type="http://schemas.openxmlformats.org/officeDocument/2006/relationships/image" Target="../media/image14.svg"/><Relationship Id="rId23" Type="http://schemas.openxmlformats.org/officeDocument/2006/relationships/image" Target="../media/image20.svg"/><Relationship Id="rId28" Type="http://schemas.openxmlformats.org/officeDocument/2006/relationships/image" Target="../media/image6.svg"/><Relationship Id="rId10" Type="http://schemas.openxmlformats.org/officeDocument/2006/relationships/hyperlink" Target="#Sifarisler!A1"/><Relationship Id="rId19" Type="http://schemas.openxmlformats.org/officeDocument/2006/relationships/hyperlink" Target="#M&#601;lumatlar!A1"/><Relationship Id="rId4" Type="http://schemas.openxmlformats.org/officeDocument/2006/relationships/image" Target="../media/image7.png"/><Relationship Id="rId9" Type="http://schemas.openxmlformats.org/officeDocument/2006/relationships/hyperlink" Target="#&#350;&#252;&#351;&#601;!A1"/><Relationship Id="rId14" Type="http://schemas.openxmlformats.org/officeDocument/2006/relationships/image" Target="../media/image13.png"/><Relationship Id="rId22" Type="http://schemas.openxmlformats.org/officeDocument/2006/relationships/image" Target="../media/image19.png"/><Relationship Id="rId27" Type="http://schemas.openxmlformats.org/officeDocument/2006/relationships/image" Target="../media/image5.png"/><Relationship Id="rId30" Type="http://schemas.openxmlformats.org/officeDocument/2006/relationships/image" Target="../media/image4.sv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45225</xdr:colOff>
      <xdr:row>0</xdr:row>
      <xdr:rowOff>114300</xdr:rowOff>
    </xdr:from>
    <xdr:to>
      <xdr:col>0</xdr:col>
      <xdr:colOff>466725</xdr:colOff>
      <xdr:row>0</xdr:row>
      <xdr:rowOff>542925</xdr:rowOff>
    </xdr:to>
    <xdr:pic macro="[0]!OpenTheMenu">
      <xdr:nvPicPr>
        <xdr:cNvPr id="10" name="HamMenu_Open" descr="Veri tabanı düz dolguyla">
          <a:extLst>
            <a:ext uri="{FF2B5EF4-FFF2-40B4-BE49-F238E27FC236}">
              <a16:creationId xmlns:a16="http://schemas.microsoft.com/office/drawing/2014/main" id="{F245609E-60A0-4135-AD52-9EA9C16C1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5225" y="114300"/>
          <a:ext cx="421500" cy="428625"/>
        </a:xfrm>
        <a:prstGeom prst="rect">
          <a:avLst/>
        </a:prstGeom>
      </xdr:spPr>
    </xdr:pic>
    <xdr:clientData/>
  </xdr:twoCellAnchor>
  <xdr:twoCellAnchor editAs="absolute">
    <xdr:from>
      <xdr:col>3</xdr:col>
      <xdr:colOff>458259</xdr:colOff>
      <xdr:row>0</xdr:row>
      <xdr:rowOff>38100</xdr:rowOff>
    </xdr:from>
    <xdr:to>
      <xdr:col>4</xdr:col>
      <xdr:colOff>472017</xdr:colOff>
      <xdr:row>0</xdr:row>
      <xdr:rowOff>581025</xdr:rowOff>
    </xdr:to>
    <xdr:pic macro="[0]!CloseTheMenu">
      <xdr:nvPicPr>
        <xdr:cNvPr id="11" name="HamMenu_Close" descr="Ok: Düz düz dolguyla" hidden="1">
          <a:extLst>
            <a:ext uri="{FF2B5EF4-FFF2-40B4-BE49-F238E27FC236}">
              <a16:creationId xmlns:a16="http://schemas.microsoft.com/office/drawing/2014/main" id="{0EDC530E-46E9-4456-92C4-55A73E438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23975" y="38100"/>
          <a:ext cx="542925" cy="54292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3</xdr:row>
      <xdr:rowOff>224931</xdr:rowOff>
    </xdr:from>
    <xdr:to>
      <xdr:col>0</xdr:col>
      <xdr:colOff>447675</xdr:colOff>
      <xdr:row>5</xdr:row>
      <xdr:rowOff>112309</xdr:rowOff>
    </xdr:to>
    <xdr:pic>
      <xdr:nvPicPr>
        <xdr:cNvPr id="12" name="Grafik 11" descr="Kontrol listesi düz dolguyl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AE0ADA8-5545-4909-8C22-B2AD74D24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5225" y="1489950"/>
          <a:ext cx="402450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18</xdr:row>
      <xdr:rowOff>101445</xdr:rowOff>
    </xdr:from>
    <xdr:to>
      <xdr:col>0</xdr:col>
      <xdr:colOff>438150</xdr:colOff>
      <xdr:row>20</xdr:row>
      <xdr:rowOff>76482</xdr:rowOff>
    </xdr:to>
    <xdr:pic>
      <xdr:nvPicPr>
        <xdr:cNvPr id="13" name="Grafik 12" descr="Kullanıcılar düz dolguyla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968041E-1AEC-418A-888F-7A5325B0E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25" y="4886233"/>
          <a:ext cx="392925" cy="48577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16</xdr:row>
      <xdr:rowOff>19862</xdr:rowOff>
    </xdr:from>
    <xdr:to>
      <xdr:col>0</xdr:col>
      <xdr:colOff>438150</xdr:colOff>
      <xdr:row>17</xdr:row>
      <xdr:rowOff>200958</xdr:rowOff>
    </xdr:to>
    <xdr:pic>
      <xdr:nvPicPr>
        <xdr:cNvPr id="14" name="Grafik 13" descr="Kilitle düz dolguyl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4208890-0DB2-4747-A07D-F5C7D2D07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4347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8</xdr:row>
      <xdr:rowOff>200590</xdr:rowOff>
    </xdr:from>
    <xdr:to>
      <xdr:col>0</xdr:col>
      <xdr:colOff>438150</xdr:colOff>
      <xdr:row>10</xdr:row>
      <xdr:rowOff>124759</xdr:rowOff>
    </xdr:to>
    <xdr:pic>
      <xdr:nvPicPr>
        <xdr:cNvPr id="15" name="Grafik 14" descr="Kilitle düz dolguyla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B4D094F-00D4-4B13-98E3-740B7840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2632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6</xdr:row>
      <xdr:rowOff>67277</xdr:rowOff>
    </xdr:from>
    <xdr:to>
      <xdr:col>0</xdr:col>
      <xdr:colOff>438150</xdr:colOff>
      <xdr:row>8</xdr:row>
      <xdr:rowOff>10085</xdr:rowOff>
    </xdr:to>
    <xdr:pic>
      <xdr:nvPicPr>
        <xdr:cNvPr id="17" name="Grafik 16" descr="Tokalaşma düz dolguyl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0CE1F3E-7D60-47E0-8166-E0E1EBC59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5225" y="2061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21</xdr:row>
      <xdr:rowOff>1862</xdr:rowOff>
    </xdr:from>
    <xdr:to>
      <xdr:col>0</xdr:col>
      <xdr:colOff>428625</xdr:colOff>
      <xdr:row>22</xdr:row>
      <xdr:rowOff>146226</xdr:rowOff>
    </xdr:to>
    <xdr:pic>
      <xdr:nvPicPr>
        <xdr:cNvPr id="18" name="Grafik 17" descr="Tek Dişli düz dolguyla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1B42CD5-BE55-4AE8-A8C5-147EBB7E8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35700" y="554827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11</xdr:row>
      <xdr:rowOff>64314</xdr:rowOff>
    </xdr:from>
    <xdr:to>
      <xdr:col>0</xdr:col>
      <xdr:colOff>438150</xdr:colOff>
      <xdr:row>12</xdr:row>
      <xdr:rowOff>222748</xdr:rowOff>
    </xdr:to>
    <xdr:pic>
      <xdr:nvPicPr>
        <xdr:cNvPr id="19" name="Grafik 18" descr="Yukarı yönlü eğilim düz dolguyla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92FC29FE-87EF-416B-9AA7-424AAEC15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5225" y="3204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4</xdr:row>
      <xdr:rowOff>55843</xdr:rowOff>
    </xdr:from>
    <xdr:to>
      <xdr:col>4</xdr:col>
      <xdr:colOff>595842</xdr:colOff>
      <xdr:row>5</xdr:row>
      <xdr:rowOff>112309</xdr:rowOff>
    </xdr:to>
    <xdr:sp macro="" textlink="">
      <xdr:nvSpPr>
        <xdr:cNvPr id="20" name="btn_blank" hidden="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C46FCB1-CDE4-4EBF-B905-DCF3AF90051A}"/>
            </a:ext>
          </a:extLst>
        </xdr:cNvPr>
        <xdr:cNvSpPr/>
      </xdr:nvSpPr>
      <xdr:spPr>
        <a:xfrm>
          <a:off x="514350" y="1571625"/>
          <a:ext cx="1476375" cy="3143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 Blankı</a:t>
          </a:r>
          <a:endParaRPr lang="ru-RU" sz="1200">
            <a:solidFill>
              <a:schemeClr val="accent2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6</xdr:row>
      <xdr:rowOff>144681</xdr:rowOff>
    </xdr:from>
    <xdr:to>
      <xdr:col>4</xdr:col>
      <xdr:colOff>595842</xdr:colOff>
      <xdr:row>8</xdr:row>
      <xdr:rowOff>10085</xdr:rowOff>
    </xdr:to>
    <xdr:sp macro="" textlink="">
      <xdr:nvSpPr>
        <xdr:cNvPr id="21" name="btn_sifaris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ACD085D-B863-4839-A233-9E44CF9D0E5D}"/>
            </a:ext>
          </a:extLst>
        </xdr:cNvPr>
        <xdr:cNvSpPr/>
      </xdr:nvSpPr>
      <xdr:spPr>
        <a:xfrm>
          <a:off x="514350" y="214312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lər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16</xdr:row>
      <xdr:rowOff>97055</xdr:rowOff>
    </xdr:from>
    <xdr:to>
      <xdr:col>4</xdr:col>
      <xdr:colOff>595842</xdr:colOff>
      <xdr:row>17</xdr:row>
      <xdr:rowOff>200958</xdr:rowOff>
    </xdr:to>
    <xdr:sp macro="" textlink="">
      <xdr:nvSpPr>
        <xdr:cNvPr id="22" name="btn_anbar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D165F58-EA86-4AA7-A9C3-0C601C3157C2}"/>
            </a:ext>
          </a:extLst>
        </xdr:cNvPr>
        <xdr:cNvSpPr/>
      </xdr:nvSpPr>
      <xdr:spPr>
        <a:xfrm>
          <a:off x="514350" y="4429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Anbar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9</xdr:row>
      <xdr:rowOff>58148</xdr:rowOff>
    </xdr:from>
    <xdr:to>
      <xdr:col>4</xdr:col>
      <xdr:colOff>595842</xdr:colOff>
      <xdr:row>10</xdr:row>
      <xdr:rowOff>124759</xdr:rowOff>
    </xdr:to>
    <xdr:sp macro="" textlink="">
      <xdr:nvSpPr>
        <xdr:cNvPr id="23" name="btn_suse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3712F07-B4F1-4DCB-8ED2-DC5DB81C1694}"/>
            </a:ext>
          </a:extLst>
        </xdr:cNvPr>
        <xdr:cNvSpPr/>
      </xdr:nvSpPr>
      <xdr:spPr>
        <a:xfrm>
          <a:off x="514350" y="2714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Şüşə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11</xdr:row>
      <xdr:rowOff>138518</xdr:rowOff>
    </xdr:from>
    <xdr:to>
      <xdr:col>4</xdr:col>
      <xdr:colOff>595842</xdr:colOff>
      <xdr:row>12</xdr:row>
      <xdr:rowOff>222748</xdr:rowOff>
    </xdr:to>
    <xdr:sp macro="" textlink="">
      <xdr:nvSpPr>
        <xdr:cNvPr id="24" name="btn_dash" hidden="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4EDB3C0-DFC1-407B-9A1A-21C0A8A6AF28}"/>
            </a:ext>
          </a:extLst>
        </xdr:cNvPr>
        <xdr:cNvSpPr/>
      </xdr:nvSpPr>
      <xdr:spPr>
        <a:xfrm>
          <a:off x="514350" y="3286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Ümumi </a:t>
          </a:r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Statistika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13</xdr:row>
      <xdr:rowOff>204134</xdr:rowOff>
    </xdr:from>
    <xdr:to>
      <xdr:col>4</xdr:col>
      <xdr:colOff>595842</xdr:colOff>
      <xdr:row>15</xdr:row>
      <xdr:rowOff>51795</xdr:rowOff>
    </xdr:to>
    <xdr:sp macro="" textlink="">
      <xdr:nvSpPr>
        <xdr:cNvPr id="25" name="btn_info" hidden="1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31FAC657-AF2C-4602-ABED-4C9B3BEA78A7}"/>
            </a:ext>
          </a:extLst>
        </xdr:cNvPr>
        <xdr:cNvSpPr/>
      </xdr:nvSpPr>
      <xdr:spPr>
        <a:xfrm>
          <a:off x="514350" y="3857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Məlumatlar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19</xdr:row>
      <xdr:rowOff>21012</xdr:rowOff>
    </xdr:from>
    <xdr:to>
      <xdr:col>4</xdr:col>
      <xdr:colOff>595842</xdr:colOff>
      <xdr:row>20</xdr:row>
      <xdr:rowOff>76482</xdr:rowOff>
    </xdr:to>
    <xdr:sp macro="" textlink="">
      <xdr:nvSpPr>
        <xdr:cNvPr id="26" name="btn_user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8D539D6-5FAF-45B7-9438-21DBB2E2CB47}"/>
            </a:ext>
          </a:extLst>
        </xdr:cNvPr>
        <xdr:cNvSpPr/>
      </xdr:nvSpPr>
      <xdr:spPr>
        <a:xfrm>
          <a:off x="514350" y="5057683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İstifadəçilər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21</xdr:row>
      <xdr:rowOff>84034</xdr:rowOff>
    </xdr:from>
    <xdr:to>
      <xdr:col>4</xdr:col>
      <xdr:colOff>595842</xdr:colOff>
      <xdr:row>22</xdr:row>
      <xdr:rowOff>146226</xdr:rowOff>
    </xdr:to>
    <xdr:sp macro="" textlink="">
      <xdr:nvSpPr>
        <xdr:cNvPr id="27" name="btn_ayar" hidden="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185FF6B-BA79-414A-BCE5-ED577DE11BA3}"/>
            </a:ext>
          </a:extLst>
        </xdr:cNvPr>
        <xdr:cNvSpPr/>
      </xdr:nvSpPr>
      <xdr:spPr>
        <a:xfrm>
          <a:off x="514350" y="562995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Ayarlar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0</xdr:col>
      <xdr:colOff>45225</xdr:colOff>
      <xdr:row>13</xdr:row>
      <xdr:rowOff>133043</xdr:rowOff>
    </xdr:from>
    <xdr:to>
      <xdr:col>0</xdr:col>
      <xdr:colOff>438150</xdr:colOff>
      <xdr:row>15</xdr:row>
      <xdr:rowOff>51795</xdr:rowOff>
    </xdr:to>
    <xdr:pic>
      <xdr:nvPicPr>
        <xdr:cNvPr id="28" name="Grafik 27" descr="Ampul düz dolguyla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1A795F0-A81A-438A-9E12-DD40390A8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45225" y="3775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23</xdr:row>
      <xdr:rowOff>53443</xdr:rowOff>
    </xdr:from>
    <xdr:to>
      <xdr:col>0</xdr:col>
      <xdr:colOff>428625</xdr:colOff>
      <xdr:row>24</xdr:row>
      <xdr:rowOff>209138</xdr:rowOff>
    </xdr:to>
    <xdr:pic macro="[0]!Cixis_Click">
      <xdr:nvPicPr>
        <xdr:cNvPr id="29" name="Grafik 28" descr="Çalıştır düz dolguyla">
          <a:extLst>
            <a:ext uri="{FF2B5EF4-FFF2-40B4-BE49-F238E27FC236}">
              <a16:creationId xmlns:a16="http://schemas.microsoft.com/office/drawing/2014/main" id="{A3E467C0-819F-40FB-8C94-DA62A6608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5700" y="606502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19050</xdr:colOff>
      <xdr:row>23</xdr:row>
      <xdr:rowOff>127648</xdr:rowOff>
    </xdr:from>
    <xdr:to>
      <xdr:col>4</xdr:col>
      <xdr:colOff>586317</xdr:colOff>
      <xdr:row>24</xdr:row>
      <xdr:rowOff>209138</xdr:rowOff>
    </xdr:to>
    <xdr:sp macro="[0]!Cixis_Click" textlink="">
      <xdr:nvSpPr>
        <xdr:cNvPr id="30" name="btn_exit" hidden="1">
          <a:extLst>
            <a:ext uri="{FF2B5EF4-FFF2-40B4-BE49-F238E27FC236}">
              <a16:creationId xmlns:a16="http://schemas.microsoft.com/office/drawing/2014/main" id="{98F99D33-7152-44B2-9793-42B487D8D6AE}"/>
            </a:ext>
          </a:extLst>
        </xdr:cNvPr>
        <xdr:cNvSpPr/>
      </xdr:nvSpPr>
      <xdr:spPr>
        <a:xfrm>
          <a:off x="504825" y="614670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Çıxış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</xdr:col>
      <xdr:colOff>342900</xdr:colOff>
      <xdr:row>0</xdr:row>
      <xdr:rowOff>0</xdr:rowOff>
    </xdr:from>
    <xdr:to>
      <xdr:col>7</xdr:col>
      <xdr:colOff>1185333</xdr:colOff>
      <xdr:row>1</xdr:row>
      <xdr:rowOff>47625</xdr:rowOff>
    </xdr:to>
    <xdr:grpSp>
      <xdr:nvGrpSpPr>
        <xdr:cNvPr id="5" name="Grup 4">
          <a:extLst>
            <a:ext uri="{FF2B5EF4-FFF2-40B4-BE49-F238E27FC236}">
              <a16:creationId xmlns:a16="http://schemas.microsoft.com/office/drawing/2014/main" id="{7F819595-6212-F78D-E95B-94F4AF0D7ADC}"/>
            </a:ext>
          </a:extLst>
        </xdr:cNvPr>
        <xdr:cNvGrpSpPr/>
      </xdr:nvGrpSpPr>
      <xdr:grpSpPr>
        <a:xfrm>
          <a:off x="828675" y="0"/>
          <a:ext cx="3718983" cy="885825"/>
          <a:chOff x="829733" y="0"/>
          <a:chExt cx="4144921" cy="735542"/>
        </a:xfrm>
      </xdr:grpSpPr>
      <xdr:sp macro="" textlink="">
        <xdr:nvSpPr>
          <xdr:cNvPr id="36" name="Akış Çizelgesi: İşlem 35">
            <a:extLst>
              <a:ext uri="{FF2B5EF4-FFF2-40B4-BE49-F238E27FC236}">
                <a16:creationId xmlns:a16="http://schemas.microsoft.com/office/drawing/2014/main" id="{07E3E683-5857-4D7B-8284-7A5C77FDBDF6}"/>
              </a:ext>
            </a:extLst>
          </xdr:cNvPr>
          <xdr:cNvSpPr/>
        </xdr:nvSpPr>
        <xdr:spPr>
          <a:xfrm>
            <a:off x="829734" y="361950"/>
            <a:ext cx="2313424" cy="373592"/>
          </a:xfrm>
          <a:prstGeom prst="flowChartProcess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az-Latn-AZ" sz="1000">
                <a:solidFill>
                  <a:schemeClr val="accent6">
                    <a:lumMod val="50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Alüminium Profil Sistemləri</a:t>
            </a:r>
            <a:endParaRPr lang="en-US" sz="1000">
              <a:solidFill>
                <a:schemeClr val="accent6">
                  <a:lumMod val="5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endParaRPr>
          </a:p>
        </xdr:txBody>
      </xdr:sp>
      <xdr:sp macro="" textlink="">
        <xdr:nvSpPr>
          <xdr:cNvPr id="37" name="Akış Çizelgesi: İşlem 36">
            <a:extLst>
              <a:ext uri="{FF2B5EF4-FFF2-40B4-BE49-F238E27FC236}">
                <a16:creationId xmlns:a16="http://schemas.microsoft.com/office/drawing/2014/main" id="{C8AE376E-D6F3-4318-B936-17FE0858E0E7}"/>
              </a:ext>
            </a:extLst>
          </xdr:cNvPr>
          <xdr:cNvSpPr/>
        </xdr:nvSpPr>
        <xdr:spPr>
          <a:xfrm>
            <a:off x="2815167" y="106893"/>
            <a:ext cx="2159487" cy="476250"/>
          </a:xfrm>
          <a:prstGeom prst="flowChartProcess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az-Latn-AZ" sz="2000">
                <a:solidFill>
                  <a:schemeClr val="accent6">
                    <a:lumMod val="50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Sifariş blankı</a:t>
            </a:r>
            <a:endParaRPr lang="en-US" sz="2000">
              <a:solidFill>
                <a:schemeClr val="accent6">
                  <a:lumMod val="5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endParaRPr>
          </a:p>
        </xdr:txBody>
      </xdr:sp>
      <xdr:sp macro="" textlink="">
        <xdr:nvSpPr>
          <xdr:cNvPr id="38" name="Akış Çizelgesi: İşlem 37">
            <a:extLst>
              <a:ext uri="{FF2B5EF4-FFF2-40B4-BE49-F238E27FC236}">
                <a16:creationId xmlns:a16="http://schemas.microsoft.com/office/drawing/2014/main" id="{0CBD8BD3-0AA9-4DB3-95AD-BA479A59C8F8}"/>
              </a:ext>
            </a:extLst>
          </xdr:cNvPr>
          <xdr:cNvSpPr/>
        </xdr:nvSpPr>
        <xdr:spPr>
          <a:xfrm>
            <a:off x="829733" y="0"/>
            <a:ext cx="2355850" cy="438150"/>
          </a:xfrm>
          <a:prstGeom prst="flowChartProcess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az-Latn-AZ" sz="3200">
                <a:solidFill>
                  <a:schemeClr val="accent6">
                    <a:lumMod val="50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AlumPro</a:t>
            </a:r>
            <a:endParaRPr lang="en-US" sz="4000">
              <a:solidFill>
                <a:schemeClr val="accent6">
                  <a:lumMod val="5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endParaRPr>
          </a:p>
        </xdr:txBody>
      </xdr:sp>
    </xdr:grpSp>
    <xdr:clientData/>
  </xdr:twoCellAnchor>
  <xdr:twoCellAnchor editAs="absolute">
    <xdr:from>
      <xdr:col>0</xdr:col>
      <xdr:colOff>38100</xdr:colOff>
      <xdr:row>0</xdr:row>
      <xdr:rowOff>828551</xdr:rowOff>
    </xdr:from>
    <xdr:to>
      <xdr:col>0</xdr:col>
      <xdr:colOff>476250</xdr:colOff>
      <xdr:row>2</xdr:row>
      <xdr:rowOff>209239</xdr:rowOff>
    </xdr:to>
    <xdr:pic macro="[0]!Login_Form_Open">
      <xdr:nvPicPr>
        <xdr:cNvPr id="3" name="Grafik 2" descr="Kullanıcı düz dolguyla">
          <a:extLst>
            <a:ext uri="{FF2B5EF4-FFF2-40B4-BE49-F238E27FC236}">
              <a16:creationId xmlns:a16="http://schemas.microsoft.com/office/drawing/2014/main" id="{54AB194E-0C64-0528-D10C-6A6E41C48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8100" y="828675"/>
          <a:ext cx="438150" cy="438150"/>
        </a:xfrm>
        <a:prstGeom prst="rect">
          <a:avLst/>
        </a:prstGeom>
      </xdr:spPr>
    </xdr:pic>
    <xdr:clientData/>
  </xdr:twoCellAnchor>
  <xdr:twoCellAnchor editAs="absolute">
    <xdr:from>
      <xdr:col>2</xdr:col>
      <xdr:colOff>38100</xdr:colOff>
      <xdr:row>1</xdr:row>
      <xdr:rowOff>69602</xdr:rowOff>
    </xdr:from>
    <xdr:to>
      <xdr:col>4</xdr:col>
      <xdr:colOff>605367</xdr:colOff>
      <xdr:row>2</xdr:row>
      <xdr:rowOff>195480</xdr:rowOff>
    </xdr:to>
    <xdr:sp macro="[0]!Login_Form_Open" textlink="">
      <xdr:nvSpPr>
        <xdr:cNvPr id="4" name="btn_yeniuser" hidden="1">
          <a:extLst>
            <a:ext uri="{FF2B5EF4-FFF2-40B4-BE49-F238E27FC236}">
              <a16:creationId xmlns:a16="http://schemas.microsoft.com/office/drawing/2014/main" id="{E346D039-419F-8837-8FFF-F1B3480F99ED}"/>
            </a:ext>
          </a:extLst>
        </xdr:cNvPr>
        <xdr:cNvSpPr/>
      </xdr:nvSpPr>
      <xdr:spPr>
        <a:xfrm>
          <a:off x="523875" y="914400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  dəyiş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12</xdr:col>
      <xdr:colOff>169334</xdr:colOff>
      <xdr:row>0</xdr:row>
      <xdr:rowOff>0</xdr:rowOff>
    </xdr:from>
    <xdr:to>
      <xdr:col>16</xdr:col>
      <xdr:colOff>725716</xdr:colOff>
      <xdr:row>1</xdr:row>
      <xdr:rowOff>47625</xdr:rowOff>
    </xdr:to>
    <xdr:grpSp>
      <xdr:nvGrpSpPr>
        <xdr:cNvPr id="9" name="Grup 8">
          <a:extLst>
            <a:ext uri="{FF2B5EF4-FFF2-40B4-BE49-F238E27FC236}">
              <a16:creationId xmlns:a16="http://schemas.microsoft.com/office/drawing/2014/main" id="{FAD89330-E1E1-40FD-A337-A1AFFF7FA866}"/>
            </a:ext>
          </a:extLst>
        </xdr:cNvPr>
        <xdr:cNvGrpSpPr/>
      </xdr:nvGrpSpPr>
      <xdr:grpSpPr>
        <a:xfrm>
          <a:off x="8637059" y="0"/>
          <a:ext cx="3499607" cy="885825"/>
          <a:chOff x="1302913" y="0"/>
          <a:chExt cx="3169882" cy="735542"/>
        </a:xfrm>
      </xdr:grpSpPr>
      <xdr:sp macro="" textlink="">
        <xdr:nvSpPr>
          <xdr:cNvPr id="16" name="Akış Çizelgesi: İşlem 15">
            <a:extLst>
              <a:ext uri="{FF2B5EF4-FFF2-40B4-BE49-F238E27FC236}">
                <a16:creationId xmlns:a16="http://schemas.microsoft.com/office/drawing/2014/main" id="{6A9BCA75-89CA-9755-1E69-BE26D5495B46}"/>
              </a:ext>
            </a:extLst>
          </xdr:cNvPr>
          <xdr:cNvSpPr/>
        </xdr:nvSpPr>
        <xdr:spPr>
          <a:xfrm>
            <a:off x="1331765" y="361950"/>
            <a:ext cx="1750379" cy="373592"/>
          </a:xfrm>
          <a:prstGeom prst="flowChartProcess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az-Latn-AZ" sz="1000">
                <a:solidFill>
                  <a:schemeClr val="accent6">
                    <a:lumMod val="50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Alüminium Profil Sistemləri</a:t>
            </a:r>
            <a:endParaRPr lang="en-US" sz="1000">
              <a:solidFill>
                <a:schemeClr val="accent6">
                  <a:lumMod val="5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endParaRPr>
          </a:p>
        </xdr:txBody>
      </xdr:sp>
      <xdr:sp macro="" textlink="">
        <xdr:nvSpPr>
          <xdr:cNvPr id="31" name="Akış Çizelgesi: İşlem 30">
            <a:extLst>
              <a:ext uri="{FF2B5EF4-FFF2-40B4-BE49-F238E27FC236}">
                <a16:creationId xmlns:a16="http://schemas.microsoft.com/office/drawing/2014/main" id="{FDD5BFFF-994B-9439-CB0A-2BF9480204F2}"/>
              </a:ext>
            </a:extLst>
          </xdr:cNvPr>
          <xdr:cNvSpPr/>
        </xdr:nvSpPr>
        <xdr:spPr>
          <a:xfrm>
            <a:off x="2993708" y="106893"/>
            <a:ext cx="1479087" cy="476250"/>
          </a:xfrm>
          <a:prstGeom prst="flowChartProcess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az-Latn-AZ" sz="1800">
                <a:solidFill>
                  <a:schemeClr val="accent6">
                    <a:lumMod val="50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Sifariş blankı</a:t>
            </a:r>
            <a:endParaRPr lang="en-US" sz="1800">
              <a:solidFill>
                <a:schemeClr val="accent6">
                  <a:lumMod val="5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endParaRPr>
          </a:p>
        </xdr:txBody>
      </xdr:sp>
      <xdr:sp macro="" textlink="">
        <xdr:nvSpPr>
          <xdr:cNvPr id="32" name="Akış Çizelgesi: İşlem 31">
            <a:extLst>
              <a:ext uri="{FF2B5EF4-FFF2-40B4-BE49-F238E27FC236}">
                <a16:creationId xmlns:a16="http://schemas.microsoft.com/office/drawing/2014/main" id="{A3640AC1-970D-3C05-B9AA-4A992CF5454E}"/>
              </a:ext>
            </a:extLst>
          </xdr:cNvPr>
          <xdr:cNvSpPr/>
        </xdr:nvSpPr>
        <xdr:spPr>
          <a:xfrm>
            <a:off x="1302913" y="0"/>
            <a:ext cx="1882670" cy="438150"/>
          </a:xfrm>
          <a:prstGeom prst="flowChartProcess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az-Latn-AZ" sz="3200">
                <a:solidFill>
                  <a:schemeClr val="accent6">
                    <a:lumMod val="50000"/>
                  </a:schemeClr>
                </a:solidFill>
                <a:latin typeface="Poppins" panose="00000500000000000000" pitchFamily="2" charset="0"/>
                <a:cs typeface="Poppins" panose="00000500000000000000" pitchFamily="2" charset="0"/>
              </a:rPr>
              <a:t>AlumPro</a:t>
            </a:r>
            <a:endParaRPr lang="en-US" sz="4000">
              <a:solidFill>
                <a:schemeClr val="accent6">
                  <a:lumMod val="5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0</xdr:row>
          <xdr:rowOff>38100</xdr:rowOff>
        </xdr:from>
        <xdr:to>
          <xdr:col>21</xdr:col>
          <xdr:colOff>375106</xdr:colOff>
          <xdr:row>0</xdr:row>
          <xdr:rowOff>656167</xdr:rowOff>
        </xdr:to>
        <xdr:grpSp>
          <xdr:nvGrpSpPr>
            <xdr:cNvPr id="2" name="Grup 1">
              <a:extLst>
                <a:ext uri="{FF2B5EF4-FFF2-40B4-BE49-F238E27FC236}">
                  <a16:creationId xmlns:a16="http://schemas.microsoft.com/office/drawing/2014/main" id="{AAEBC986-9DC1-81A4-6B8D-9F4964169C8A}"/>
                </a:ext>
              </a:extLst>
            </xdr:cNvPr>
            <xdr:cNvGrpSpPr/>
          </xdr:nvGrpSpPr>
          <xdr:grpSpPr>
            <a:xfrm>
              <a:off x="7105650" y="38100"/>
              <a:ext cx="10062031" cy="618067"/>
              <a:chOff x="7243236" y="38100"/>
              <a:chExt cx="10428154" cy="618067"/>
            </a:xfrm>
          </xdr:grpSpPr>
          <xdr:sp macro="" textlink="">
            <xdr:nvSpPr>
              <xdr:cNvPr id="1046" name="Button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7243236" y="38100"/>
                <a:ext cx="800100" cy="590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tr-TR" sz="1400" b="1" i="0" u="none" strike="noStrike" baseline="0">
                    <a:solidFill>
                      <a:srgbClr val="000000"/>
                    </a:solidFill>
                    <a:latin typeface="Aptos Narrow"/>
                  </a:rPr>
                  <a:t>PDF  kimi saxla</a:t>
                </a:r>
              </a:p>
            </xdr:txBody>
          </xdr:sp>
          <xdr:sp macro="" textlink="">
            <xdr:nvSpPr>
              <xdr:cNvPr id="1059" name="Button 35" hidden="1">
                <a:extLst>
                  <a:ext uri="{63B3BB69-23CF-44E3-9099-C40C66FF867C}">
                    <a14:compatExt spid="_x0000_s1059"/>
                  </a:ext>
                  <a:ext uri="{FF2B5EF4-FFF2-40B4-BE49-F238E27FC236}">
                    <a16:creationId xmlns:a16="http://schemas.microsoft.com/office/drawing/2014/main" id="{00000000-0008-0000-0000-000023040000}"/>
                  </a:ext>
                </a:extLst>
              </xdr:cNvPr>
              <xdr:cNvSpPr/>
            </xdr:nvSpPr>
            <xdr:spPr bwMode="auto">
              <a:xfrm>
                <a:off x="14887095" y="38100"/>
                <a:ext cx="781049" cy="5715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tr-TR" sz="1400" b="1" i="0" u="none" strike="noStrike" baseline="0">
                    <a:solidFill>
                      <a:srgbClr val="000000"/>
                    </a:solidFill>
                    <a:latin typeface="Aptos Narrow"/>
                  </a:rPr>
                  <a:t>PDF kimi saxla</a:t>
                </a:r>
              </a:p>
            </xdr:txBody>
          </xdr:sp>
          <xdr:sp macro="" textlink="">
            <xdr:nvSpPr>
              <xdr:cNvPr id="1066" name="Button 42" hidden="1">
                <a:extLst>
                  <a:ext uri="{63B3BB69-23CF-44E3-9099-C40C66FF867C}">
                    <a14:compatExt spid="_x0000_s1066"/>
                  </a:ext>
                  <a:ext uri="{FF2B5EF4-FFF2-40B4-BE49-F238E27FC236}">
                    <a16:creationId xmlns:a16="http://schemas.microsoft.com/office/drawing/2014/main" id="{00000000-0008-0000-0000-00002A040000}"/>
                  </a:ext>
                </a:extLst>
              </xdr:cNvPr>
              <xdr:cNvSpPr/>
            </xdr:nvSpPr>
            <xdr:spPr bwMode="auto">
              <a:xfrm>
                <a:off x="15832663" y="84666"/>
                <a:ext cx="1838727" cy="57150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tr-TR" sz="1600" b="1" i="0" u="none" strike="noStrike" baseline="0">
                    <a:solidFill>
                      <a:srgbClr val="000000"/>
                    </a:solidFill>
                    <a:latin typeface="Aptos Narrow"/>
                  </a:rPr>
                  <a:t>Sifarişi Yaddaşa ver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510540</xdr:colOff>
      <xdr:row>0</xdr:row>
      <xdr:rowOff>207646</xdr:rowOff>
    </xdr:from>
    <xdr:to>
      <xdr:col>9</xdr:col>
      <xdr:colOff>579120</xdr:colOff>
      <xdr:row>0</xdr:row>
      <xdr:rowOff>474345</xdr:rowOff>
    </xdr:to>
    <xdr:sp macro="[0]!sifaris1" textlink="">
      <xdr:nvSpPr>
        <xdr:cNvPr id="2" name="Düzbucaqlı: Yumuru Künclər 3">
          <a:extLst>
            <a:ext uri="{FF2B5EF4-FFF2-40B4-BE49-F238E27FC236}">
              <a16:creationId xmlns:a16="http://schemas.microsoft.com/office/drawing/2014/main" id="{24C1A6A6-6EE9-495F-9E8E-29C4BF320C95}"/>
            </a:ext>
          </a:extLst>
        </xdr:cNvPr>
        <xdr:cNvSpPr/>
      </xdr:nvSpPr>
      <xdr:spPr>
        <a:xfrm>
          <a:off x="7056120" y="207646"/>
          <a:ext cx="1295400" cy="266699"/>
        </a:xfrm>
        <a:prstGeom prst="roundRect">
          <a:avLst>
            <a:gd name="adj" fmla="val 50000"/>
          </a:avLst>
        </a:prstGeom>
        <a:noFill/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400" b="1">
              <a:solidFill>
                <a:schemeClr val="accent2">
                  <a:lumMod val="20000"/>
                  <a:lumOff val="80000"/>
                </a:schemeClr>
              </a:solidFill>
              <a:latin typeface="Calibri" panose="020F0502020204030204" pitchFamily="34" charset="0"/>
              <a:ea typeface="Artifakt Element Heavy" panose="020B0B03050000020004" pitchFamily="34" charset="-52"/>
              <a:cs typeface="Calibri" panose="020F0502020204030204" pitchFamily="34" charset="0"/>
            </a:rPr>
            <a:t>Yeni sifariş</a:t>
          </a:r>
          <a:endParaRPr lang="ru-RU" sz="1400" b="1">
            <a:solidFill>
              <a:schemeClr val="accent2">
                <a:lumMod val="20000"/>
                <a:lumOff val="80000"/>
              </a:schemeClr>
            </a:solidFill>
            <a:latin typeface="Calibri" panose="020F0502020204030204" pitchFamily="34" charset="0"/>
            <a:ea typeface="Artifakt Element Heavy" panose="020B0B03050000020004" pitchFamily="34" charset="-52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637225</xdr:colOff>
      <xdr:row>0</xdr:row>
      <xdr:rowOff>61913</xdr:rowOff>
    </xdr:from>
    <xdr:to>
      <xdr:col>8</xdr:col>
      <xdr:colOff>970598</xdr:colOff>
      <xdr:row>0</xdr:row>
      <xdr:rowOff>461963</xdr:rowOff>
    </xdr:to>
    <xdr:sp macro="" textlink="">
      <xdr:nvSpPr>
        <xdr:cNvPr id="3" name="Akış Çizelgesi: İşlem 2">
          <a:extLst>
            <a:ext uri="{FF2B5EF4-FFF2-40B4-BE49-F238E27FC236}">
              <a16:creationId xmlns:a16="http://schemas.microsoft.com/office/drawing/2014/main" id="{86A0AB7E-089C-4477-8874-799D3F976B46}"/>
            </a:ext>
          </a:extLst>
        </xdr:cNvPr>
        <xdr:cNvSpPr/>
      </xdr:nvSpPr>
      <xdr:spPr>
        <a:xfrm>
          <a:off x="4447225" y="61913"/>
          <a:ext cx="3068953" cy="400050"/>
        </a:xfrm>
        <a:prstGeom prst="flowChart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Sifari</a:t>
          </a:r>
          <a:r>
            <a:rPr lang="az-Latn-AZ" sz="20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şlər Cədvəli</a:t>
          </a:r>
          <a:endParaRPr lang="en-US" sz="2000">
            <a:solidFill>
              <a:schemeClr val="accent2">
                <a:lumMod val="20000"/>
                <a:lumOff val="80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>
    <xdr:from>
      <xdr:col>3</xdr:col>
      <xdr:colOff>609600</xdr:colOff>
      <xdr:row>0</xdr:row>
      <xdr:rowOff>342900</xdr:rowOff>
    </xdr:from>
    <xdr:to>
      <xdr:col>8</xdr:col>
      <xdr:colOff>114300</xdr:colOff>
      <xdr:row>0</xdr:row>
      <xdr:rowOff>590550</xdr:rowOff>
    </xdr:to>
    <xdr:sp macro="" textlink="">
      <xdr:nvSpPr>
        <xdr:cNvPr id="4" name="Akış Çizelgesi: İşlem 3">
          <a:extLst>
            <a:ext uri="{FF2B5EF4-FFF2-40B4-BE49-F238E27FC236}">
              <a16:creationId xmlns:a16="http://schemas.microsoft.com/office/drawing/2014/main" id="{A9A34541-EA3E-4E97-8C7F-9AC1EB25261D}"/>
            </a:ext>
          </a:extLst>
        </xdr:cNvPr>
        <xdr:cNvSpPr/>
      </xdr:nvSpPr>
      <xdr:spPr>
        <a:xfrm>
          <a:off x="1476375" y="342900"/>
          <a:ext cx="4676775" cy="247650"/>
        </a:xfrm>
        <a:prstGeom prst="flowChart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Alüminium Profil Sistemləri</a:t>
          </a:r>
          <a:endParaRPr lang="en-US" sz="1200">
            <a:solidFill>
              <a:schemeClr val="accent2">
                <a:lumMod val="20000"/>
                <a:lumOff val="80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>
    <xdr:from>
      <xdr:col>3</xdr:col>
      <xdr:colOff>666750</xdr:colOff>
      <xdr:row>0</xdr:row>
      <xdr:rowOff>9524</xdr:rowOff>
    </xdr:from>
    <xdr:to>
      <xdr:col>8</xdr:col>
      <xdr:colOff>209550</xdr:colOff>
      <xdr:row>0</xdr:row>
      <xdr:rowOff>457199</xdr:rowOff>
    </xdr:to>
    <xdr:sp macro="" textlink="">
      <xdr:nvSpPr>
        <xdr:cNvPr id="5" name="Akış Çizelgesi: İşlem 4">
          <a:extLst>
            <a:ext uri="{FF2B5EF4-FFF2-40B4-BE49-F238E27FC236}">
              <a16:creationId xmlns:a16="http://schemas.microsoft.com/office/drawing/2014/main" id="{B1A1C1C0-FC60-4A2E-A296-43AC3F9CC9C8}"/>
            </a:ext>
          </a:extLst>
        </xdr:cNvPr>
        <xdr:cNvSpPr/>
      </xdr:nvSpPr>
      <xdr:spPr>
        <a:xfrm>
          <a:off x="1533525" y="9524"/>
          <a:ext cx="4714875" cy="447675"/>
        </a:xfrm>
        <a:prstGeom prst="flowChart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az-Latn-AZ" sz="40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AlumPro</a:t>
          </a:r>
          <a:endParaRPr lang="en-US" sz="4000">
            <a:solidFill>
              <a:schemeClr val="accent2">
                <a:lumMod val="20000"/>
                <a:lumOff val="80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 editAs="absolute">
    <xdr:from>
      <xdr:col>0</xdr:col>
      <xdr:colOff>45225</xdr:colOff>
      <xdr:row>0</xdr:row>
      <xdr:rowOff>114300</xdr:rowOff>
    </xdr:from>
    <xdr:to>
      <xdr:col>0</xdr:col>
      <xdr:colOff>466725</xdr:colOff>
      <xdr:row>0</xdr:row>
      <xdr:rowOff>542925</xdr:rowOff>
    </xdr:to>
    <xdr:pic macro="[0]!OpenTheMenu">
      <xdr:nvPicPr>
        <xdr:cNvPr id="6" name="HamMenu_Open" descr="Veri tabanı düz dolguyla">
          <a:extLst>
            <a:ext uri="{FF2B5EF4-FFF2-40B4-BE49-F238E27FC236}">
              <a16:creationId xmlns:a16="http://schemas.microsoft.com/office/drawing/2014/main" id="{553174F5-E728-413D-B027-204E8F799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5225" y="114300"/>
          <a:ext cx="421500" cy="428625"/>
        </a:xfrm>
        <a:prstGeom prst="rect">
          <a:avLst/>
        </a:prstGeom>
      </xdr:spPr>
    </xdr:pic>
    <xdr:clientData/>
  </xdr:twoCellAnchor>
  <xdr:twoCellAnchor editAs="absolute">
    <xdr:from>
      <xdr:col>3</xdr:col>
      <xdr:colOff>457200</xdr:colOff>
      <xdr:row>0</xdr:row>
      <xdr:rowOff>38100</xdr:rowOff>
    </xdr:from>
    <xdr:to>
      <xdr:col>4</xdr:col>
      <xdr:colOff>123825</xdr:colOff>
      <xdr:row>0</xdr:row>
      <xdr:rowOff>581025</xdr:rowOff>
    </xdr:to>
    <xdr:pic macro="[0]!CloseTheMenu">
      <xdr:nvPicPr>
        <xdr:cNvPr id="7" name="HamMenu_Close" descr="Ok: Düz düz dolguyla" hidden="1">
          <a:extLst>
            <a:ext uri="{FF2B5EF4-FFF2-40B4-BE49-F238E27FC236}">
              <a16:creationId xmlns:a16="http://schemas.microsoft.com/office/drawing/2014/main" id="{75ACEA01-B92C-4D5D-A067-31DE85F8D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23975" y="38100"/>
          <a:ext cx="542925" cy="54292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5</xdr:row>
      <xdr:rowOff>89775</xdr:rowOff>
    </xdr:from>
    <xdr:to>
      <xdr:col>0</xdr:col>
      <xdr:colOff>447675</xdr:colOff>
      <xdr:row>7</xdr:row>
      <xdr:rowOff>104775</xdr:rowOff>
    </xdr:to>
    <xdr:pic>
      <xdr:nvPicPr>
        <xdr:cNvPr id="8" name="Grafik 7" descr="Kontrol listesi düz dolguyl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E231387-3A69-442C-A0D8-1DA507B3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5225" y="1489950"/>
          <a:ext cx="402450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23</xdr:row>
      <xdr:rowOff>83728</xdr:rowOff>
    </xdr:from>
    <xdr:to>
      <xdr:col>0</xdr:col>
      <xdr:colOff>438150</xdr:colOff>
      <xdr:row>26</xdr:row>
      <xdr:rowOff>10385</xdr:rowOff>
    </xdr:to>
    <xdr:pic>
      <xdr:nvPicPr>
        <xdr:cNvPr id="9" name="Grafik 8" descr="Kullanıcılar düz dolguyla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346DD19-A0B2-43F2-BD22-3D02FC0DF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25" y="4886233"/>
          <a:ext cx="392925" cy="490537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20</xdr:row>
      <xdr:rowOff>105015</xdr:rowOff>
    </xdr:from>
    <xdr:to>
      <xdr:col>0</xdr:col>
      <xdr:colOff>438150</xdr:colOff>
      <xdr:row>22</xdr:row>
      <xdr:rowOff>131445</xdr:rowOff>
    </xdr:to>
    <xdr:pic>
      <xdr:nvPicPr>
        <xdr:cNvPr id="10" name="Grafik 9" descr="Kilitle düz dolguyl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D847B29-4274-430B-AF3D-14F9BB906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4347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11</xdr:row>
      <xdr:rowOff>97395</xdr:rowOff>
    </xdr:from>
    <xdr:to>
      <xdr:col>0</xdr:col>
      <xdr:colOff>438150</xdr:colOff>
      <xdr:row>13</xdr:row>
      <xdr:rowOff>112395</xdr:rowOff>
    </xdr:to>
    <xdr:pic>
      <xdr:nvPicPr>
        <xdr:cNvPr id="11" name="Grafik 10" descr="Kilitle düz dolguyla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2F39FD9-B69A-4D76-925F-34BE52413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2632950"/>
          <a:ext cx="392925" cy="396000"/>
        </a:xfrm>
        <a:prstGeom prst="rect">
          <a:avLst/>
        </a:prstGeom>
      </xdr:spPr>
    </xdr:pic>
    <xdr:clientData/>
  </xdr:twoCellAnchor>
  <xdr:twoCellAnchor editAs="oneCell">
    <xdr:from>
      <xdr:col>7</xdr:col>
      <xdr:colOff>499687</xdr:colOff>
      <xdr:row>460</xdr:row>
      <xdr:rowOff>56289</xdr:rowOff>
    </xdr:from>
    <xdr:to>
      <xdr:col>7</xdr:col>
      <xdr:colOff>895687</xdr:colOff>
      <xdr:row>462</xdr:row>
      <xdr:rowOff>71289</xdr:rowOff>
    </xdr:to>
    <xdr:pic>
      <xdr:nvPicPr>
        <xdr:cNvPr id="12" name="Grafik 11" descr="Parmak izi düz dolguyla">
          <a:extLst>
            <a:ext uri="{FF2B5EF4-FFF2-40B4-BE49-F238E27FC236}">
              <a16:creationId xmlns:a16="http://schemas.microsoft.com/office/drawing/2014/main" id="{02732E12-395C-4C74-8D42-30234D5F7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95487" y="20906514"/>
          <a:ext cx="396000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8</xdr:row>
      <xdr:rowOff>89775</xdr:rowOff>
    </xdr:from>
    <xdr:to>
      <xdr:col>0</xdr:col>
      <xdr:colOff>438150</xdr:colOff>
      <xdr:row>10</xdr:row>
      <xdr:rowOff>112395</xdr:rowOff>
    </xdr:to>
    <xdr:pic>
      <xdr:nvPicPr>
        <xdr:cNvPr id="13" name="Grafik 12" descr="Tokalaşma düz dolguyl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AA9BE2C-2704-4B51-B1C3-55FAA5D8F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5225" y="2061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27</xdr:row>
      <xdr:rowOff>915</xdr:rowOff>
    </xdr:from>
    <xdr:to>
      <xdr:col>0</xdr:col>
      <xdr:colOff>428625</xdr:colOff>
      <xdr:row>29</xdr:row>
      <xdr:rowOff>25440</xdr:rowOff>
    </xdr:to>
    <xdr:pic>
      <xdr:nvPicPr>
        <xdr:cNvPr id="14" name="Grafik 13" descr="Tek Dişli düz dolguyla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2AB5565D-3828-479D-97CA-7D1CCB0F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35700" y="5557800"/>
          <a:ext cx="392925" cy="40552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14</xdr:row>
      <xdr:rowOff>97395</xdr:rowOff>
    </xdr:from>
    <xdr:to>
      <xdr:col>0</xdr:col>
      <xdr:colOff>438150</xdr:colOff>
      <xdr:row>16</xdr:row>
      <xdr:rowOff>112395</xdr:rowOff>
    </xdr:to>
    <xdr:pic>
      <xdr:nvPicPr>
        <xdr:cNvPr id="15" name="Grafik 14" descr="Yukarı yönlü eğilim düz dolguyla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ED19393-6497-45DC-9947-51F0494DF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45225" y="3204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5</xdr:row>
      <xdr:rowOff>171450</xdr:rowOff>
    </xdr:from>
    <xdr:to>
      <xdr:col>4</xdr:col>
      <xdr:colOff>247650</xdr:colOff>
      <xdr:row>7</xdr:row>
      <xdr:rowOff>104775</xdr:rowOff>
    </xdr:to>
    <xdr:sp macro="" textlink="">
      <xdr:nvSpPr>
        <xdr:cNvPr id="16" name="btn_blank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4D4A43E-B7DC-4B02-B446-AB16BBCF01C0}"/>
            </a:ext>
          </a:extLst>
        </xdr:cNvPr>
        <xdr:cNvSpPr/>
      </xdr:nvSpPr>
      <xdr:spPr>
        <a:xfrm>
          <a:off x="514350" y="1571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latin typeface="Segoe UI Semibold" panose="020B0702040204020203" pitchFamily="34" charset="0"/>
              <a:cs typeface="Segoe UI Semibold" panose="020B0702040204020203" pitchFamily="34" charset="0"/>
            </a:rPr>
            <a:t>  Blankı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8</xdr:row>
      <xdr:rowOff>171450</xdr:rowOff>
    </xdr:from>
    <xdr:to>
      <xdr:col>4</xdr:col>
      <xdr:colOff>247650</xdr:colOff>
      <xdr:row>10</xdr:row>
      <xdr:rowOff>112395</xdr:rowOff>
    </xdr:to>
    <xdr:sp macro="" textlink="">
      <xdr:nvSpPr>
        <xdr:cNvPr id="17" name="btn_sifaris" hidden="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81DD35D-4944-4A0E-B3AC-88A1351B4A38}"/>
            </a:ext>
          </a:extLst>
        </xdr:cNvPr>
        <xdr:cNvSpPr/>
      </xdr:nvSpPr>
      <xdr:spPr>
        <a:xfrm>
          <a:off x="514350" y="2143125"/>
          <a:ext cx="1476375" cy="3143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lər</a:t>
          </a:r>
          <a:endParaRPr lang="ru-RU" sz="1200">
            <a:solidFill>
              <a:schemeClr val="accent2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21</xdr:row>
      <xdr:rowOff>3810</xdr:rowOff>
    </xdr:from>
    <xdr:to>
      <xdr:col>4</xdr:col>
      <xdr:colOff>247650</xdr:colOff>
      <xdr:row>22</xdr:row>
      <xdr:rowOff>131445</xdr:rowOff>
    </xdr:to>
    <xdr:sp macro="" textlink="">
      <xdr:nvSpPr>
        <xdr:cNvPr id="18" name="btn_anbar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6EAD353-119B-4A6B-A814-22E303BAF0B3}"/>
            </a:ext>
          </a:extLst>
        </xdr:cNvPr>
        <xdr:cNvSpPr/>
      </xdr:nvSpPr>
      <xdr:spPr>
        <a:xfrm>
          <a:off x="514350" y="4429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Anbar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11</xdr:row>
      <xdr:rowOff>179070</xdr:rowOff>
    </xdr:from>
    <xdr:to>
      <xdr:col>4</xdr:col>
      <xdr:colOff>247650</xdr:colOff>
      <xdr:row>13</xdr:row>
      <xdr:rowOff>112395</xdr:rowOff>
    </xdr:to>
    <xdr:sp macro="" textlink="">
      <xdr:nvSpPr>
        <xdr:cNvPr id="19" name="btn_suse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CFD2EDA-13F8-4FC4-BC07-A6C4E7BDBDD4}"/>
            </a:ext>
          </a:extLst>
        </xdr:cNvPr>
        <xdr:cNvSpPr/>
      </xdr:nvSpPr>
      <xdr:spPr>
        <a:xfrm>
          <a:off x="514350" y="2714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Şüşə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14</xdr:row>
      <xdr:rowOff>179070</xdr:rowOff>
    </xdr:from>
    <xdr:to>
      <xdr:col>4</xdr:col>
      <xdr:colOff>247650</xdr:colOff>
      <xdr:row>16</xdr:row>
      <xdr:rowOff>112395</xdr:rowOff>
    </xdr:to>
    <xdr:sp macro="" textlink="">
      <xdr:nvSpPr>
        <xdr:cNvPr id="20" name="btn_dash" hidden="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B9B428AC-22D8-45F3-9564-EA6D503D8E70}"/>
            </a:ext>
          </a:extLst>
        </xdr:cNvPr>
        <xdr:cNvSpPr/>
      </xdr:nvSpPr>
      <xdr:spPr>
        <a:xfrm>
          <a:off x="514350" y="3286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Ümumi </a:t>
          </a:r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Statistika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17</xdr:row>
      <xdr:rowOff>179070</xdr:rowOff>
    </xdr:from>
    <xdr:to>
      <xdr:col>4</xdr:col>
      <xdr:colOff>247650</xdr:colOff>
      <xdr:row>19</xdr:row>
      <xdr:rowOff>120015</xdr:rowOff>
    </xdr:to>
    <xdr:sp macro="" textlink="">
      <xdr:nvSpPr>
        <xdr:cNvPr id="21" name="btn_info" hidden="1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FADC237-A2CB-48B5-8342-FE55118F24C1}"/>
            </a:ext>
          </a:extLst>
        </xdr:cNvPr>
        <xdr:cNvSpPr/>
      </xdr:nvSpPr>
      <xdr:spPr>
        <a:xfrm>
          <a:off x="514350" y="3857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Məlumatlar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24</xdr:row>
      <xdr:rowOff>64678</xdr:rowOff>
    </xdr:from>
    <xdr:to>
      <xdr:col>4</xdr:col>
      <xdr:colOff>247650</xdr:colOff>
      <xdr:row>26</xdr:row>
      <xdr:rowOff>10385</xdr:rowOff>
    </xdr:to>
    <xdr:sp macro="" textlink="">
      <xdr:nvSpPr>
        <xdr:cNvPr id="22" name="btn_user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E077416-B4A6-4E4A-AEA3-8E2FAF909497}"/>
            </a:ext>
          </a:extLst>
        </xdr:cNvPr>
        <xdr:cNvSpPr/>
      </xdr:nvSpPr>
      <xdr:spPr>
        <a:xfrm>
          <a:off x="514350" y="5057683"/>
          <a:ext cx="1476375" cy="3190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İstifadəçilər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27</xdr:row>
      <xdr:rowOff>74970</xdr:rowOff>
    </xdr:from>
    <xdr:to>
      <xdr:col>4</xdr:col>
      <xdr:colOff>247650</xdr:colOff>
      <xdr:row>29</xdr:row>
      <xdr:rowOff>25440</xdr:rowOff>
    </xdr:to>
    <xdr:sp macro="" textlink="">
      <xdr:nvSpPr>
        <xdr:cNvPr id="23" name="btn_ayar" hidden="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C2D4D314-956F-401F-9F84-3FA1876486D0}"/>
            </a:ext>
          </a:extLst>
        </xdr:cNvPr>
        <xdr:cNvSpPr/>
      </xdr:nvSpPr>
      <xdr:spPr>
        <a:xfrm>
          <a:off x="514350" y="5639475"/>
          <a:ext cx="1476375" cy="323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Ayarlar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0</xdr:col>
      <xdr:colOff>45225</xdr:colOff>
      <xdr:row>17</xdr:row>
      <xdr:rowOff>97395</xdr:rowOff>
    </xdr:from>
    <xdr:to>
      <xdr:col>0</xdr:col>
      <xdr:colOff>438150</xdr:colOff>
      <xdr:row>19</xdr:row>
      <xdr:rowOff>120015</xdr:rowOff>
    </xdr:to>
    <xdr:pic>
      <xdr:nvPicPr>
        <xdr:cNvPr id="24" name="Grafik 23" descr="Ampul düz dolguyla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4A83617-226E-4A65-AACA-C353030CB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45225" y="3775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29</xdr:row>
      <xdr:rowOff>138570</xdr:rowOff>
    </xdr:from>
    <xdr:to>
      <xdr:col>0</xdr:col>
      <xdr:colOff>428625</xdr:colOff>
      <xdr:row>31</xdr:row>
      <xdr:rowOff>163095</xdr:rowOff>
    </xdr:to>
    <xdr:pic macro="[0]!Cixis_Click">
      <xdr:nvPicPr>
        <xdr:cNvPr id="25" name="Grafik 24" descr="Çalıştır düz dolguyla">
          <a:extLst>
            <a:ext uri="{FF2B5EF4-FFF2-40B4-BE49-F238E27FC236}">
              <a16:creationId xmlns:a16="http://schemas.microsoft.com/office/drawing/2014/main" id="{566DF207-0523-4E9E-BD2A-C0359866C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35700" y="6084075"/>
          <a:ext cx="392925" cy="405525"/>
        </a:xfrm>
        <a:prstGeom prst="rect">
          <a:avLst/>
        </a:prstGeom>
      </xdr:spPr>
    </xdr:pic>
    <xdr:clientData/>
  </xdr:twoCellAnchor>
  <xdr:twoCellAnchor editAs="absolute">
    <xdr:from>
      <xdr:col>2</xdr:col>
      <xdr:colOff>19050</xdr:colOff>
      <xdr:row>30</xdr:row>
      <xdr:rowOff>42127</xdr:rowOff>
    </xdr:from>
    <xdr:to>
      <xdr:col>4</xdr:col>
      <xdr:colOff>238125</xdr:colOff>
      <xdr:row>31</xdr:row>
      <xdr:rowOff>163095</xdr:rowOff>
    </xdr:to>
    <xdr:sp macro="[0]!Cixis_Click" textlink="">
      <xdr:nvSpPr>
        <xdr:cNvPr id="26" name="btn_exit" hidden="1">
          <a:extLst>
            <a:ext uri="{FF2B5EF4-FFF2-40B4-BE49-F238E27FC236}">
              <a16:creationId xmlns:a16="http://schemas.microsoft.com/office/drawing/2014/main" id="{300B1556-098A-492C-896E-C2229576BCD7}"/>
            </a:ext>
          </a:extLst>
        </xdr:cNvPr>
        <xdr:cNvSpPr/>
      </xdr:nvSpPr>
      <xdr:spPr>
        <a:xfrm>
          <a:off x="504825" y="6170512"/>
          <a:ext cx="1476375" cy="3190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Çıxış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66675</xdr:rowOff>
    </xdr:from>
    <xdr:to>
      <xdr:col>0</xdr:col>
      <xdr:colOff>438150</xdr:colOff>
      <xdr:row>3</xdr:row>
      <xdr:rowOff>114300</xdr:rowOff>
    </xdr:to>
    <xdr:pic macro="[0]!Login_Form_Open">
      <xdr:nvPicPr>
        <xdr:cNvPr id="27" name="Grafik 26" descr="Kullanıcı düz dolguyla">
          <a:extLst>
            <a:ext uri="{FF2B5EF4-FFF2-40B4-BE49-F238E27FC236}">
              <a16:creationId xmlns:a16="http://schemas.microsoft.com/office/drawing/2014/main" id="{F418FB11-C0E2-42F4-9E95-42D9225AE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695325"/>
          <a:ext cx="438150" cy="43815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114300</xdr:rowOff>
    </xdr:from>
    <xdr:to>
      <xdr:col>4</xdr:col>
      <xdr:colOff>219075</xdr:colOff>
      <xdr:row>4</xdr:row>
      <xdr:rowOff>47625</xdr:rowOff>
    </xdr:to>
    <xdr:sp macro="[0]!Login_Form_Open" textlink="">
      <xdr:nvSpPr>
        <xdr:cNvPr id="28" name="btn_yeniuser" hidden="1">
          <a:extLst>
            <a:ext uri="{FF2B5EF4-FFF2-40B4-BE49-F238E27FC236}">
              <a16:creationId xmlns:a16="http://schemas.microsoft.com/office/drawing/2014/main" id="{FAEC1723-FBF2-4BA7-A740-6DF87172D6C8}"/>
            </a:ext>
          </a:extLst>
        </xdr:cNvPr>
        <xdr:cNvSpPr/>
      </xdr:nvSpPr>
      <xdr:spPr>
        <a:xfrm>
          <a:off x="485775" y="94297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  dəyiş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33</xdr:col>
      <xdr:colOff>472440</xdr:colOff>
      <xdr:row>0</xdr:row>
      <xdr:rowOff>167640</xdr:rowOff>
    </xdr:from>
    <xdr:to>
      <xdr:col>35</xdr:col>
      <xdr:colOff>76200</xdr:colOff>
      <xdr:row>0</xdr:row>
      <xdr:rowOff>464820</xdr:rowOff>
    </xdr:to>
    <xdr:sp macro="[0]!YENILE1" textlink="">
      <xdr:nvSpPr>
        <xdr:cNvPr id="29" name="Dikdörtgen 28">
          <a:extLst>
            <a:ext uri="{FF2B5EF4-FFF2-40B4-BE49-F238E27FC236}">
              <a16:creationId xmlns:a16="http://schemas.microsoft.com/office/drawing/2014/main" id="{B91E2F1D-41E4-B77E-2DEB-855A4A527881}"/>
            </a:ext>
          </a:extLst>
        </xdr:cNvPr>
        <xdr:cNvSpPr/>
      </xdr:nvSpPr>
      <xdr:spPr>
        <a:xfrm>
          <a:off x="31699200" y="167640"/>
          <a:ext cx="1363980" cy="29718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 kern="1200"/>
            <a:t>M</a:t>
          </a:r>
          <a:r>
            <a:rPr lang="az-Latn-AZ" sz="1100" b="1" kern="1200"/>
            <a:t>əlumatları yenilə</a:t>
          </a:r>
          <a:endParaRPr lang="tr-TR" sz="1100" b="1" kern="1200"/>
        </a:p>
      </xdr:txBody>
    </xdr:sp>
    <xdr:clientData/>
  </xdr:twoCellAnchor>
  <xdr:twoCellAnchor>
    <xdr:from>
      <xdr:col>9</xdr:col>
      <xdr:colOff>815340</xdr:colOff>
      <xdr:row>0</xdr:row>
      <xdr:rowOff>198120</xdr:rowOff>
    </xdr:from>
    <xdr:to>
      <xdr:col>10</xdr:col>
      <xdr:colOff>205740</xdr:colOff>
      <xdr:row>0</xdr:row>
      <xdr:rowOff>518160</xdr:rowOff>
    </xdr:to>
    <xdr:grpSp>
      <xdr:nvGrpSpPr>
        <xdr:cNvPr id="33" name="Grup 32">
          <a:extLst>
            <a:ext uri="{FF2B5EF4-FFF2-40B4-BE49-F238E27FC236}">
              <a16:creationId xmlns:a16="http://schemas.microsoft.com/office/drawing/2014/main" id="{9DF82503-4542-C2BB-11CE-FEDC734EB265}"/>
            </a:ext>
          </a:extLst>
        </xdr:cNvPr>
        <xdr:cNvGrpSpPr/>
      </xdr:nvGrpSpPr>
      <xdr:grpSpPr>
        <a:xfrm>
          <a:off x="8368665" y="198120"/>
          <a:ext cx="952500" cy="320040"/>
          <a:chOff x="8587740" y="198120"/>
          <a:chExt cx="914400" cy="320040"/>
        </a:xfrm>
      </xdr:grpSpPr>
      <xdr:sp macro="" textlink="">
        <xdr:nvSpPr>
          <xdr:cNvPr id="30" name="Dikdörtgen 29">
            <a:extLst>
              <a:ext uri="{FF2B5EF4-FFF2-40B4-BE49-F238E27FC236}">
                <a16:creationId xmlns:a16="http://schemas.microsoft.com/office/drawing/2014/main" id="{2623B5FA-5E26-D4FC-3846-15A23955939E}"/>
              </a:ext>
            </a:extLst>
          </xdr:cNvPr>
          <xdr:cNvSpPr/>
        </xdr:nvSpPr>
        <xdr:spPr>
          <a:xfrm>
            <a:off x="8587740" y="198120"/>
            <a:ext cx="914400" cy="320040"/>
          </a:xfrm>
          <a:prstGeom prst="rect">
            <a:avLst/>
          </a:prstGeom>
          <a:solidFill>
            <a:schemeClr val="accent2">
              <a:lumMod val="7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kern="1200"/>
              <a:t>Axtar</a:t>
            </a:r>
            <a:endParaRPr lang="tr-TR" sz="1600" kern="1200"/>
          </a:p>
        </xdr:txBody>
      </xdr:sp>
      <xdr:pic>
        <xdr:nvPicPr>
          <xdr:cNvPr id="32" name="Grafik 31" descr="Büyüteç düz dolguyla">
            <a:extLst>
              <a:ext uri="{FF2B5EF4-FFF2-40B4-BE49-F238E27FC236}">
                <a16:creationId xmlns:a16="http://schemas.microsoft.com/office/drawing/2014/main" id="{8AEE577A-FD71-F87A-DA88-1067B0A4CE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>
            <a:extLst>
              <a:ext uri="{96DAC541-7B7A-43D3-8B79-37D633B846F1}">
                <asvg:svgBlip xmlns:asvg="http://schemas.microsoft.com/office/drawing/2016/SVG/main" r:embed="rId34"/>
              </a:ext>
            </a:extLst>
          </a:blip>
          <a:stretch>
            <a:fillRect/>
          </a:stretch>
        </xdr:blipFill>
        <xdr:spPr>
          <a:xfrm>
            <a:off x="9121140" y="213360"/>
            <a:ext cx="304800" cy="3048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0</xdr:row>
          <xdr:rowOff>190500</xdr:rowOff>
        </xdr:from>
        <xdr:to>
          <xdr:col>11</xdr:col>
          <xdr:colOff>1190625</xdr:colOff>
          <xdr:row>0</xdr:row>
          <xdr:rowOff>514350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45225</xdr:colOff>
      <xdr:row>0</xdr:row>
      <xdr:rowOff>114300</xdr:rowOff>
    </xdr:from>
    <xdr:to>
      <xdr:col>0</xdr:col>
      <xdr:colOff>466725</xdr:colOff>
      <xdr:row>0</xdr:row>
      <xdr:rowOff>542925</xdr:rowOff>
    </xdr:to>
    <xdr:pic macro="[0]!OpenTheMenu">
      <xdr:nvPicPr>
        <xdr:cNvPr id="10" name="HamMenu_Open" descr="Veri tabanı düz dolguyla">
          <a:extLst>
            <a:ext uri="{FF2B5EF4-FFF2-40B4-BE49-F238E27FC236}">
              <a16:creationId xmlns:a16="http://schemas.microsoft.com/office/drawing/2014/main" id="{97A3C75C-D5FF-4608-B181-A6CC54793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5225" y="114300"/>
          <a:ext cx="421500" cy="428625"/>
        </a:xfrm>
        <a:prstGeom prst="rect">
          <a:avLst/>
        </a:prstGeom>
      </xdr:spPr>
    </xdr:pic>
    <xdr:clientData/>
  </xdr:twoCellAnchor>
  <xdr:twoCellAnchor editAs="absolute">
    <xdr:from>
      <xdr:col>3</xdr:col>
      <xdr:colOff>457200</xdr:colOff>
      <xdr:row>0</xdr:row>
      <xdr:rowOff>38100</xdr:rowOff>
    </xdr:from>
    <xdr:to>
      <xdr:col>3</xdr:col>
      <xdr:colOff>1000125</xdr:colOff>
      <xdr:row>0</xdr:row>
      <xdr:rowOff>581025</xdr:rowOff>
    </xdr:to>
    <xdr:pic macro="[0]!CloseTheMenu">
      <xdr:nvPicPr>
        <xdr:cNvPr id="11" name="HamMenu_Close" descr="Ok: Düz düz dolguyla" hidden="1">
          <a:extLst>
            <a:ext uri="{FF2B5EF4-FFF2-40B4-BE49-F238E27FC236}">
              <a16:creationId xmlns:a16="http://schemas.microsoft.com/office/drawing/2014/main" id="{3393B786-4B53-44FE-B1D6-DAE14E4593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23975" y="38100"/>
          <a:ext cx="542925" cy="54292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5</xdr:row>
      <xdr:rowOff>0</xdr:rowOff>
    </xdr:from>
    <xdr:to>
      <xdr:col>0</xdr:col>
      <xdr:colOff>447675</xdr:colOff>
      <xdr:row>6</xdr:row>
      <xdr:rowOff>160020</xdr:rowOff>
    </xdr:to>
    <xdr:pic>
      <xdr:nvPicPr>
        <xdr:cNvPr id="12" name="Grafik 11" descr="Kontrol listesi düz dolguyl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0B526D-0F0A-4690-B82A-03782352E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5225" y="1489950"/>
          <a:ext cx="402450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22</xdr:row>
      <xdr:rowOff>83728</xdr:rowOff>
    </xdr:from>
    <xdr:to>
      <xdr:col>0</xdr:col>
      <xdr:colOff>438150</xdr:colOff>
      <xdr:row>25</xdr:row>
      <xdr:rowOff>0</xdr:rowOff>
    </xdr:to>
    <xdr:pic>
      <xdr:nvPicPr>
        <xdr:cNvPr id="13" name="Grafik 12" descr="Kullanıcılar düz dolguyla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C879580-F2EF-49A0-8256-DA235A543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25" y="4886233"/>
          <a:ext cx="392925" cy="48577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19</xdr:row>
      <xdr:rowOff>116445</xdr:rowOff>
    </xdr:from>
    <xdr:to>
      <xdr:col>0</xdr:col>
      <xdr:colOff>438150</xdr:colOff>
      <xdr:row>21</xdr:row>
      <xdr:rowOff>131445</xdr:rowOff>
    </xdr:to>
    <xdr:pic>
      <xdr:nvPicPr>
        <xdr:cNvPr id="14" name="Grafik 13" descr="Kilitle düz dolguyl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ECDD587-A227-45C2-941F-62CAE1D55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4347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10</xdr:row>
      <xdr:rowOff>116445</xdr:rowOff>
    </xdr:from>
    <xdr:to>
      <xdr:col>0</xdr:col>
      <xdr:colOff>438150</xdr:colOff>
      <xdr:row>12</xdr:row>
      <xdr:rowOff>131445</xdr:rowOff>
    </xdr:to>
    <xdr:pic>
      <xdr:nvPicPr>
        <xdr:cNvPr id="15" name="Grafik 14" descr="Kilitle düz dolguyla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75AD746-6F5E-4F0A-B2AA-EC3EA2FB4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2632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7</xdr:row>
      <xdr:rowOff>116445</xdr:rowOff>
    </xdr:from>
    <xdr:to>
      <xdr:col>0</xdr:col>
      <xdr:colOff>438150</xdr:colOff>
      <xdr:row>9</xdr:row>
      <xdr:rowOff>131445</xdr:rowOff>
    </xdr:to>
    <xdr:pic>
      <xdr:nvPicPr>
        <xdr:cNvPr id="17" name="Grafik 16" descr="Tokalaşma düz dolguyl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4BB70D3-798E-49BF-B5EC-3AB7DDD4E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5225" y="2061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25</xdr:row>
      <xdr:rowOff>174270</xdr:rowOff>
    </xdr:from>
    <xdr:to>
      <xdr:col>0</xdr:col>
      <xdr:colOff>428625</xdr:colOff>
      <xdr:row>28</xdr:row>
      <xdr:rowOff>0</xdr:rowOff>
    </xdr:to>
    <xdr:pic>
      <xdr:nvPicPr>
        <xdr:cNvPr id="18" name="Grafik 17" descr="Tek Dişli düz dolguyla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69F51BB-0B15-49A3-ACBC-323F46B13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35700" y="554827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13</xdr:row>
      <xdr:rowOff>116445</xdr:rowOff>
    </xdr:from>
    <xdr:to>
      <xdr:col>0</xdr:col>
      <xdr:colOff>438150</xdr:colOff>
      <xdr:row>15</xdr:row>
      <xdr:rowOff>131445</xdr:rowOff>
    </xdr:to>
    <xdr:pic>
      <xdr:nvPicPr>
        <xdr:cNvPr id="19" name="Grafik 18" descr="Yukarı yönlü eğilim düz dolguyla">
          <a:extLst>
            <a:ext uri="{FF2B5EF4-FFF2-40B4-BE49-F238E27FC236}">
              <a16:creationId xmlns:a16="http://schemas.microsoft.com/office/drawing/2014/main" id="{609441BD-173C-42E2-A297-7B7AC9255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5225" y="3204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5</xdr:row>
      <xdr:rowOff>64770</xdr:rowOff>
    </xdr:from>
    <xdr:to>
      <xdr:col>3</xdr:col>
      <xdr:colOff>1123950</xdr:colOff>
      <xdr:row>6</xdr:row>
      <xdr:rowOff>160020</xdr:rowOff>
    </xdr:to>
    <xdr:sp macro="" textlink="">
      <xdr:nvSpPr>
        <xdr:cNvPr id="20" name="btn_blank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507E63A-F2FF-467B-A2D6-87568F0F3FD8}"/>
            </a:ext>
          </a:extLst>
        </xdr:cNvPr>
        <xdr:cNvSpPr/>
      </xdr:nvSpPr>
      <xdr:spPr>
        <a:xfrm>
          <a:off x="514350" y="1571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latin typeface="Segoe UI Semibold" panose="020B0702040204020203" pitchFamily="34" charset="0"/>
              <a:cs typeface="Segoe UI Semibold" panose="020B0702040204020203" pitchFamily="34" charset="0"/>
            </a:rPr>
            <a:t>  Blankı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8</xdr:row>
      <xdr:rowOff>7620</xdr:rowOff>
    </xdr:from>
    <xdr:to>
      <xdr:col>3</xdr:col>
      <xdr:colOff>1123950</xdr:colOff>
      <xdr:row>9</xdr:row>
      <xdr:rowOff>131445</xdr:rowOff>
    </xdr:to>
    <xdr:sp macro="" textlink="">
      <xdr:nvSpPr>
        <xdr:cNvPr id="21" name="btn_sifaris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EE47AFF-2998-497F-BEC8-169B00A18B19}"/>
            </a:ext>
          </a:extLst>
        </xdr:cNvPr>
        <xdr:cNvSpPr/>
      </xdr:nvSpPr>
      <xdr:spPr>
        <a:xfrm>
          <a:off x="514350" y="2143125"/>
          <a:ext cx="1476375" cy="3143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lər</a:t>
          </a:r>
          <a:endParaRPr lang="ru-RU" sz="1200">
            <a:solidFill>
              <a:schemeClr val="accent2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20</xdr:row>
      <xdr:rowOff>7620</xdr:rowOff>
    </xdr:from>
    <xdr:to>
      <xdr:col>3</xdr:col>
      <xdr:colOff>1123950</xdr:colOff>
      <xdr:row>21</xdr:row>
      <xdr:rowOff>131445</xdr:rowOff>
    </xdr:to>
    <xdr:sp macro="" textlink="">
      <xdr:nvSpPr>
        <xdr:cNvPr id="22" name="btn_anbar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24529B3-78AD-4951-AAB7-00F783B368B0}"/>
            </a:ext>
          </a:extLst>
        </xdr:cNvPr>
        <xdr:cNvSpPr/>
      </xdr:nvSpPr>
      <xdr:spPr>
        <a:xfrm>
          <a:off x="514350" y="4429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Anbar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11</xdr:row>
      <xdr:rowOff>7620</xdr:rowOff>
    </xdr:from>
    <xdr:to>
      <xdr:col>3</xdr:col>
      <xdr:colOff>1123950</xdr:colOff>
      <xdr:row>12</xdr:row>
      <xdr:rowOff>131445</xdr:rowOff>
    </xdr:to>
    <xdr:sp macro="" textlink="">
      <xdr:nvSpPr>
        <xdr:cNvPr id="23" name="btn_suse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94E85C3-B5C5-441C-9810-E5BEAA2F5083}"/>
            </a:ext>
          </a:extLst>
        </xdr:cNvPr>
        <xdr:cNvSpPr/>
      </xdr:nvSpPr>
      <xdr:spPr>
        <a:xfrm>
          <a:off x="514350" y="2714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Şüşə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14</xdr:row>
      <xdr:rowOff>7620</xdr:rowOff>
    </xdr:from>
    <xdr:to>
      <xdr:col>3</xdr:col>
      <xdr:colOff>1123950</xdr:colOff>
      <xdr:row>15</xdr:row>
      <xdr:rowOff>131445</xdr:rowOff>
    </xdr:to>
    <xdr:sp macro="" textlink="">
      <xdr:nvSpPr>
        <xdr:cNvPr id="24" name="btn_dash" hidden="1">
          <a:extLst>
            <a:ext uri="{FF2B5EF4-FFF2-40B4-BE49-F238E27FC236}">
              <a16:creationId xmlns:a16="http://schemas.microsoft.com/office/drawing/2014/main" id="{CA4F5132-E086-4918-9047-7893161C64D0}"/>
            </a:ext>
          </a:extLst>
        </xdr:cNvPr>
        <xdr:cNvSpPr/>
      </xdr:nvSpPr>
      <xdr:spPr>
        <a:xfrm>
          <a:off x="514350" y="3286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Ümumi Məlumat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17</xdr:row>
      <xdr:rowOff>7620</xdr:rowOff>
    </xdr:from>
    <xdr:to>
      <xdr:col>3</xdr:col>
      <xdr:colOff>1123950</xdr:colOff>
      <xdr:row>18</xdr:row>
      <xdr:rowOff>131445</xdr:rowOff>
    </xdr:to>
    <xdr:sp macro="" textlink="">
      <xdr:nvSpPr>
        <xdr:cNvPr id="25" name="btn_info" hidden="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E5EDEE53-9E15-4978-B573-F220F0F42C3E}"/>
            </a:ext>
          </a:extLst>
        </xdr:cNvPr>
        <xdr:cNvSpPr/>
      </xdr:nvSpPr>
      <xdr:spPr>
        <a:xfrm>
          <a:off x="514350" y="3857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Məlumatlar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23</xdr:row>
      <xdr:rowOff>64678</xdr:rowOff>
    </xdr:from>
    <xdr:to>
      <xdr:col>3</xdr:col>
      <xdr:colOff>1123950</xdr:colOff>
      <xdr:row>25</xdr:row>
      <xdr:rowOff>0</xdr:rowOff>
    </xdr:to>
    <xdr:sp macro="" textlink="">
      <xdr:nvSpPr>
        <xdr:cNvPr id="26" name="btn_user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6711FC0-2A60-446E-87F5-72C4CCBF1149}"/>
            </a:ext>
          </a:extLst>
        </xdr:cNvPr>
        <xdr:cNvSpPr/>
      </xdr:nvSpPr>
      <xdr:spPr>
        <a:xfrm>
          <a:off x="514350" y="5057683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İstifadəçilər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26</xdr:row>
      <xdr:rowOff>65445</xdr:rowOff>
    </xdr:from>
    <xdr:to>
      <xdr:col>3</xdr:col>
      <xdr:colOff>1123950</xdr:colOff>
      <xdr:row>28</xdr:row>
      <xdr:rowOff>0</xdr:rowOff>
    </xdr:to>
    <xdr:sp macro="" textlink="">
      <xdr:nvSpPr>
        <xdr:cNvPr id="27" name="btn_ayar" hidden="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30C5AC4-5815-4F8F-8D92-4406344ADD7A}"/>
            </a:ext>
          </a:extLst>
        </xdr:cNvPr>
        <xdr:cNvSpPr/>
      </xdr:nvSpPr>
      <xdr:spPr>
        <a:xfrm>
          <a:off x="514350" y="562995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Ayarlar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0</xdr:col>
      <xdr:colOff>45225</xdr:colOff>
      <xdr:row>16</xdr:row>
      <xdr:rowOff>116445</xdr:rowOff>
    </xdr:from>
    <xdr:to>
      <xdr:col>0</xdr:col>
      <xdr:colOff>438150</xdr:colOff>
      <xdr:row>18</xdr:row>
      <xdr:rowOff>131445</xdr:rowOff>
    </xdr:to>
    <xdr:pic>
      <xdr:nvPicPr>
        <xdr:cNvPr id="28" name="Grafik 27" descr="Ampul düz dolguyla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E45BC660-DEC1-4406-879F-22D62F5C0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45225" y="3775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28</xdr:row>
      <xdr:rowOff>119520</xdr:rowOff>
    </xdr:from>
    <xdr:to>
      <xdr:col>0</xdr:col>
      <xdr:colOff>428625</xdr:colOff>
      <xdr:row>30</xdr:row>
      <xdr:rowOff>134520</xdr:rowOff>
    </xdr:to>
    <xdr:pic macro="[0]!Cixis_Click">
      <xdr:nvPicPr>
        <xdr:cNvPr id="29" name="Grafik 28" descr="Çalıştır düz dolguyla">
          <a:extLst>
            <a:ext uri="{FF2B5EF4-FFF2-40B4-BE49-F238E27FC236}">
              <a16:creationId xmlns:a16="http://schemas.microsoft.com/office/drawing/2014/main" id="{07CCEC59-4B6D-46E1-A942-A215531B8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700" y="606502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19050</xdr:colOff>
      <xdr:row>29</xdr:row>
      <xdr:rowOff>10695</xdr:rowOff>
    </xdr:from>
    <xdr:to>
      <xdr:col>3</xdr:col>
      <xdr:colOff>1114425</xdr:colOff>
      <xdr:row>30</xdr:row>
      <xdr:rowOff>134520</xdr:rowOff>
    </xdr:to>
    <xdr:sp macro="[0]!Cixis_Click" textlink="">
      <xdr:nvSpPr>
        <xdr:cNvPr id="30" name="btn_exit" hidden="1">
          <a:extLst>
            <a:ext uri="{FF2B5EF4-FFF2-40B4-BE49-F238E27FC236}">
              <a16:creationId xmlns:a16="http://schemas.microsoft.com/office/drawing/2014/main" id="{B4DAEC41-0E22-4DDC-9337-6D8B4E5A7D53}"/>
            </a:ext>
          </a:extLst>
        </xdr:cNvPr>
        <xdr:cNvSpPr/>
      </xdr:nvSpPr>
      <xdr:spPr>
        <a:xfrm>
          <a:off x="504825" y="614670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Çıxış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5</xdr:col>
      <xdr:colOff>400051</xdr:colOff>
      <xdr:row>0</xdr:row>
      <xdr:rowOff>171451</xdr:rowOff>
    </xdr:from>
    <xdr:to>
      <xdr:col>9</xdr:col>
      <xdr:colOff>323850</xdr:colOff>
      <xdr:row>0</xdr:row>
      <xdr:rowOff>647701</xdr:rowOff>
    </xdr:to>
    <xdr:sp macro="" textlink="">
      <xdr:nvSpPr>
        <xdr:cNvPr id="36" name="Akış Çizelgesi: İşlem 35">
          <a:extLst>
            <a:ext uri="{FF2B5EF4-FFF2-40B4-BE49-F238E27FC236}">
              <a16:creationId xmlns:a16="http://schemas.microsoft.com/office/drawing/2014/main" id="{BC22E8E0-8A04-4F93-B6F6-A25CBD61B768}"/>
            </a:ext>
          </a:extLst>
        </xdr:cNvPr>
        <xdr:cNvSpPr/>
      </xdr:nvSpPr>
      <xdr:spPr>
        <a:xfrm>
          <a:off x="4514851" y="171451"/>
          <a:ext cx="3771899" cy="476250"/>
        </a:xfrm>
        <a:prstGeom prst="flowChart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az-Latn-AZ" sz="20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Müştərilər və məlumatları</a:t>
          </a:r>
          <a:endParaRPr lang="en-US" sz="2000">
            <a:solidFill>
              <a:schemeClr val="accent2">
                <a:lumMod val="20000"/>
                <a:lumOff val="80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>
    <xdr:from>
      <xdr:col>3</xdr:col>
      <xdr:colOff>104776</xdr:colOff>
      <xdr:row>0</xdr:row>
      <xdr:rowOff>342900</xdr:rowOff>
    </xdr:from>
    <xdr:to>
      <xdr:col>4</xdr:col>
      <xdr:colOff>895351</xdr:colOff>
      <xdr:row>0</xdr:row>
      <xdr:rowOff>590550</xdr:rowOff>
    </xdr:to>
    <xdr:sp macro="" textlink="">
      <xdr:nvSpPr>
        <xdr:cNvPr id="37" name="Akış Çizelgesi: İşlem 36">
          <a:extLst>
            <a:ext uri="{FF2B5EF4-FFF2-40B4-BE49-F238E27FC236}">
              <a16:creationId xmlns:a16="http://schemas.microsoft.com/office/drawing/2014/main" id="{3B96025C-8F73-46E5-BAE5-E3371B771544}"/>
            </a:ext>
          </a:extLst>
        </xdr:cNvPr>
        <xdr:cNvSpPr/>
      </xdr:nvSpPr>
      <xdr:spPr>
        <a:xfrm>
          <a:off x="971551" y="342900"/>
          <a:ext cx="2400300" cy="247650"/>
        </a:xfrm>
        <a:prstGeom prst="flowChart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Alüminium Profil Sistemləri</a:t>
          </a:r>
          <a:endParaRPr lang="en-US" sz="1200">
            <a:solidFill>
              <a:schemeClr val="accent2">
                <a:lumMod val="20000"/>
                <a:lumOff val="80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>
    <xdr:from>
      <xdr:col>3</xdr:col>
      <xdr:colOff>104776</xdr:colOff>
      <xdr:row>0</xdr:row>
      <xdr:rowOff>19049</xdr:rowOff>
    </xdr:from>
    <xdr:to>
      <xdr:col>4</xdr:col>
      <xdr:colOff>857251</xdr:colOff>
      <xdr:row>0</xdr:row>
      <xdr:rowOff>428624</xdr:rowOff>
    </xdr:to>
    <xdr:sp macro="" textlink="">
      <xdr:nvSpPr>
        <xdr:cNvPr id="39" name="Akış Çizelgesi: İşlem 38">
          <a:extLst>
            <a:ext uri="{FF2B5EF4-FFF2-40B4-BE49-F238E27FC236}">
              <a16:creationId xmlns:a16="http://schemas.microsoft.com/office/drawing/2014/main" id="{EF25BC53-5771-48BB-91FD-0E5A0F08DD2D}"/>
            </a:ext>
          </a:extLst>
        </xdr:cNvPr>
        <xdr:cNvSpPr/>
      </xdr:nvSpPr>
      <xdr:spPr>
        <a:xfrm>
          <a:off x="971551" y="19049"/>
          <a:ext cx="2362200" cy="409575"/>
        </a:xfrm>
        <a:prstGeom prst="flowChart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az-Latn-AZ" sz="40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AlumPro</a:t>
          </a:r>
          <a:endParaRPr lang="en-US" sz="4000">
            <a:solidFill>
              <a:schemeClr val="accent2">
                <a:lumMod val="20000"/>
                <a:lumOff val="80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 editAs="absolute">
    <xdr:from>
      <xdr:col>0</xdr:col>
      <xdr:colOff>47625</xdr:colOff>
      <xdr:row>2</xdr:row>
      <xdr:rowOff>7620</xdr:rowOff>
    </xdr:from>
    <xdr:to>
      <xdr:col>1</xdr:col>
      <xdr:colOff>0</xdr:colOff>
      <xdr:row>4</xdr:row>
      <xdr:rowOff>7620</xdr:rowOff>
    </xdr:to>
    <xdr:pic macro="[0]!Login_Form_Open">
      <xdr:nvPicPr>
        <xdr:cNvPr id="2" name="Grafik 1" descr="Kullanıcı düz dolguyla">
          <a:extLst>
            <a:ext uri="{FF2B5EF4-FFF2-40B4-BE49-F238E27FC236}">
              <a16:creationId xmlns:a16="http://schemas.microsoft.com/office/drawing/2014/main" id="{A8D1EE08-9EAB-43DE-928C-A685F937A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47625" y="857250"/>
          <a:ext cx="438150" cy="438150"/>
        </a:xfrm>
        <a:prstGeom prst="rect">
          <a:avLst/>
        </a:prstGeom>
      </xdr:spPr>
    </xdr:pic>
    <xdr:clientData/>
  </xdr:twoCellAnchor>
  <xdr:twoCellAnchor editAs="absolute">
    <xdr:from>
      <xdr:col>2</xdr:col>
      <xdr:colOff>47625</xdr:colOff>
      <xdr:row>2</xdr:row>
      <xdr:rowOff>93345</xdr:rowOff>
    </xdr:from>
    <xdr:to>
      <xdr:col>3</xdr:col>
      <xdr:colOff>1143000</xdr:colOff>
      <xdr:row>4</xdr:row>
      <xdr:rowOff>0</xdr:rowOff>
    </xdr:to>
    <xdr:sp macro="[0]!Login_Form_Open" textlink="">
      <xdr:nvSpPr>
        <xdr:cNvPr id="3" name="btn_yeniuser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C932140-6A2A-48A6-823E-9A207951650F}"/>
            </a:ext>
          </a:extLst>
        </xdr:cNvPr>
        <xdr:cNvSpPr/>
      </xdr:nvSpPr>
      <xdr:spPr>
        <a:xfrm>
          <a:off x="533400" y="94297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  dəyiş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7</xdr:col>
      <xdr:colOff>1276350</xdr:colOff>
      <xdr:row>0</xdr:row>
      <xdr:rowOff>137160</xdr:rowOff>
    </xdr:from>
    <xdr:to>
      <xdr:col>9</xdr:col>
      <xdr:colOff>179070</xdr:colOff>
      <xdr:row>0</xdr:row>
      <xdr:rowOff>518160</xdr:rowOff>
    </xdr:to>
    <xdr:sp macro="[0]!yenimusteri1" textlink="">
      <xdr:nvSpPr>
        <xdr:cNvPr id="4" name="Dikdörtgen 3">
          <a:extLst>
            <a:ext uri="{FF2B5EF4-FFF2-40B4-BE49-F238E27FC236}">
              <a16:creationId xmlns:a16="http://schemas.microsoft.com/office/drawing/2014/main" id="{640EF3CC-50B4-6EF1-4023-1DCA3C48F31F}"/>
            </a:ext>
          </a:extLst>
        </xdr:cNvPr>
        <xdr:cNvSpPr/>
      </xdr:nvSpPr>
      <xdr:spPr>
        <a:xfrm>
          <a:off x="8145780" y="137160"/>
          <a:ext cx="1592580" cy="38100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kern="1200">
              <a:solidFill>
                <a:schemeClr val="accent2">
                  <a:lumMod val="20000"/>
                  <a:lumOff val="80000"/>
                </a:schemeClr>
              </a:solidFill>
            </a:rPr>
            <a:t>Yeni</a:t>
          </a:r>
          <a:r>
            <a:rPr lang="tr-TR" sz="1600" kern="1200" baseline="0">
              <a:solidFill>
                <a:schemeClr val="accent2">
                  <a:lumMod val="20000"/>
                  <a:lumOff val="80000"/>
                </a:schemeClr>
              </a:solidFill>
            </a:rPr>
            <a:t> Müştəri</a:t>
          </a:r>
          <a:endParaRPr lang="tr-TR" sz="1600" kern="1200">
            <a:solidFill>
              <a:schemeClr val="accent2">
                <a:lumMod val="20000"/>
                <a:lumOff val="80000"/>
              </a:schemeClr>
            </a:solidFill>
          </a:endParaRPr>
        </a:p>
      </xdr:txBody>
    </xdr:sp>
    <xdr:clientData/>
  </xdr:twoCellAnchor>
  <xdr:twoCellAnchor editAs="absolute">
    <xdr:from>
      <xdr:col>9</xdr:col>
      <xdr:colOff>232410</xdr:colOff>
      <xdr:row>0</xdr:row>
      <xdr:rowOff>76200</xdr:rowOff>
    </xdr:from>
    <xdr:to>
      <xdr:col>10</xdr:col>
      <xdr:colOff>902970</xdr:colOff>
      <xdr:row>0</xdr:row>
      <xdr:rowOff>533400</xdr:rowOff>
    </xdr:to>
    <xdr:sp macro="[0]!borcluolanlar" textlink="">
      <xdr:nvSpPr>
        <xdr:cNvPr id="5" name="Dikdörtgen 4">
          <a:extLst>
            <a:ext uri="{FF2B5EF4-FFF2-40B4-BE49-F238E27FC236}">
              <a16:creationId xmlns:a16="http://schemas.microsoft.com/office/drawing/2014/main" id="{DFEF7C59-5AA6-5375-FE7B-F6C5FF7262D2}"/>
            </a:ext>
          </a:extLst>
        </xdr:cNvPr>
        <xdr:cNvSpPr/>
      </xdr:nvSpPr>
      <xdr:spPr>
        <a:xfrm>
          <a:off x="9791700" y="76200"/>
          <a:ext cx="1767840" cy="45720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z-Latn-AZ" sz="1400" kern="1200">
              <a:solidFill>
                <a:schemeClr val="accent2">
                  <a:lumMod val="20000"/>
                  <a:lumOff val="80000"/>
                </a:schemeClr>
              </a:solidFill>
            </a:rPr>
            <a:t>Borcu</a:t>
          </a:r>
          <a:r>
            <a:rPr lang="az-Latn-AZ" sz="1400" kern="1200" baseline="0">
              <a:solidFill>
                <a:schemeClr val="accent2">
                  <a:lumMod val="20000"/>
                  <a:lumOff val="80000"/>
                </a:schemeClr>
              </a:solidFill>
            </a:rPr>
            <a:t> olan m</a:t>
          </a:r>
          <a:r>
            <a:rPr lang="tr-TR" sz="1400" kern="1200" baseline="0">
              <a:solidFill>
                <a:schemeClr val="accent2">
                  <a:lumMod val="20000"/>
                  <a:lumOff val="80000"/>
                </a:schemeClr>
              </a:solidFill>
            </a:rPr>
            <a:t>üştərilər</a:t>
          </a:r>
          <a:endParaRPr lang="tr-TR" sz="1400" kern="1200">
            <a:solidFill>
              <a:schemeClr val="accent2">
                <a:lumMod val="20000"/>
                <a:lumOff val="80000"/>
              </a:schemeClr>
            </a:solidFill>
          </a:endParaRPr>
        </a:p>
      </xdr:txBody>
    </xdr:sp>
    <xdr:clientData/>
  </xdr:twoCellAnchor>
  <xdr:twoCellAnchor editAs="absolute">
    <xdr:from>
      <xdr:col>10</xdr:col>
      <xdr:colOff>918210</xdr:colOff>
      <xdr:row>0</xdr:row>
      <xdr:rowOff>76200</xdr:rowOff>
    </xdr:from>
    <xdr:to>
      <xdr:col>11</xdr:col>
      <xdr:colOff>1055370</xdr:colOff>
      <xdr:row>0</xdr:row>
      <xdr:rowOff>533400</xdr:rowOff>
    </xdr:to>
    <xdr:sp macro="[0]!borcfiltrtemizle" textlink="">
      <xdr:nvSpPr>
        <xdr:cNvPr id="6" name="Dikdörtgen 5">
          <a:extLst>
            <a:ext uri="{FF2B5EF4-FFF2-40B4-BE49-F238E27FC236}">
              <a16:creationId xmlns:a16="http://schemas.microsoft.com/office/drawing/2014/main" id="{9A2E431F-B730-45F6-8258-8E700A2183DB}"/>
            </a:ext>
          </a:extLst>
        </xdr:cNvPr>
        <xdr:cNvSpPr/>
      </xdr:nvSpPr>
      <xdr:spPr>
        <a:xfrm>
          <a:off x="11574780" y="76200"/>
          <a:ext cx="1234440" cy="45720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1400" kern="1200">
              <a:solidFill>
                <a:schemeClr val="accent2">
                  <a:lumMod val="20000"/>
                  <a:lumOff val="80000"/>
                </a:schemeClr>
              </a:solidFill>
            </a:rPr>
            <a:t>Filtri temizlə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45225</xdr:colOff>
      <xdr:row>0</xdr:row>
      <xdr:rowOff>114300</xdr:rowOff>
    </xdr:from>
    <xdr:to>
      <xdr:col>0</xdr:col>
      <xdr:colOff>466725</xdr:colOff>
      <xdr:row>0</xdr:row>
      <xdr:rowOff>542925</xdr:rowOff>
    </xdr:to>
    <xdr:pic macro="[0]!OpenTheMenu">
      <xdr:nvPicPr>
        <xdr:cNvPr id="10" name="HamMenu_Open" descr="Veri tabanı düz dolguyla">
          <a:extLst>
            <a:ext uri="{FF2B5EF4-FFF2-40B4-BE49-F238E27FC236}">
              <a16:creationId xmlns:a16="http://schemas.microsoft.com/office/drawing/2014/main" id="{4763FB54-850C-42A8-BE17-1A1E733E1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5225" y="114300"/>
          <a:ext cx="421500" cy="428625"/>
        </a:xfrm>
        <a:prstGeom prst="rect">
          <a:avLst/>
        </a:prstGeom>
      </xdr:spPr>
    </xdr:pic>
    <xdr:clientData/>
  </xdr:twoCellAnchor>
  <xdr:twoCellAnchor editAs="absolute">
    <xdr:from>
      <xdr:col>3</xdr:col>
      <xdr:colOff>457200</xdr:colOff>
      <xdr:row>0</xdr:row>
      <xdr:rowOff>38100</xdr:rowOff>
    </xdr:from>
    <xdr:to>
      <xdr:col>4</xdr:col>
      <xdr:colOff>0</xdr:colOff>
      <xdr:row>0</xdr:row>
      <xdr:rowOff>581025</xdr:rowOff>
    </xdr:to>
    <xdr:pic macro="[0]!CloseTheMenu">
      <xdr:nvPicPr>
        <xdr:cNvPr id="11" name="HamMenu_Close" descr="Ok: Düz düz dolguyla" hidden="1">
          <a:extLst>
            <a:ext uri="{FF2B5EF4-FFF2-40B4-BE49-F238E27FC236}">
              <a16:creationId xmlns:a16="http://schemas.microsoft.com/office/drawing/2014/main" id="{A5027AE5-DE8B-4550-8210-84EE81FB9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23975" y="38100"/>
          <a:ext cx="542925" cy="54292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4</xdr:row>
      <xdr:rowOff>181215</xdr:rowOff>
    </xdr:from>
    <xdr:to>
      <xdr:col>0</xdr:col>
      <xdr:colOff>447675</xdr:colOff>
      <xdr:row>6</xdr:row>
      <xdr:rowOff>161925</xdr:rowOff>
    </xdr:to>
    <xdr:pic>
      <xdr:nvPicPr>
        <xdr:cNvPr id="12" name="Grafik 11" descr="Kontrol listesi düz dolguyl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D22B246-801C-4698-A7EB-872744422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5225" y="1489950"/>
          <a:ext cx="402450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20</xdr:row>
      <xdr:rowOff>180883</xdr:rowOff>
    </xdr:from>
    <xdr:to>
      <xdr:col>0</xdr:col>
      <xdr:colOff>438150</xdr:colOff>
      <xdr:row>23</xdr:row>
      <xdr:rowOff>95158</xdr:rowOff>
    </xdr:to>
    <xdr:pic>
      <xdr:nvPicPr>
        <xdr:cNvPr id="13" name="Grafik 12" descr="Kullanıcılar düz dolguyla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795F5CF-456F-4565-89D5-7E9AC04DC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25" y="4886233"/>
          <a:ext cx="392925" cy="48577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18</xdr:row>
      <xdr:rowOff>23100</xdr:rowOff>
    </xdr:from>
    <xdr:to>
      <xdr:col>0</xdr:col>
      <xdr:colOff>438150</xdr:colOff>
      <xdr:row>20</xdr:row>
      <xdr:rowOff>38100</xdr:rowOff>
    </xdr:to>
    <xdr:pic>
      <xdr:nvPicPr>
        <xdr:cNvPr id="14" name="Grafik 13" descr="Kilitle düz dolguyl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9BDF302-6C0B-4742-9AFD-D3FF1D2B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4347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10</xdr:row>
      <xdr:rowOff>32625</xdr:rowOff>
    </xdr:from>
    <xdr:to>
      <xdr:col>0</xdr:col>
      <xdr:colOff>438150</xdr:colOff>
      <xdr:row>11</xdr:row>
      <xdr:rowOff>179070</xdr:rowOff>
    </xdr:to>
    <xdr:pic>
      <xdr:nvPicPr>
        <xdr:cNvPr id="15" name="Grafik 14" descr="Kilitle düz dolguyla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A5FFB64-9729-4BFA-8F20-D9621FDB2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2632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7</xdr:row>
      <xdr:rowOff>118350</xdr:rowOff>
    </xdr:from>
    <xdr:to>
      <xdr:col>0</xdr:col>
      <xdr:colOff>438150</xdr:colOff>
      <xdr:row>9</xdr:row>
      <xdr:rowOff>76200</xdr:rowOff>
    </xdr:to>
    <xdr:pic>
      <xdr:nvPicPr>
        <xdr:cNvPr id="17" name="Grafik 16" descr="Tokalaşma düz dolguyl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EB095062-B30E-4192-9155-9177C01FD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5225" y="2061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24</xdr:row>
      <xdr:rowOff>80925</xdr:rowOff>
    </xdr:from>
    <xdr:to>
      <xdr:col>0</xdr:col>
      <xdr:colOff>428625</xdr:colOff>
      <xdr:row>26</xdr:row>
      <xdr:rowOff>95925</xdr:rowOff>
    </xdr:to>
    <xdr:pic>
      <xdr:nvPicPr>
        <xdr:cNvPr id="18" name="Grafik 17" descr="Tek Dişli düz dolguyla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10D2535-4AB6-411A-A556-9E034D482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35700" y="554827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12</xdr:row>
      <xdr:rowOff>165975</xdr:rowOff>
    </xdr:from>
    <xdr:to>
      <xdr:col>0</xdr:col>
      <xdr:colOff>438150</xdr:colOff>
      <xdr:row>14</xdr:row>
      <xdr:rowOff>123825</xdr:rowOff>
    </xdr:to>
    <xdr:pic>
      <xdr:nvPicPr>
        <xdr:cNvPr id="19" name="Grafik 18" descr="Yukarı yönlü eğilim düz dolguyla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F1DA90F1-1A84-4427-8F68-468C58AC6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5225" y="3204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5</xdr:row>
      <xdr:rowOff>66675</xdr:rowOff>
    </xdr:from>
    <xdr:to>
      <xdr:col>4</xdr:col>
      <xdr:colOff>123825</xdr:colOff>
      <xdr:row>6</xdr:row>
      <xdr:rowOff>161925</xdr:rowOff>
    </xdr:to>
    <xdr:sp macro="" textlink="">
      <xdr:nvSpPr>
        <xdr:cNvPr id="20" name="btn_blank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FCB83F7-3D1D-45C0-87EE-6C5A7876A1D4}"/>
            </a:ext>
          </a:extLst>
        </xdr:cNvPr>
        <xdr:cNvSpPr/>
      </xdr:nvSpPr>
      <xdr:spPr>
        <a:xfrm>
          <a:off x="514350" y="1571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latin typeface="Segoe UI Semibold" panose="020B0702040204020203" pitchFamily="34" charset="0"/>
              <a:cs typeface="Segoe UI Semibold" panose="020B0702040204020203" pitchFamily="34" charset="0"/>
            </a:rPr>
            <a:t>  Blankı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8</xdr:row>
      <xdr:rowOff>1905</xdr:rowOff>
    </xdr:from>
    <xdr:to>
      <xdr:col>4</xdr:col>
      <xdr:colOff>123825</xdr:colOff>
      <xdr:row>9</xdr:row>
      <xdr:rowOff>76200</xdr:rowOff>
    </xdr:to>
    <xdr:sp macro="" textlink="">
      <xdr:nvSpPr>
        <xdr:cNvPr id="21" name="btn_sifaris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00ED7C8-9BAC-41E3-8D6B-CB197FB3FA8B}"/>
            </a:ext>
          </a:extLst>
        </xdr:cNvPr>
        <xdr:cNvSpPr/>
      </xdr:nvSpPr>
      <xdr:spPr>
        <a:xfrm>
          <a:off x="514350" y="214312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lər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18</xdr:row>
      <xdr:rowOff>104775</xdr:rowOff>
    </xdr:from>
    <xdr:to>
      <xdr:col>4</xdr:col>
      <xdr:colOff>123825</xdr:colOff>
      <xdr:row>20</xdr:row>
      <xdr:rowOff>38100</xdr:rowOff>
    </xdr:to>
    <xdr:sp macro="" textlink="">
      <xdr:nvSpPr>
        <xdr:cNvPr id="22" name="btn_anbar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E049223-168E-4654-9475-BD5F127AF510}"/>
            </a:ext>
          </a:extLst>
        </xdr:cNvPr>
        <xdr:cNvSpPr/>
      </xdr:nvSpPr>
      <xdr:spPr>
        <a:xfrm>
          <a:off x="514350" y="4429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Anbar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10</xdr:row>
      <xdr:rowOff>114300</xdr:rowOff>
    </xdr:from>
    <xdr:to>
      <xdr:col>4</xdr:col>
      <xdr:colOff>123825</xdr:colOff>
      <xdr:row>11</xdr:row>
      <xdr:rowOff>179070</xdr:rowOff>
    </xdr:to>
    <xdr:sp macro="" textlink="">
      <xdr:nvSpPr>
        <xdr:cNvPr id="23" name="btn_suse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7FAD4C1-DDC5-4940-A070-ECBA730037FC}"/>
            </a:ext>
          </a:extLst>
        </xdr:cNvPr>
        <xdr:cNvSpPr/>
      </xdr:nvSpPr>
      <xdr:spPr>
        <a:xfrm>
          <a:off x="514350" y="2714625"/>
          <a:ext cx="1476375" cy="3143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Şüşə</a:t>
          </a:r>
          <a:endParaRPr lang="ru-RU" sz="1200">
            <a:solidFill>
              <a:schemeClr val="accent2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13</xdr:row>
      <xdr:rowOff>28575</xdr:rowOff>
    </xdr:from>
    <xdr:to>
      <xdr:col>4</xdr:col>
      <xdr:colOff>123825</xdr:colOff>
      <xdr:row>14</xdr:row>
      <xdr:rowOff>123825</xdr:rowOff>
    </xdr:to>
    <xdr:sp macro="" textlink="">
      <xdr:nvSpPr>
        <xdr:cNvPr id="24" name="btn_dash" hidden="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0D2E869-12EA-4C5E-8736-34CB74EC050B}"/>
            </a:ext>
          </a:extLst>
        </xdr:cNvPr>
        <xdr:cNvSpPr/>
      </xdr:nvSpPr>
      <xdr:spPr>
        <a:xfrm>
          <a:off x="514350" y="3286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Ümumi </a:t>
          </a:r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Statistika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15</xdr:row>
      <xdr:rowOff>161925</xdr:rowOff>
    </xdr:from>
    <xdr:to>
      <xdr:col>4</xdr:col>
      <xdr:colOff>123825</xdr:colOff>
      <xdr:row>17</xdr:row>
      <xdr:rowOff>38100</xdr:rowOff>
    </xdr:to>
    <xdr:sp macro="" textlink="">
      <xdr:nvSpPr>
        <xdr:cNvPr id="25" name="btn_info" hidden="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BCF2C3A-0228-4C13-900C-01CF279B0964}"/>
            </a:ext>
          </a:extLst>
        </xdr:cNvPr>
        <xdr:cNvSpPr/>
      </xdr:nvSpPr>
      <xdr:spPr>
        <a:xfrm>
          <a:off x="514350" y="3857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Məlumatlar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21</xdr:row>
      <xdr:rowOff>161833</xdr:rowOff>
    </xdr:from>
    <xdr:to>
      <xdr:col>4</xdr:col>
      <xdr:colOff>123825</xdr:colOff>
      <xdr:row>23</xdr:row>
      <xdr:rowOff>95158</xdr:rowOff>
    </xdr:to>
    <xdr:sp macro="" textlink="">
      <xdr:nvSpPr>
        <xdr:cNvPr id="26" name="btn_user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67AF45D-6374-4BEA-8E6B-0D65335581DE}"/>
            </a:ext>
          </a:extLst>
        </xdr:cNvPr>
        <xdr:cNvSpPr/>
      </xdr:nvSpPr>
      <xdr:spPr>
        <a:xfrm>
          <a:off x="514350" y="5057683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İstifadəçilər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24</xdr:row>
      <xdr:rowOff>162600</xdr:rowOff>
    </xdr:from>
    <xdr:to>
      <xdr:col>4</xdr:col>
      <xdr:colOff>123825</xdr:colOff>
      <xdr:row>26</xdr:row>
      <xdr:rowOff>95925</xdr:rowOff>
    </xdr:to>
    <xdr:sp macro="" textlink="">
      <xdr:nvSpPr>
        <xdr:cNvPr id="27" name="btn_ayar" hidden="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EC9277A-F5E2-472F-B6E2-E93C975EA543}"/>
            </a:ext>
          </a:extLst>
        </xdr:cNvPr>
        <xdr:cNvSpPr/>
      </xdr:nvSpPr>
      <xdr:spPr>
        <a:xfrm>
          <a:off x="514350" y="562995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Ayarlar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0</xdr:col>
      <xdr:colOff>45225</xdr:colOff>
      <xdr:row>15</xdr:row>
      <xdr:rowOff>80250</xdr:rowOff>
    </xdr:from>
    <xdr:to>
      <xdr:col>0</xdr:col>
      <xdr:colOff>438150</xdr:colOff>
      <xdr:row>17</xdr:row>
      <xdr:rowOff>38100</xdr:rowOff>
    </xdr:to>
    <xdr:pic>
      <xdr:nvPicPr>
        <xdr:cNvPr id="28" name="Grafik 27" descr="Ampul düz dolguyla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BC62D504-A50F-434E-891B-BC3377C21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45225" y="3775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27</xdr:row>
      <xdr:rowOff>26175</xdr:rowOff>
    </xdr:from>
    <xdr:to>
      <xdr:col>0</xdr:col>
      <xdr:colOff>428625</xdr:colOff>
      <xdr:row>29</xdr:row>
      <xdr:rowOff>41175</xdr:rowOff>
    </xdr:to>
    <xdr:pic macro="[0]!Cixis_Click">
      <xdr:nvPicPr>
        <xdr:cNvPr id="29" name="Grafik 28" descr="Çalıştır düz dolguyla">
          <a:extLst>
            <a:ext uri="{FF2B5EF4-FFF2-40B4-BE49-F238E27FC236}">
              <a16:creationId xmlns:a16="http://schemas.microsoft.com/office/drawing/2014/main" id="{81BB2640-76C7-4860-8902-8BF4A0E40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5700" y="606502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19050</xdr:colOff>
      <xdr:row>27</xdr:row>
      <xdr:rowOff>107850</xdr:rowOff>
    </xdr:from>
    <xdr:to>
      <xdr:col>4</xdr:col>
      <xdr:colOff>114300</xdr:colOff>
      <xdr:row>29</xdr:row>
      <xdr:rowOff>41175</xdr:rowOff>
    </xdr:to>
    <xdr:sp macro="[0]!Cixis_Click" textlink="">
      <xdr:nvSpPr>
        <xdr:cNvPr id="30" name="btn_exit" hidden="1">
          <a:extLst>
            <a:ext uri="{FF2B5EF4-FFF2-40B4-BE49-F238E27FC236}">
              <a16:creationId xmlns:a16="http://schemas.microsoft.com/office/drawing/2014/main" id="{B42812DD-2563-45AC-A402-5673AFEBB6C2}"/>
            </a:ext>
          </a:extLst>
        </xdr:cNvPr>
        <xdr:cNvSpPr/>
      </xdr:nvSpPr>
      <xdr:spPr>
        <a:xfrm>
          <a:off x="504825" y="614670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Çıxış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8</xdr:col>
      <xdr:colOff>342899</xdr:colOff>
      <xdr:row>0</xdr:row>
      <xdr:rowOff>161926</xdr:rowOff>
    </xdr:from>
    <xdr:to>
      <xdr:col>9</xdr:col>
      <xdr:colOff>771524</xdr:colOff>
      <xdr:row>0</xdr:row>
      <xdr:rowOff>523876</xdr:rowOff>
    </xdr:to>
    <xdr:sp macro="[0]!YENISUSE" textlink="">
      <xdr:nvSpPr>
        <xdr:cNvPr id="33" name="Düzbucaqlı: Yumuru Künclər 3">
          <a:extLst>
            <a:ext uri="{FF2B5EF4-FFF2-40B4-BE49-F238E27FC236}">
              <a16:creationId xmlns:a16="http://schemas.microsoft.com/office/drawing/2014/main" id="{B7EB2169-73AD-40AC-AB32-8AFC4733DC50}"/>
            </a:ext>
          </a:extLst>
        </xdr:cNvPr>
        <xdr:cNvSpPr/>
      </xdr:nvSpPr>
      <xdr:spPr>
        <a:xfrm>
          <a:off x="7010399" y="161926"/>
          <a:ext cx="1647825" cy="361950"/>
        </a:xfrm>
        <a:prstGeom prst="roundRect">
          <a:avLst>
            <a:gd name="adj" fmla="val 50000"/>
          </a:avLst>
        </a:prstGeom>
        <a:noFill/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 b="1">
              <a:solidFill>
                <a:schemeClr val="accent2">
                  <a:lumMod val="20000"/>
                  <a:lumOff val="80000"/>
                </a:schemeClr>
              </a:solidFill>
              <a:latin typeface="Calibri" panose="020F0502020204030204" pitchFamily="34" charset="0"/>
              <a:ea typeface="Artifakt Element Heavy" panose="020B0B03050000020004" pitchFamily="34" charset="-52"/>
              <a:cs typeface="Calibri" panose="020F0502020204030204" pitchFamily="34" charset="0"/>
            </a:rPr>
            <a:t>Yeni şüşə və ya güzgü</a:t>
          </a:r>
          <a:endParaRPr lang="ru-RU" sz="1200" b="1">
            <a:solidFill>
              <a:schemeClr val="accent2">
                <a:lumMod val="20000"/>
                <a:lumOff val="80000"/>
              </a:schemeClr>
            </a:solidFill>
            <a:latin typeface="Calibri" panose="020F0502020204030204" pitchFamily="34" charset="0"/>
            <a:ea typeface="Artifakt Element Heavy" panose="020B0B03050000020004" pitchFamily="34" charset="-52"/>
            <a:cs typeface="Calibri" panose="020F0502020204030204" pitchFamily="34" charset="0"/>
          </a:endParaRPr>
        </a:p>
      </xdr:txBody>
    </xdr:sp>
    <xdr:clientData/>
  </xdr:twoCellAnchor>
  <xdr:twoCellAnchor>
    <xdr:from>
      <xdr:col>5</xdr:col>
      <xdr:colOff>19050</xdr:colOff>
      <xdr:row>0</xdr:row>
      <xdr:rowOff>57151</xdr:rowOff>
    </xdr:from>
    <xdr:to>
      <xdr:col>8</xdr:col>
      <xdr:colOff>514350</xdr:colOff>
      <xdr:row>0</xdr:row>
      <xdr:rowOff>533401</xdr:rowOff>
    </xdr:to>
    <xdr:sp macro="" textlink="">
      <xdr:nvSpPr>
        <xdr:cNvPr id="36" name="Akış Çizelgesi: İşlem 35">
          <a:extLst>
            <a:ext uri="{FF2B5EF4-FFF2-40B4-BE49-F238E27FC236}">
              <a16:creationId xmlns:a16="http://schemas.microsoft.com/office/drawing/2014/main" id="{01EBE257-5F7F-49AC-89FD-DF87D5A1F7CF}"/>
            </a:ext>
          </a:extLst>
        </xdr:cNvPr>
        <xdr:cNvSpPr/>
      </xdr:nvSpPr>
      <xdr:spPr>
        <a:xfrm>
          <a:off x="3181350" y="57151"/>
          <a:ext cx="4000500" cy="476250"/>
        </a:xfrm>
        <a:prstGeom prst="flowChart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az-Latn-AZ" sz="18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Şüşə və güzgü alış</a:t>
          </a:r>
          <a:r>
            <a:rPr lang="az-Latn-AZ" sz="1800" baseline="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 məlumatları</a:t>
          </a:r>
          <a:endParaRPr lang="en-US" sz="1800">
            <a:solidFill>
              <a:schemeClr val="accent2">
                <a:lumMod val="20000"/>
                <a:lumOff val="80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>
    <xdr:from>
      <xdr:col>3</xdr:col>
      <xdr:colOff>9525</xdr:colOff>
      <xdr:row>0</xdr:row>
      <xdr:rowOff>352425</xdr:rowOff>
    </xdr:from>
    <xdr:to>
      <xdr:col>4</xdr:col>
      <xdr:colOff>1247775</xdr:colOff>
      <xdr:row>1</xdr:row>
      <xdr:rowOff>9525</xdr:rowOff>
    </xdr:to>
    <xdr:sp macro="" textlink="">
      <xdr:nvSpPr>
        <xdr:cNvPr id="37" name="Akış Çizelgesi: İşlem 36">
          <a:extLst>
            <a:ext uri="{FF2B5EF4-FFF2-40B4-BE49-F238E27FC236}">
              <a16:creationId xmlns:a16="http://schemas.microsoft.com/office/drawing/2014/main" id="{7020CF0A-3AB9-43EF-B03C-5E9EE217185A}"/>
            </a:ext>
          </a:extLst>
        </xdr:cNvPr>
        <xdr:cNvSpPr/>
      </xdr:nvSpPr>
      <xdr:spPr>
        <a:xfrm>
          <a:off x="876300" y="352425"/>
          <a:ext cx="2238375" cy="276225"/>
        </a:xfrm>
        <a:prstGeom prst="flowChart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Alüminium Profil Sistemləri</a:t>
          </a:r>
          <a:endParaRPr lang="en-US" sz="1200">
            <a:solidFill>
              <a:schemeClr val="accent2">
                <a:lumMod val="20000"/>
                <a:lumOff val="80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5</xdr:col>
      <xdr:colOff>295275</xdr:colOff>
      <xdr:row>0</xdr:row>
      <xdr:rowOff>466725</xdr:rowOff>
    </xdr:to>
    <xdr:sp macro="" textlink="">
      <xdr:nvSpPr>
        <xdr:cNvPr id="38" name="Akış Çizelgesi: İşlem 37">
          <a:extLst>
            <a:ext uri="{FF2B5EF4-FFF2-40B4-BE49-F238E27FC236}">
              <a16:creationId xmlns:a16="http://schemas.microsoft.com/office/drawing/2014/main" id="{78E364A4-6650-44C1-85FC-83EE99B1E2A5}"/>
            </a:ext>
          </a:extLst>
        </xdr:cNvPr>
        <xdr:cNvSpPr/>
      </xdr:nvSpPr>
      <xdr:spPr>
        <a:xfrm>
          <a:off x="895350" y="0"/>
          <a:ext cx="2562225" cy="466725"/>
        </a:xfrm>
        <a:prstGeom prst="flowChart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az-Latn-AZ" sz="40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AlumPro</a:t>
          </a:r>
          <a:endParaRPr lang="en-US" sz="4000">
            <a:solidFill>
              <a:schemeClr val="accent2">
                <a:lumMod val="20000"/>
                <a:lumOff val="80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 editAs="absolute">
    <xdr:from>
      <xdr:col>0</xdr:col>
      <xdr:colOff>19050</xdr:colOff>
      <xdr:row>1</xdr:row>
      <xdr:rowOff>123825</xdr:rowOff>
    </xdr:from>
    <xdr:to>
      <xdr:col>0</xdr:col>
      <xdr:colOff>457200</xdr:colOff>
      <xdr:row>3</xdr:row>
      <xdr:rowOff>114300</xdr:rowOff>
    </xdr:to>
    <xdr:pic macro="[0]!Login_Form_Open">
      <xdr:nvPicPr>
        <xdr:cNvPr id="2" name="Grafik 1" descr="Kullanıcı düz dolguyla">
          <a:extLst>
            <a:ext uri="{FF2B5EF4-FFF2-40B4-BE49-F238E27FC236}">
              <a16:creationId xmlns:a16="http://schemas.microsoft.com/office/drawing/2014/main" id="{4B945288-637C-4C4A-9A3D-15719577C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9050" y="742950"/>
          <a:ext cx="438150" cy="438150"/>
        </a:xfrm>
        <a:prstGeom prst="rect">
          <a:avLst/>
        </a:prstGeom>
      </xdr:spPr>
    </xdr:pic>
    <xdr:clientData/>
  </xdr:twoCellAnchor>
  <xdr:twoCellAnchor editAs="absolute">
    <xdr:from>
      <xdr:col>2</xdr:col>
      <xdr:colOff>19050</xdr:colOff>
      <xdr:row>1</xdr:row>
      <xdr:rowOff>201930</xdr:rowOff>
    </xdr:from>
    <xdr:to>
      <xdr:col>4</xdr:col>
      <xdr:colOff>114300</xdr:colOff>
      <xdr:row>3</xdr:row>
      <xdr:rowOff>76200</xdr:rowOff>
    </xdr:to>
    <xdr:sp macro="[0]!Login_Form_Open" textlink="">
      <xdr:nvSpPr>
        <xdr:cNvPr id="3" name="btn_yeniuser" hidden="1">
          <a:extLst>
            <a:ext uri="{FF2B5EF4-FFF2-40B4-BE49-F238E27FC236}">
              <a16:creationId xmlns:a16="http://schemas.microsoft.com/office/drawing/2014/main" id="{E4907FFB-F8E9-4387-9065-4CEE6F7E18B9}"/>
            </a:ext>
          </a:extLst>
        </xdr:cNvPr>
        <xdr:cNvSpPr/>
      </xdr:nvSpPr>
      <xdr:spPr>
        <a:xfrm>
          <a:off x="504825" y="82867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  dəyiş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45225</xdr:colOff>
      <xdr:row>0</xdr:row>
      <xdr:rowOff>114300</xdr:rowOff>
    </xdr:from>
    <xdr:to>
      <xdr:col>0</xdr:col>
      <xdr:colOff>466725</xdr:colOff>
      <xdr:row>0</xdr:row>
      <xdr:rowOff>542925</xdr:rowOff>
    </xdr:to>
    <xdr:pic macro="[0]!OpenTheMenu">
      <xdr:nvPicPr>
        <xdr:cNvPr id="10" name="HamMenu_Open" descr="Veri tabanı düz dolguyla">
          <a:extLst>
            <a:ext uri="{FF2B5EF4-FFF2-40B4-BE49-F238E27FC236}">
              <a16:creationId xmlns:a16="http://schemas.microsoft.com/office/drawing/2014/main" id="{DAEA81B8-A9B0-417F-A7E8-E47DD59B2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5225" y="114300"/>
          <a:ext cx="421500" cy="428625"/>
        </a:xfrm>
        <a:prstGeom prst="rect">
          <a:avLst/>
        </a:prstGeom>
      </xdr:spPr>
    </xdr:pic>
    <xdr:clientData/>
  </xdr:twoCellAnchor>
  <xdr:twoCellAnchor editAs="absolute">
    <xdr:from>
      <xdr:col>3</xdr:col>
      <xdr:colOff>457200</xdr:colOff>
      <xdr:row>0</xdr:row>
      <xdr:rowOff>38100</xdr:rowOff>
    </xdr:from>
    <xdr:to>
      <xdr:col>3</xdr:col>
      <xdr:colOff>1000125</xdr:colOff>
      <xdr:row>0</xdr:row>
      <xdr:rowOff>581025</xdr:rowOff>
    </xdr:to>
    <xdr:pic macro="[0]!CloseTheMenu">
      <xdr:nvPicPr>
        <xdr:cNvPr id="11" name="HamMenu_Close" descr="Ok: Düz düz dolguyla" hidden="1">
          <a:extLst>
            <a:ext uri="{FF2B5EF4-FFF2-40B4-BE49-F238E27FC236}">
              <a16:creationId xmlns:a16="http://schemas.microsoft.com/office/drawing/2014/main" id="{5D808E9C-E04C-4996-8D6E-AE67E2FBB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23975" y="38100"/>
          <a:ext cx="542925" cy="54292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4</xdr:row>
      <xdr:rowOff>47865</xdr:rowOff>
    </xdr:from>
    <xdr:to>
      <xdr:col>0</xdr:col>
      <xdr:colOff>447675</xdr:colOff>
      <xdr:row>6</xdr:row>
      <xdr:rowOff>28575</xdr:rowOff>
    </xdr:to>
    <xdr:pic>
      <xdr:nvPicPr>
        <xdr:cNvPr id="12" name="Grafik 11" descr="Kontrol listesi düz dolguyl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99A359-AA1A-4553-B10F-A6AB97E8B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5225" y="1489950"/>
          <a:ext cx="402450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19</xdr:row>
      <xdr:rowOff>180883</xdr:rowOff>
    </xdr:from>
    <xdr:to>
      <xdr:col>0</xdr:col>
      <xdr:colOff>438150</xdr:colOff>
      <xdr:row>22</xdr:row>
      <xdr:rowOff>9433</xdr:rowOff>
    </xdr:to>
    <xdr:pic>
      <xdr:nvPicPr>
        <xdr:cNvPr id="13" name="Grafik 12" descr="Kullanıcılar düz dolguyla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F44D2BC-5CB6-4A5C-B933-C7BA264B6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25" y="4886233"/>
          <a:ext cx="392925" cy="48577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17</xdr:row>
      <xdr:rowOff>85965</xdr:rowOff>
    </xdr:from>
    <xdr:to>
      <xdr:col>0</xdr:col>
      <xdr:colOff>438150</xdr:colOff>
      <xdr:row>19</xdr:row>
      <xdr:rowOff>38100</xdr:rowOff>
    </xdr:to>
    <xdr:pic>
      <xdr:nvPicPr>
        <xdr:cNvPr id="14" name="Grafik 13" descr="Kilitle düz dolguyl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791ADF-70B0-4A06-AF75-EE5BE4DD6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4347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9</xdr:row>
      <xdr:rowOff>118350</xdr:rowOff>
    </xdr:from>
    <xdr:to>
      <xdr:col>0</xdr:col>
      <xdr:colOff>438150</xdr:colOff>
      <xdr:row>11</xdr:row>
      <xdr:rowOff>45720</xdr:rowOff>
    </xdr:to>
    <xdr:pic>
      <xdr:nvPicPr>
        <xdr:cNvPr id="15" name="Grafik 14" descr="Kilitle düz dolguyla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F87F2F5-39C8-43EC-9895-F5BEB51DA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2632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6</xdr:row>
      <xdr:rowOff>204075</xdr:rowOff>
    </xdr:from>
    <xdr:to>
      <xdr:col>0</xdr:col>
      <xdr:colOff>438150</xdr:colOff>
      <xdr:row>8</xdr:row>
      <xdr:rowOff>161925</xdr:rowOff>
    </xdr:to>
    <xdr:pic>
      <xdr:nvPicPr>
        <xdr:cNvPr id="17" name="Grafik 16" descr="Tokalaşma düz dolguyl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4159510-B53D-4166-BF31-D69847D25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5225" y="2061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22</xdr:row>
      <xdr:rowOff>185700</xdr:rowOff>
    </xdr:from>
    <xdr:to>
      <xdr:col>0</xdr:col>
      <xdr:colOff>428625</xdr:colOff>
      <xdr:row>24</xdr:row>
      <xdr:rowOff>143550</xdr:rowOff>
    </xdr:to>
    <xdr:pic>
      <xdr:nvPicPr>
        <xdr:cNvPr id="18" name="Grafik 17" descr="Tek Dişli düz dolguyla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97397376-116D-42DA-B7FC-B438C6A6B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35700" y="554827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12</xdr:row>
      <xdr:rowOff>32625</xdr:rowOff>
    </xdr:from>
    <xdr:to>
      <xdr:col>0</xdr:col>
      <xdr:colOff>438150</xdr:colOff>
      <xdr:row>13</xdr:row>
      <xdr:rowOff>209550</xdr:rowOff>
    </xdr:to>
    <xdr:pic>
      <xdr:nvPicPr>
        <xdr:cNvPr id="19" name="Grafik 18" descr="Yukarı yönlü eğilim düz dolguyla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F3D1FECC-6E74-4B43-A09B-A718FBC42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5225" y="3204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4</xdr:row>
      <xdr:rowOff>152400</xdr:rowOff>
    </xdr:from>
    <xdr:to>
      <xdr:col>4</xdr:col>
      <xdr:colOff>76200</xdr:colOff>
      <xdr:row>6</xdr:row>
      <xdr:rowOff>28575</xdr:rowOff>
    </xdr:to>
    <xdr:sp macro="" textlink="">
      <xdr:nvSpPr>
        <xdr:cNvPr id="20" name="btn_blank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227E37D-FDBA-4440-81AD-4EBD43B650E9}"/>
            </a:ext>
          </a:extLst>
        </xdr:cNvPr>
        <xdr:cNvSpPr/>
      </xdr:nvSpPr>
      <xdr:spPr>
        <a:xfrm>
          <a:off x="514350" y="1571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latin typeface="Segoe UI Semibold" panose="020B0702040204020203" pitchFamily="34" charset="0"/>
              <a:cs typeface="Segoe UI Semibold" panose="020B0702040204020203" pitchFamily="34" charset="0"/>
            </a:rPr>
            <a:t>  Blankı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7</xdr:row>
      <xdr:rowOff>87630</xdr:rowOff>
    </xdr:from>
    <xdr:to>
      <xdr:col>4</xdr:col>
      <xdr:colOff>76200</xdr:colOff>
      <xdr:row>8</xdr:row>
      <xdr:rowOff>161925</xdr:rowOff>
    </xdr:to>
    <xdr:sp macro="" textlink="">
      <xdr:nvSpPr>
        <xdr:cNvPr id="21" name="btn_sifaris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9901EA5-8D18-4B14-9AFE-085B4856C734}"/>
            </a:ext>
          </a:extLst>
        </xdr:cNvPr>
        <xdr:cNvSpPr/>
      </xdr:nvSpPr>
      <xdr:spPr>
        <a:xfrm>
          <a:off x="514350" y="214312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lər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17</xdr:row>
      <xdr:rowOff>161925</xdr:rowOff>
    </xdr:from>
    <xdr:to>
      <xdr:col>4</xdr:col>
      <xdr:colOff>76200</xdr:colOff>
      <xdr:row>19</xdr:row>
      <xdr:rowOff>38100</xdr:rowOff>
    </xdr:to>
    <xdr:sp macro="" textlink="">
      <xdr:nvSpPr>
        <xdr:cNvPr id="22" name="btn_anbar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3D5DEC5-9B21-47A6-9429-BBEED9384B3E}"/>
            </a:ext>
          </a:extLst>
        </xdr:cNvPr>
        <xdr:cNvSpPr/>
      </xdr:nvSpPr>
      <xdr:spPr>
        <a:xfrm>
          <a:off x="514350" y="4429125"/>
          <a:ext cx="1476375" cy="3143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Anbar</a:t>
          </a:r>
          <a:endParaRPr lang="ru-RU" sz="1200">
            <a:solidFill>
              <a:schemeClr val="accent2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9</xdr:row>
      <xdr:rowOff>200025</xdr:rowOff>
    </xdr:from>
    <xdr:to>
      <xdr:col>4</xdr:col>
      <xdr:colOff>76200</xdr:colOff>
      <xdr:row>11</xdr:row>
      <xdr:rowOff>45720</xdr:rowOff>
    </xdr:to>
    <xdr:sp macro="" textlink="">
      <xdr:nvSpPr>
        <xdr:cNvPr id="23" name="btn_suse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E423B58-8197-4037-9289-08332065F41F}"/>
            </a:ext>
          </a:extLst>
        </xdr:cNvPr>
        <xdr:cNvSpPr/>
      </xdr:nvSpPr>
      <xdr:spPr>
        <a:xfrm>
          <a:off x="514350" y="2714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Şüşə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12</xdr:row>
      <xdr:rowOff>114300</xdr:rowOff>
    </xdr:from>
    <xdr:to>
      <xdr:col>4</xdr:col>
      <xdr:colOff>76200</xdr:colOff>
      <xdr:row>13</xdr:row>
      <xdr:rowOff>209550</xdr:rowOff>
    </xdr:to>
    <xdr:sp macro="" textlink="">
      <xdr:nvSpPr>
        <xdr:cNvPr id="24" name="btn_dash" hidden="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A8B238C-6044-4EDD-9A69-DECAFF549045}"/>
            </a:ext>
          </a:extLst>
        </xdr:cNvPr>
        <xdr:cNvSpPr/>
      </xdr:nvSpPr>
      <xdr:spPr>
        <a:xfrm>
          <a:off x="514350" y="3286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Ümumi </a:t>
          </a:r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Statistika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15</xdr:row>
      <xdr:rowOff>28575</xdr:rowOff>
    </xdr:from>
    <xdr:to>
      <xdr:col>4</xdr:col>
      <xdr:colOff>76200</xdr:colOff>
      <xdr:row>16</xdr:row>
      <xdr:rowOff>123825</xdr:rowOff>
    </xdr:to>
    <xdr:sp macro="" textlink="">
      <xdr:nvSpPr>
        <xdr:cNvPr id="25" name="btn_info" hidden="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C4C97C9D-7032-404E-ABF8-A2E6512A0B8C}"/>
            </a:ext>
          </a:extLst>
        </xdr:cNvPr>
        <xdr:cNvSpPr/>
      </xdr:nvSpPr>
      <xdr:spPr>
        <a:xfrm>
          <a:off x="514350" y="3857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Məlumatlar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20</xdr:row>
      <xdr:rowOff>133258</xdr:rowOff>
    </xdr:from>
    <xdr:to>
      <xdr:col>4</xdr:col>
      <xdr:colOff>76200</xdr:colOff>
      <xdr:row>22</xdr:row>
      <xdr:rowOff>9433</xdr:rowOff>
    </xdr:to>
    <xdr:sp macro="" textlink="">
      <xdr:nvSpPr>
        <xdr:cNvPr id="26" name="btn_user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ACF0673-5667-430E-9C81-349F4A0E5A7F}"/>
            </a:ext>
          </a:extLst>
        </xdr:cNvPr>
        <xdr:cNvSpPr/>
      </xdr:nvSpPr>
      <xdr:spPr>
        <a:xfrm>
          <a:off x="514350" y="5057683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İstifadəçilər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23</xdr:row>
      <xdr:rowOff>48300</xdr:rowOff>
    </xdr:from>
    <xdr:to>
      <xdr:col>4</xdr:col>
      <xdr:colOff>76200</xdr:colOff>
      <xdr:row>24</xdr:row>
      <xdr:rowOff>143550</xdr:rowOff>
    </xdr:to>
    <xdr:sp macro="" textlink="">
      <xdr:nvSpPr>
        <xdr:cNvPr id="27" name="btn_ayar" hidden="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0A84D50-30D6-4AB1-8037-8603D3B6B40B}"/>
            </a:ext>
          </a:extLst>
        </xdr:cNvPr>
        <xdr:cNvSpPr/>
      </xdr:nvSpPr>
      <xdr:spPr>
        <a:xfrm>
          <a:off x="514350" y="562995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Ayarlar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0</xdr:col>
      <xdr:colOff>45225</xdr:colOff>
      <xdr:row>14</xdr:row>
      <xdr:rowOff>165975</xdr:rowOff>
    </xdr:from>
    <xdr:to>
      <xdr:col>0</xdr:col>
      <xdr:colOff>438150</xdr:colOff>
      <xdr:row>16</xdr:row>
      <xdr:rowOff>123825</xdr:rowOff>
    </xdr:to>
    <xdr:pic>
      <xdr:nvPicPr>
        <xdr:cNvPr id="28" name="Grafik 27" descr="Ampul düz dolguyla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09C3ABB-552D-4311-B18C-FF7028099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45225" y="3775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25</xdr:row>
      <xdr:rowOff>45225</xdr:rowOff>
    </xdr:from>
    <xdr:to>
      <xdr:col>0</xdr:col>
      <xdr:colOff>428625</xdr:colOff>
      <xdr:row>27</xdr:row>
      <xdr:rowOff>3075</xdr:rowOff>
    </xdr:to>
    <xdr:pic macro="[0]!Cixis_Click">
      <xdr:nvPicPr>
        <xdr:cNvPr id="29" name="Grafik 28" descr="Çalıştır düz dolguyla">
          <a:extLst>
            <a:ext uri="{FF2B5EF4-FFF2-40B4-BE49-F238E27FC236}">
              <a16:creationId xmlns:a16="http://schemas.microsoft.com/office/drawing/2014/main" id="{5AD806B2-CCF1-40DA-894C-7785D77D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5700" y="606502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19050</xdr:colOff>
      <xdr:row>25</xdr:row>
      <xdr:rowOff>126900</xdr:rowOff>
    </xdr:from>
    <xdr:to>
      <xdr:col>4</xdr:col>
      <xdr:colOff>66675</xdr:colOff>
      <xdr:row>27</xdr:row>
      <xdr:rowOff>3075</xdr:rowOff>
    </xdr:to>
    <xdr:sp macro="[0]!Cixis_Click" textlink="">
      <xdr:nvSpPr>
        <xdr:cNvPr id="30" name="btn_exit" hidden="1">
          <a:extLst>
            <a:ext uri="{FF2B5EF4-FFF2-40B4-BE49-F238E27FC236}">
              <a16:creationId xmlns:a16="http://schemas.microsoft.com/office/drawing/2014/main" id="{CA0A0DB2-FFED-4747-8F75-116E47E9FE68}"/>
            </a:ext>
          </a:extLst>
        </xdr:cNvPr>
        <xdr:cNvSpPr/>
      </xdr:nvSpPr>
      <xdr:spPr>
        <a:xfrm>
          <a:off x="504825" y="614670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Çıxış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8</xdr:col>
      <xdr:colOff>333375</xdr:colOff>
      <xdr:row>0</xdr:row>
      <xdr:rowOff>114300</xdr:rowOff>
    </xdr:from>
    <xdr:to>
      <xdr:col>8</xdr:col>
      <xdr:colOff>1819276</xdr:colOff>
      <xdr:row>0</xdr:row>
      <xdr:rowOff>495299</xdr:rowOff>
    </xdr:to>
    <xdr:sp macro="[0]!Yenimehsul" textlink="">
      <xdr:nvSpPr>
        <xdr:cNvPr id="33" name="Düzbucaqlı: Yumuru Künclər 3">
          <a:extLst>
            <a:ext uri="{FF2B5EF4-FFF2-40B4-BE49-F238E27FC236}">
              <a16:creationId xmlns:a16="http://schemas.microsoft.com/office/drawing/2014/main" id="{5A9A5D23-FF45-425D-AB83-8917EC3C15F0}"/>
            </a:ext>
          </a:extLst>
        </xdr:cNvPr>
        <xdr:cNvSpPr/>
      </xdr:nvSpPr>
      <xdr:spPr>
        <a:xfrm>
          <a:off x="7439025" y="114300"/>
          <a:ext cx="1485901" cy="380999"/>
        </a:xfrm>
        <a:prstGeom prst="roundRect">
          <a:avLst>
            <a:gd name="adj" fmla="val 50000"/>
          </a:avLst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100" b="1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ea typeface="Artifakt Element Heavy" panose="020B0B03050000020004" pitchFamily="34" charset="-52"/>
              <a:cs typeface="Segoe UI Semibold" panose="020B0702040204020203" pitchFamily="34" charset="0"/>
            </a:rPr>
            <a:t>Yeni məhsul</a:t>
          </a:r>
          <a:endParaRPr lang="ru-RU" sz="1100" b="1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ea typeface="Artifakt Element Heavy" panose="020B0B03050000020004" pitchFamily="34" charset="-52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4</xdr:col>
      <xdr:colOff>1344931</xdr:colOff>
      <xdr:row>0</xdr:row>
      <xdr:rowOff>72391</xdr:rowOff>
    </xdr:from>
    <xdr:to>
      <xdr:col>9</xdr:col>
      <xdr:colOff>403860</xdr:colOff>
      <xdr:row>0</xdr:row>
      <xdr:rowOff>525781</xdr:rowOff>
    </xdr:to>
    <xdr:sp macro="" textlink="">
      <xdr:nvSpPr>
        <xdr:cNvPr id="36" name="Akış Çizelgesi: İşlem 35">
          <a:extLst>
            <a:ext uri="{FF2B5EF4-FFF2-40B4-BE49-F238E27FC236}">
              <a16:creationId xmlns:a16="http://schemas.microsoft.com/office/drawing/2014/main" id="{3FCA3150-CADE-4C3A-A539-C47CAC5B7954}"/>
            </a:ext>
          </a:extLst>
        </xdr:cNvPr>
        <xdr:cNvSpPr/>
      </xdr:nvSpPr>
      <xdr:spPr>
        <a:xfrm>
          <a:off x="3310891" y="72391"/>
          <a:ext cx="3638549" cy="453390"/>
        </a:xfrm>
        <a:prstGeom prst="flowChart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solidFill>
                <a:schemeClr val="accent6">
                  <a:lumMod val="5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        </a:t>
          </a:r>
          <a:r>
            <a:rPr lang="en-US" sz="20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Anbar</a:t>
          </a:r>
          <a:r>
            <a:rPr lang="az-Latn-AZ" sz="20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 və məlumatları</a:t>
          </a:r>
          <a:endParaRPr lang="en-US" sz="2000">
            <a:solidFill>
              <a:schemeClr val="accent2">
                <a:lumMod val="20000"/>
                <a:lumOff val="80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>
    <xdr:from>
      <xdr:col>3</xdr:col>
      <xdr:colOff>28575</xdr:colOff>
      <xdr:row>0</xdr:row>
      <xdr:rowOff>352425</xdr:rowOff>
    </xdr:from>
    <xdr:to>
      <xdr:col>4</xdr:col>
      <xdr:colOff>1238250</xdr:colOff>
      <xdr:row>0</xdr:row>
      <xdr:rowOff>619125</xdr:rowOff>
    </xdr:to>
    <xdr:sp macro="" textlink="">
      <xdr:nvSpPr>
        <xdr:cNvPr id="37" name="Akış Çizelgesi: İşlem 36">
          <a:extLst>
            <a:ext uri="{FF2B5EF4-FFF2-40B4-BE49-F238E27FC236}">
              <a16:creationId xmlns:a16="http://schemas.microsoft.com/office/drawing/2014/main" id="{D1827E36-AA70-4E6E-9074-F323237A80A3}"/>
            </a:ext>
          </a:extLst>
        </xdr:cNvPr>
        <xdr:cNvSpPr/>
      </xdr:nvSpPr>
      <xdr:spPr>
        <a:xfrm>
          <a:off x="895350" y="352425"/>
          <a:ext cx="2209800" cy="266700"/>
        </a:xfrm>
        <a:prstGeom prst="flowChart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Alüminium Profil Sistemləri</a:t>
          </a:r>
          <a:endParaRPr lang="en-US" sz="1200">
            <a:solidFill>
              <a:schemeClr val="accent2">
                <a:lumMod val="20000"/>
                <a:lumOff val="80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>
    <xdr:from>
      <xdr:col>2</xdr:col>
      <xdr:colOff>371475</xdr:colOff>
      <xdr:row>0</xdr:row>
      <xdr:rowOff>0</xdr:rowOff>
    </xdr:from>
    <xdr:to>
      <xdr:col>6</xdr:col>
      <xdr:colOff>695325</xdr:colOff>
      <xdr:row>0</xdr:row>
      <xdr:rowOff>447675</xdr:rowOff>
    </xdr:to>
    <xdr:sp macro="" textlink="">
      <xdr:nvSpPr>
        <xdr:cNvPr id="39" name="Akış Çizelgesi: İşlem 38">
          <a:extLst>
            <a:ext uri="{FF2B5EF4-FFF2-40B4-BE49-F238E27FC236}">
              <a16:creationId xmlns:a16="http://schemas.microsoft.com/office/drawing/2014/main" id="{F8F13049-1C61-4199-9A2F-0FC0C334D4DF}"/>
            </a:ext>
          </a:extLst>
        </xdr:cNvPr>
        <xdr:cNvSpPr/>
      </xdr:nvSpPr>
      <xdr:spPr>
        <a:xfrm>
          <a:off x="857250" y="0"/>
          <a:ext cx="3000375" cy="447675"/>
        </a:xfrm>
        <a:prstGeom prst="flowChart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az-Latn-AZ" sz="40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AlumPro</a:t>
          </a:r>
          <a:endParaRPr lang="en-US" sz="4000">
            <a:solidFill>
              <a:schemeClr val="accent2">
                <a:lumMod val="20000"/>
                <a:lumOff val="80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123825</xdr:rowOff>
    </xdr:from>
    <xdr:to>
      <xdr:col>0</xdr:col>
      <xdr:colOff>438150</xdr:colOff>
      <xdr:row>2</xdr:row>
      <xdr:rowOff>209550</xdr:rowOff>
    </xdr:to>
    <xdr:pic macro="[0]!Login_Form_Open">
      <xdr:nvPicPr>
        <xdr:cNvPr id="2" name="Grafik 1" descr="Kullanıcı düz dolguyla">
          <a:extLst>
            <a:ext uri="{FF2B5EF4-FFF2-40B4-BE49-F238E27FC236}">
              <a16:creationId xmlns:a16="http://schemas.microsoft.com/office/drawing/2014/main" id="{970386E9-4DBA-40A9-B712-AE6959A80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52475"/>
          <a:ext cx="438150" cy="43815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1</xdr:row>
      <xdr:rowOff>266700</xdr:rowOff>
    </xdr:from>
    <xdr:to>
      <xdr:col>4</xdr:col>
      <xdr:colOff>47625</xdr:colOff>
      <xdr:row>3</xdr:row>
      <xdr:rowOff>9525</xdr:rowOff>
    </xdr:to>
    <xdr:sp macro="[0]!Login_Form_Open" textlink="">
      <xdr:nvSpPr>
        <xdr:cNvPr id="3" name="btn_yeniuser" hidden="1">
          <a:extLst>
            <a:ext uri="{FF2B5EF4-FFF2-40B4-BE49-F238E27FC236}">
              <a16:creationId xmlns:a16="http://schemas.microsoft.com/office/drawing/2014/main" id="{B0B96311-0B0F-455E-A1CD-75DB9EE35C4E}"/>
            </a:ext>
          </a:extLst>
        </xdr:cNvPr>
        <xdr:cNvSpPr/>
      </xdr:nvSpPr>
      <xdr:spPr>
        <a:xfrm>
          <a:off x="485775" y="895350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  dəyiş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45225</xdr:colOff>
      <xdr:row>0</xdr:row>
      <xdr:rowOff>114300</xdr:rowOff>
    </xdr:from>
    <xdr:to>
      <xdr:col>0</xdr:col>
      <xdr:colOff>466725</xdr:colOff>
      <xdr:row>0</xdr:row>
      <xdr:rowOff>542925</xdr:rowOff>
    </xdr:to>
    <xdr:pic macro="[0]!OpenTheMenu">
      <xdr:nvPicPr>
        <xdr:cNvPr id="2" name="HamMenu_Open" descr="Veri tabanı düz dolguyla">
          <a:extLst>
            <a:ext uri="{FF2B5EF4-FFF2-40B4-BE49-F238E27FC236}">
              <a16:creationId xmlns:a16="http://schemas.microsoft.com/office/drawing/2014/main" id="{3B1B3E26-4268-4495-B675-D402CE78D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5225" y="114300"/>
          <a:ext cx="421500" cy="428625"/>
        </a:xfrm>
        <a:prstGeom prst="rect">
          <a:avLst/>
        </a:prstGeom>
      </xdr:spPr>
    </xdr:pic>
    <xdr:clientData/>
  </xdr:twoCellAnchor>
  <xdr:twoCellAnchor editAs="absolute">
    <xdr:from>
      <xdr:col>3</xdr:col>
      <xdr:colOff>457200</xdr:colOff>
      <xdr:row>0</xdr:row>
      <xdr:rowOff>38100</xdr:rowOff>
    </xdr:from>
    <xdr:to>
      <xdr:col>3</xdr:col>
      <xdr:colOff>1000125</xdr:colOff>
      <xdr:row>0</xdr:row>
      <xdr:rowOff>581025</xdr:rowOff>
    </xdr:to>
    <xdr:pic macro="[0]!CloseTheMenu">
      <xdr:nvPicPr>
        <xdr:cNvPr id="3" name="HamMenu_Close" descr="Ok: Düz düz dolguyla" hidden="1">
          <a:extLst>
            <a:ext uri="{FF2B5EF4-FFF2-40B4-BE49-F238E27FC236}">
              <a16:creationId xmlns:a16="http://schemas.microsoft.com/office/drawing/2014/main" id="{98B99767-50A9-4D02-8267-23EEA1C5C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23975" y="38100"/>
          <a:ext cx="542925" cy="54292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5</xdr:row>
      <xdr:rowOff>99300</xdr:rowOff>
    </xdr:from>
    <xdr:to>
      <xdr:col>0</xdr:col>
      <xdr:colOff>447675</xdr:colOff>
      <xdr:row>7</xdr:row>
      <xdr:rowOff>114300</xdr:rowOff>
    </xdr:to>
    <xdr:pic>
      <xdr:nvPicPr>
        <xdr:cNvPr id="4" name="Grafik 3" descr="Kontrol listesi düz dolguyl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E631F7-6B45-46E8-A4C1-07FFA8D9D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5225" y="1489950"/>
          <a:ext cx="402450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23</xdr:row>
      <xdr:rowOff>66583</xdr:rowOff>
    </xdr:from>
    <xdr:to>
      <xdr:col>0</xdr:col>
      <xdr:colOff>438150</xdr:colOff>
      <xdr:row>25</xdr:row>
      <xdr:rowOff>171358</xdr:rowOff>
    </xdr:to>
    <xdr:pic>
      <xdr:nvPicPr>
        <xdr:cNvPr id="5" name="Grafik 4" descr="Kullanıcılar düz dolguyla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0A47DE-07FA-45C9-A8EC-F9A736222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25" y="4886233"/>
          <a:ext cx="392925" cy="48577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20</xdr:row>
      <xdr:rowOff>99300</xdr:rowOff>
    </xdr:from>
    <xdr:to>
      <xdr:col>0</xdr:col>
      <xdr:colOff>438150</xdr:colOff>
      <xdr:row>22</xdr:row>
      <xdr:rowOff>114300</xdr:rowOff>
    </xdr:to>
    <xdr:pic>
      <xdr:nvPicPr>
        <xdr:cNvPr id="6" name="Grafik 5" descr="Kilitle düz dolguyl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8A77C9C-4DB0-4446-8683-0C234DFCD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4347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11</xdr:row>
      <xdr:rowOff>99300</xdr:rowOff>
    </xdr:from>
    <xdr:to>
      <xdr:col>0</xdr:col>
      <xdr:colOff>438150</xdr:colOff>
      <xdr:row>13</xdr:row>
      <xdr:rowOff>114300</xdr:rowOff>
    </xdr:to>
    <xdr:pic>
      <xdr:nvPicPr>
        <xdr:cNvPr id="7" name="Grafik 6" descr="Kilitle düz dolguyla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834EFC2-7C6C-4229-A84E-4951172AC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2632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8</xdr:row>
      <xdr:rowOff>99300</xdr:rowOff>
    </xdr:from>
    <xdr:to>
      <xdr:col>0</xdr:col>
      <xdr:colOff>438150</xdr:colOff>
      <xdr:row>10</xdr:row>
      <xdr:rowOff>114300</xdr:rowOff>
    </xdr:to>
    <xdr:pic>
      <xdr:nvPicPr>
        <xdr:cNvPr id="8" name="Grafik 7" descr="Tokalaşma düz dolguyl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9F07E65-5338-40AA-B770-FD3038EFF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5225" y="2061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26</xdr:row>
      <xdr:rowOff>157125</xdr:rowOff>
    </xdr:from>
    <xdr:to>
      <xdr:col>0</xdr:col>
      <xdr:colOff>428625</xdr:colOff>
      <xdr:row>28</xdr:row>
      <xdr:rowOff>172125</xdr:rowOff>
    </xdr:to>
    <xdr:pic>
      <xdr:nvPicPr>
        <xdr:cNvPr id="9" name="Grafik 8" descr="Tek Dişli düz dolguyla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64890848-D413-4F97-AD4F-BB6512014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35700" y="554827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14</xdr:row>
      <xdr:rowOff>99300</xdr:rowOff>
    </xdr:from>
    <xdr:to>
      <xdr:col>0</xdr:col>
      <xdr:colOff>438150</xdr:colOff>
      <xdr:row>16</xdr:row>
      <xdr:rowOff>114300</xdr:rowOff>
    </xdr:to>
    <xdr:pic>
      <xdr:nvPicPr>
        <xdr:cNvPr id="10" name="Grafik 9" descr="Yukarı yönlü eğilim düz dolguyla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12C4660-6B3E-46A1-9791-A21DA03DA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5225" y="3204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5</xdr:row>
      <xdr:rowOff>180975</xdr:rowOff>
    </xdr:from>
    <xdr:to>
      <xdr:col>4</xdr:col>
      <xdr:colOff>28575</xdr:colOff>
      <xdr:row>7</xdr:row>
      <xdr:rowOff>114300</xdr:rowOff>
    </xdr:to>
    <xdr:sp macro="" textlink="">
      <xdr:nvSpPr>
        <xdr:cNvPr id="11" name="btn_blank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11D3BE-37F8-454C-90BA-89ED2F506A01}"/>
            </a:ext>
          </a:extLst>
        </xdr:cNvPr>
        <xdr:cNvSpPr/>
      </xdr:nvSpPr>
      <xdr:spPr>
        <a:xfrm>
          <a:off x="514350" y="1571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latin typeface="Segoe UI Semibold" panose="020B0702040204020203" pitchFamily="34" charset="0"/>
              <a:cs typeface="Segoe UI Semibold" panose="020B0702040204020203" pitchFamily="34" charset="0"/>
            </a:rPr>
            <a:t>  Blankı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8</xdr:row>
      <xdr:rowOff>180975</xdr:rowOff>
    </xdr:from>
    <xdr:to>
      <xdr:col>4</xdr:col>
      <xdr:colOff>28575</xdr:colOff>
      <xdr:row>10</xdr:row>
      <xdr:rowOff>114300</xdr:rowOff>
    </xdr:to>
    <xdr:sp macro="" textlink="">
      <xdr:nvSpPr>
        <xdr:cNvPr id="12" name="btn_sifaris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93DAA14-980C-439D-9BA5-DEBFD2DFED04}"/>
            </a:ext>
          </a:extLst>
        </xdr:cNvPr>
        <xdr:cNvSpPr/>
      </xdr:nvSpPr>
      <xdr:spPr>
        <a:xfrm>
          <a:off x="514350" y="214312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lər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20</xdr:row>
      <xdr:rowOff>180975</xdr:rowOff>
    </xdr:from>
    <xdr:to>
      <xdr:col>4</xdr:col>
      <xdr:colOff>28575</xdr:colOff>
      <xdr:row>22</xdr:row>
      <xdr:rowOff>114300</xdr:rowOff>
    </xdr:to>
    <xdr:sp macro="" textlink="">
      <xdr:nvSpPr>
        <xdr:cNvPr id="13" name="btn_anbar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7FEE5E0-87A4-4CE6-A619-525F184EF0F7}"/>
            </a:ext>
          </a:extLst>
        </xdr:cNvPr>
        <xdr:cNvSpPr/>
      </xdr:nvSpPr>
      <xdr:spPr>
        <a:xfrm>
          <a:off x="514350" y="4429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Anbar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11</xdr:row>
      <xdr:rowOff>180975</xdr:rowOff>
    </xdr:from>
    <xdr:to>
      <xdr:col>4</xdr:col>
      <xdr:colOff>28575</xdr:colOff>
      <xdr:row>13</xdr:row>
      <xdr:rowOff>114300</xdr:rowOff>
    </xdr:to>
    <xdr:sp macro="" textlink="">
      <xdr:nvSpPr>
        <xdr:cNvPr id="14" name="btn_suse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30581A9-1012-4210-B725-50B8432E6C6E}"/>
            </a:ext>
          </a:extLst>
        </xdr:cNvPr>
        <xdr:cNvSpPr/>
      </xdr:nvSpPr>
      <xdr:spPr>
        <a:xfrm>
          <a:off x="514350" y="2714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Şüşə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47625</xdr:colOff>
      <xdr:row>14</xdr:row>
      <xdr:rowOff>171450</xdr:rowOff>
    </xdr:from>
    <xdr:to>
      <xdr:col>4</xdr:col>
      <xdr:colOff>47625</xdr:colOff>
      <xdr:row>16</xdr:row>
      <xdr:rowOff>104775</xdr:rowOff>
    </xdr:to>
    <xdr:sp macro="" textlink="">
      <xdr:nvSpPr>
        <xdr:cNvPr id="15" name="btn_dash" hidden="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E7A6CC4-C8C8-425A-9C28-C00F928A3056}"/>
            </a:ext>
          </a:extLst>
        </xdr:cNvPr>
        <xdr:cNvSpPr/>
      </xdr:nvSpPr>
      <xdr:spPr>
        <a:xfrm>
          <a:off x="533400" y="3276600"/>
          <a:ext cx="1476375" cy="3143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Ümumi </a:t>
          </a:r>
          <a:r>
            <a:rPr lang="en-US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Statistika</a:t>
          </a:r>
          <a:endParaRPr lang="ru-RU" sz="1200">
            <a:solidFill>
              <a:schemeClr val="accent2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17</xdr:row>
      <xdr:rowOff>180975</xdr:rowOff>
    </xdr:from>
    <xdr:to>
      <xdr:col>4</xdr:col>
      <xdr:colOff>28575</xdr:colOff>
      <xdr:row>19</xdr:row>
      <xdr:rowOff>114300</xdr:rowOff>
    </xdr:to>
    <xdr:sp macro="" textlink="">
      <xdr:nvSpPr>
        <xdr:cNvPr id="16" name="btn_info" hidden="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C64E2509-DEDE-4EB6-8FCB-67FB8F9AA895}"/>
            </a:ext>
          </a:extLst>
        </xdr:cNvPr>
        <xdr:cNvSpPr/>
      </xdr:nvSpPr>
      <xdr:spPr>
        <a:xfrm>
          <a:off x="514350" y="3857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Məlumatlar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24</xdr:row>
      <xdr:rowOff>47533</xdr:rowOff>
    </xdr:from>
    <xdr:to>
      <xdr:col>4</xdr:col>
      <xdr:colOff>28575</xdr:colOff>
      <xdr:row>25</xdr:row>
      <xdr:rowOff>171358</xdr:rowOff>
    </xdr:to>
    <xdr:sp macro="" textlink="">
      <xdr:nvSpPr>
        <xdr:cNvPr id="17" name="btn_user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BBB277D-09FB-4960-8903-045A0279D612}"/>
            </a:ext>
          </a:extLst>
        </xdr:cNvPr>
        <xdr:cNvSpPr/>
      </xdr:nvSpPr>
      <xdr:spPr>
        <a:xfrm>
          <a:off x="514350" y="5057683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İstifadəçilər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27</xdr:row>
      <xdr:rowOff>48300</xdr:rowOff>
    </xdr:from>
    <xdr:to>
      <xdr:col>4</xdr:col>
      <xdr:colOff>28575</xdr:colOff>
      <xdr:row>28</xdr:row>
      <xdr:rowOff>172125</xdr:rowOff>
    </xdr:to>
    <xdr:sp macro="" textlink="">
      <xdr:nvSpPr>
        <xdr:cNvPr id="18" name="btn_ayar" hidden="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7F3F0CCC-0480-421C-9B0B-81F0ED33EED8}"/>
            </a:ext>
          </a:extLst>
        </xdr:cNvPr>
        <xdr:cNvSpPr/>
      </xdr:nvSpPr>
      <xdr:spPr>
        <a:xfrm>
          <a:off x="514350" y="562995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Ayarlar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0</xdr:col>
      <xdr:colOff>45225</xdr:colOff>
      <xdr:row>17</xdr:row>
      <xdr:rowOff>99300</xdr:rowOff>
    </xdr:from>
    <xdr:to>
      <xdr:col>0</xdr:col>
      <xdr:colOff>438150</xdr:colOff>
      <xdr:row>19</xdr:row>
      <xdr:rowOff>114300</xdr:rowOff>
    </xdr:to>
    <xdr:pic>
      <xdr:nvPicPr>
        <xdr:cNvPr id="19" name="Grafik 18" descr="Ampul düz dolguyla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08DBF6B-6021-464F-848B-7A4063D47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45225" y="3775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29</xdr:row>
      <xdr:rowOff>102375</xdr:rowOff>
    </xdr:from>
    <xdr:to>
      <xdr:col>0</xdr:col>
      <xdr:colOff>428625</xdr:colOff>
      <xdr:row>31</xdr:row>
      <xdr:rowOff>117375</xdr:rowOff>
    </xdr:to>
    <xdr:pic macro="[0]!Cixis_Click">
      <xdr:nvPicPr>
        <xdr:cNvPr id="20" name="Grafik 19" descr="Çalıştır düz dolguyla">
          <a:extLst>
            <a:ext uri="{FF2B5EF4-FFF2-40B4-BE49-F238E27FC236}">
              <a16:creationId xmlns:a16="http://schemas.microsoft.com/office/drawing/2014/main" id="{84EB2301-CE64-4555-BD23-ED073F316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5700" y="606502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19050</xdr:colOff>
      <xdr:row>29</xdr:row>
      <xdr:rowOff>184050</xdr:rowOff>
    </xdr:from>
    <xdr:to>
      <xdr:col>4</xdr:col>
      <xdr:colOff>19050</xdr:colOff>
      <xdr:row>31</xdr:row>
      <xdr:rowOff>117375</xdr:rowOff>
    </xdr:to>
    <xdr:sp macro="[0]!Cixis_Click" textlink="">
      <xdr:nvSpPr>
        <xdr:cNvPr id="21" name="btn_exit" hidden="1">
          <a:extLst>
            <a:ext uri="{FF2B5EF4-FFF2-40B4-BE49-F238E27FC236}">
              <a16:creationId xmlns:a16="http://schemas.microsoft.com/office/drawing/2014/main" id="{31D5FD72-BEFE-46F5-8DAB-615AA2F7C5D2}"/>
            </a:ext>
          </a:extLst>
        </xdr:cNvPr>
        <xdr:cNvSpPr/>
      </xdr:nvSpPr>
      <xdr:spPr>
        <a:xfrm>
          <a:off x="504825" y="614670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Çıxış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0</xdr:col>
      <xdr:colOff>28575</xdr:colOff>
      <xdr:row>1</xdr:row>
      <xdr:rowOff>180975</xdr:rowOff>
    </xdr:from>
    <xdr:to>
      <xdr:col>0</xdr:col>
      <xdr:colOff>466725</xdr:colOff>
      <xdr:row>4</xdr:row>
      <xdr:rowOff>47625</xdr:rowOff>
    </xdr:to>
    <xdr:pic macro="[0]!Login_Form_Open">
      <xdr:nvPicPr>
        <xdr:cNvPr id="22" name="Grafik 21" descr="Kullanıcı düz dolguyla">
          <a:extLst>
            <a:ext uri="{FF2B5EF4-FFF2-40B4-BE49-F238E27FC236}">
              <a16:creationId xmlns:a16="http://schemas.microsoft.com/office/drawing/2014/main" id="{131D907A-B523-4B6B-9E48-E26D4A1B9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8575" y="809625"/>
          <a:ext cx="438150" cy="43815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2</xdr:row>
      <xdr:rowOff>180975</xdr:rowOff>
    </xdr:from>
    <xdr:to>
      <xdr:col>4</xdr:col>
      <xdr:colOff>28575</xdr:colOff>
      <xdr:row>4</xdr:row>
      <xdr:rowOff>114300</xdr:rowOff>
    </xdr:to>
    <xdr:sp macro="[0]!Login_Form_Open" textlink="">
      <xdr:nvSpPr>
        <xdr:cNvPr id="23" name="btn_yeniuser" hidden="1">
          <a:extLst>
            <a:ext uri="{FF2B5EF4-FFF2-40B4-BE49-F238E27FC236}">
              <a16:creationId xmlns:a16="http://schemas.microsoft.com/office/drawing/2014/main" id="{BC4FA012-F944-485C-8076-688763DB1FA6}"/>
            </a:ext>
          </a:extLst>
        </xdr:cNvPr>
        <xdr:cNvSpPr/>
      </xdr:nvSpPr>
      <xdr:spPr>
        <a:xfrm>
          <a:off x="514350" y="100012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  dəyiş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4</xdr:col>
      <xdr:colOff>19050</xdr:colOff>
      <xdr:row>3</xdr:row>
      <xdr:rowOff>171450</xdr:rowOff>
    </xdr:from>
    <xdr:to>
      <xdr:col>7</xdr:col>
      <xdr:colOff>0</xdr:colOff>
      <xdr:row>16</xdr:row>
      <xdr:rowOff>19050</xdr:rowOff>
    </xdr:to>
    <xdr:sp macro="" textlink="">
      <xdr:nvSpPr>
        <xdr:cNvPr id="24" name="Dikdörtgen 23">
          <a:extLst>
            <a:ext uri="{FF2B5EF4-FFF2-40B4-BE49-F238E27FC236}">
              <a16:creationId xmlns:a16="http://schemas.microsoft.com/office/drawing/2014/main" id="{E3C77D6B-EB5A-A044-14CC-FA48A2A75188}"/>
            </a:ext>
          </a:extLst>
        </xdr:cNvPr>
        <xdr:cNvSpPr/>
      </xdr:nvSpPr>
      <xdr:spPr>
        <a:xfrm>
          <a:off x="1981200" y="1238250"/>
          <a:ext cx="3267075" cy="232410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3</xdr:row>
      <xdr:rowOff>180975</xdr:rowOff>
    </xdr:from>
    <xdr:to>
      <xdr:col>18</xdr:col>
      <xdr:colOff>9525</xdr:colOff>
      <xdr:row>16</xdr:row>
      <xdr:rowOff>28575</xdr:rowOff>
    </xdr:to>
    <xdr:sp macro="" textlink="">
      <xdr:nvSpPr>
        <xdr:cNvPr id="25" name="Dikdörtgen 24">
          <a:extLst>
            <a:ext uri="{FF2B5EF4-FFF2-40B4-BE49-F238E27FC236}">
              <a16:creationId xmlns:a16="http://schemas.microsoft.com/office/drawing/2014/main" id="{DD55036E-5BD2-4110-E063-754412E215DE}"/>
            </a:ext>
          </a:extLst>
        </xdr:cNvPr>
        <xdr:cNvSpPr/>
      </xdr:nvSpPr>
      <xdr:spPr>
        <a:xfrm>
          <a:off x="6296025" y="1247775"/>
          <a:ext cx="6105525" cy="232410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19050</xdr:colOff>
      <xdr:row>20</xdr:row>
      <xdr:rowOff>0</xdr:rowOff>
    </xdr:from>
    <xdr:to>
      <xdr:col>10</xdr:col>
      <xdr:colOff>590550</xdr:colOff>
      <xdr:row>32</xdr:row>
      <xdr:rowOff>38100</xdr:rowOff>
    </xdr:to>
    <xdr:sp macro="" textlink="">
      <xdr:nvSpPr>
        <xdr:cNvPr id="26" name="Dikdörtgen 25">
          <a:extLst>
            <a:ext uri="{FF2B5EF4-FFF2-40B4-BE49-F238E27FC236}">
              <a16:creationId xmlns:a16="http://schemas.microsoft.com/office/drawing/2014/main" id="{EBC63F64-07B1-8A2F-5731-55E94833378B}"/>
            </a:ext>
          </a:extLst>
        </xdr:cNvPr>
        <xdr:cNvSpPr/>
      </xdr:nvSpPr>
      <xdr:spPr>
        <a:xfrm>
          <a:off x="1981200" y="4305300"/>
          <a:ext cx="6124575" cy="232410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9525</xdr:colOff>
      <xdr:row>19</xdr:row>
      <xdr:rowOff>171450</xdr:rowOff>
    </xdr:from>
    <xdr:to>
      <xdr:col>17</xdr:col>
      <xdr:colOff>590550</xdr:colOff>
      <xdr:row>32</xdr:row>
      <xdr:rowOff>19050</xdr:rowOff>
    </xdr:to>
    <xdr:sp macro="" textlink="">
      <xdr:nvSpPr>
        <xdr:cNvPr id="27" name="Dikdörtgen 26">
          <a:extLst>
            <a:ext uri="{FF2B5EF4-FFF2-40B4-BE49-F238E27FC236}">
              <a16:creationId xmlns:a16="http://schemas.microsoft.com/office/drawing/2014/main" id="{0ACB7E93-5034-7970-39C6-6E934D125106}"/>
            </a:ext>
          </a:extLst>
        </xdr:cNvPr>
        <xdr:cNvSpPr/>
      </xdr:nvSpPr>
      <xdr:spPr>
        <a:xfrm>
          <a:off x="8743950" y="4286250"/>
          <a:ext cx="3629025" cy="232410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0</xdr:colOff>
      <xdr:row>3</xdr:row>
      <xdr:rowOff>180976</xdr:rowOff>
    </xdr:from>
    <xdr:to>
      <xdr:col>18</xdr:col>
      <xdr:colOff>19050</xdr:colOff>
      <xdr:row>16</xdr:row>
      <xdr:rowOff>9526</xdr:rowOff>
    </xdr:to>
    <xdr:graphicFrame macro="">
      <xdr:nvGraphicFramePr>
        <xdr:cNvPr id="28" name="Grafik 27">
          <a:extLst>
            <a:ext uri="{FF2B5EF4-FFF2-40B4-BE49-F238E27FC236}">
              <a16:creationId xmlns:a16="http://schemas.microsoft.com/office/drawing/2014/main" id="{0ADB0F53-0F57-4BBA-BF73-36D061265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4</xdr:col>
      <xdr:colOff>19050</xdr:colOff>
      <xdr:row>3</xdr:row>
      <xdr:rowOff>171450</xdr:rowOff>
    </xdr:from>
    <xdr:to>
      <xdr:col>6</xdr:col>
      <xdr:colOff>1028700</xdr:colOff>
      <xdr:row>16</xdr:row>
      <xdr:rowOff>9525</xdr:rowOff>
    </xdr:to>
    <xdr:graphicFrame macro="">
      <xdr:nvGraphicFramePr>
        <xdr:cNvPr id="29" name="Grafik 28">
          <a:extLst>
            <a:ext uri="{FF2B5EF4-FFF2-40B4-BE49-F238E27FC236}">
              <a16:creationId xmlns:a16="http://schemas.microsoft.com/office/drawing/2014/main" id="{7B224CAC-225D-46E4-8D1E-15700152E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9524</xdr:colOff>
      <xdr:row>19</xdr:row>
      <xdr:rowOff>180975</xdr:rowOff>
    </xdr:from>
    <xdr:to>
      <xdr:col>17</xdr:col>
      <xdr:colOff>590549</xdr:colOff>
      <xdr:row>32</xdr:row>
      <xdr:rowOff>9525</xdr:rowOff>
    </xdr:to>
    <xdr:graphicFrame macro="">
      <xdr:nvGraphicFramePr>
        <xdr:cNvPr id="30" name="Grafik 29">
          <a:extLst>
            <a:ext uri="{FF2B5EF4-FFF2-40B4-BE49-F238E27FC236}">
              <a16:creationId xmlns:a16="http://schemas.microsoft.com/office/drawing/2014/main" id="{DDFCE72F-71DB-47F6-97BB-02AB3D6F18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45225</xdr:colOff>
      <xdr:row>0</xdr:row>
      <xdr:rowOff>114300</xdr:rowOff>
    </xdr:from>
    <xdr:to>
      <xdr:col>0</xdr:col>
      <xdr:colOff>466725</xdr:colOff>
      <xdr:row>0</xdr:row>
      <xdr:rowOff>542925</xdr:rowOff>
    </xdr:to>
    <xdr:pic macro="[0]!OpenTheMenu">
      <xdr:nvPicPr>
        <xdr:cNvPr id="10" name="HamMenu_Open" descr="Veri tabanı düz dolguyla">
          <a:extLst>
            <a:ext uri="{FF2B5EF4-FFF2-40B4-BE49-F238E27FC236}">
              <a16:creationId xmlns:a16="http://schemas.microsoft.com/office/drawing/2014/main" id="{746D4722-3D54-4C54-9482-2AAA895E7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5225" y="114300"/>
          <a:ext cx="421500" cy="428625"/>
        </a:xfrm>
        <a:prstGeom prst="rect">
          <a:avLst/>
        </a:prstGeom>
      </xdr:spPr>
    </xdr:pic>
    <xdr:clientData/>
  </xdr:twoCellAnchor>
  <xdr:twoCellAnchor editAs="absolute">
    <xdr:from>
      <xdr:col>3</xdr:col>
      <xdr:colOff>457200</xdr:colOff>
      <xdr:row>0</xdr:row>
      <xdr:rowOff>38100</xdr:rowOff>
    </xdr:from>
    <xdr:to>
      <xdr:col>3</xdr:col>
      <xdr:colOff>1000125</xdr:colOff>
      <xdr:row>0</xdr:row>
      <xdr:rowOff>581025</xdr:rowOff>
    </xdr:to>
    <xdr:pic macro="[0]!CloseTheMenu">
      <xdr:nvPicPr>
        <xdr:cNvPr id="11" name="HamMenu_Close" descr="Ok: Düz düz dolguyla" hidden="1">
          <a:extLst>
            <a:ext uri="{FF2B5EF4-FFF2-40B4-BE49-F238E27FC236}">
              <a16:creationId xmlns:a16="http://schemas.microsoft.com/office/drawing/2014/main" id="{FEB10823-BCEB-42AE-89B3-BBF7A2526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23975" y="38100"/>
          <a:ext cx="542925" cy="54292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5</xdr:row>
      <xdr:rowOff>42150</xdr:rowOff>
    </xdr:from>
    <xdr:to>
      <xdr:col>0</xdr:col>
      <xdr:colOff>447675</xdr:colOff>
      <xdr:row>7</xdr:row>
      <xdr:rowOff>57150</xdr:rowOff>
    </xdr:to>
    <xdr:pic>
      <xdr:nvPicPr>
        <xdr:cNvPr id="12" name="Grafik 11" descr="Kontrol listesi düz dolguyl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413CA62-C1EF-4FB1-B09F-B881F20D8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5225" y="1489950"/>
          <a:ext cx="402450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23</xdr:row>
      <xdr:rowOff>9433</xdr:rowOff>
    </xdr:from>
    <xdr:to>
      <xdr:col>0</xdr:col>
      <xdr:colOff>438150</xdr:colOff>
      <xdr:row>25</xdr:row>
      <xdr:rowOff>114208</xdr:rowOff>
    </xdr:to>
    <xdr:pic>
      <xdr:nvPicPr>
        <xdr:cNvPr id="13" name="Grafik 12" descr="Kullanıcılar düz dolguyla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AE362DA-6FE6-4AC5-B583-2495D08F9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25" y="4886233"/>
          <a:ext cx="392925" cy="48577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20</xdr:row>
      <xdr:rowOff>42150</xdr:rowOff>
    </xdr:from>
    <xdr:to>
      <xdr:col>0</xdr:col>
      <xdr:colOff>438150</xdr:colOff>
      <xdr:row>22</xdr:row>
      <xdr:rowOff>57150</xdr:rowOff>
    </xdr:to>
    <xdr:pic>
      <xdr:nvPicPr>
        <xdr:cNvPr id="14" name="Grafik 13" descr="Kilitle düz dolguyl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FFCB4F6-514F-4401-8720-E981186B0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4347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11</xdr:row>
      <xdr:rowOff>42150</xdr:rowOff>
    </xdr:from>
    <xdr:to>
      <xdr:col>0</xdr:col>
      <xdr:colOff>438150</xdr:colOff>
      <xdr:row>13</xdr:row>
      <xdr:rowOff>57150</xdr:rowOff>
    </xdr:to>
    <xdr:pic>
      <xdr:nvPicPr>
        <xdr:cNvPr id="15" name="Grafik 14" descr="Kilitle düz dolguyla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4FDF860-DBDB-4308-9D86-A81217154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2632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8</xdr:row>
      <xdr:rowOff>42150</xdr:rowOff>
    </xdr:from>
    <xdr:to>
      <xdr:col>0</xdr:col>
      <xdr:colOff>438150</xdr:colOff>
      <xdr:row>10</xdr:row>
      <xdr:rowOff>57150</xdr:rowOff>
    </xdr:to>
    <xdr:pic>
      <xdr:nvPicPr>
        <xdr:cNvPr id="17" name="Grafik 16" descr="Tokalaşma düz dolguyl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0CB88C2-912E-4893-BDDA-4DD8E23F3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5225" y="2061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26</xdr:row>
      <xdr:rowOff>99975</xdr:rowOff>
    </xdr:from>
    <xdr:to>
      <xdr:col>0</xdr:col>
      <xdr:colOff>428625</xdr:colOff>
      <xdr:row>28</xdr:row>
      <xdr:rowOff>114975</xdr:rowOff>
    </xdr:to>
    <xdr:pic>
      <xdr:nvPicPr>
        <xdr:cNvPr id="18" name="Grafik 17" descr="Tek Dişli düz dolguyla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2713058-9820-41D8-9092-62C9B70CB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35700" y="554827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14</xdr:row>
      <xdr:rowOff>42150</xdr:rowOff>
    </xdr:from>
    <xdr:to>
      <xdr:col>0</xdr:col>
      <xdr:colOff>438150</xdr:colOff>
      <xdr:row>16</xdr:row>
      <xdr:rowOff>57150</xdr:rowOff>
    </xdr:to>
    <xdr:pic>
      <xdr:nvPicPr>
        <xdr:cNvPr id="19" name="Grafik 18" descr="Yukarı yönlü eğilim düz dolguyla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3BE96D65-8CED-4F33-B1C9-53156DF5D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5225" y="3204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5</xdr:row>
      <xdr:rowOff>123825</xdr:rowOff>
    </xdr:from>
    <xdr:to>
      <xdr:col>3</xdr:col>
      <xdr:colOff>1123950</xdr:colOff>
      <xdr:row>7</xdr:row>
      <xdr:rowOff>57150</xdr:rowOff>
    </xdr:to>
    <xdr:sp macro="" textlink="">
      <xdr:nvSpPr>
        <xdr:cNvPr id="20" name="btn_blank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E389225-9691-43E1-88D9-1E0AD624B3A1}"/>
            </a:ext>
          </a:extLst>
        </xdr:cNvPr>
        <xdr:cNvSpPr/>
      </xdr:nvSpPr>
      <xdr:spPr>
        <a:xfrm>
          <a:off x="514350" y="1571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latin typeface="Segoe UI Semibold" panose="020B0702040204020203" pitchFamily="34" charset="0"/>
              <a:cs typeface="Segoe UI Semibold" panose="020B0702040204020203" pitchFamily="34" charset="0"/>
            </a:rPr>
            <a:t>  Blankı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8</xdr:row>
      <xdr:rowOff>123825</xdr:rowOff>
    </xdr:from>
    <xdr:to>
      <xdr:col>3</xdr:col>
      <xdr:colOff>1123950</xdr:colOff>
      <xdr:row>10</xdr:row>
      <xdr:rowOff>57150</xdr:rowOff>
    </xdr:to>
    <xdr:sp macro="" textlink="">
      <xdr:nvSpPr>
        <xdr:cNvPr id="21" name="btn_sifaris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40E03B13-3752-4E76-8070-9C382D1D420A}"/>
            </a:ext>
          </a:extLst>
        </xdr:cNvPr>
        <xdr:cNvSpPr/>
      </xdr:nvSpPr>
      <xdr:spPr>
        <a:xfrm>
          <a:off x="514350" y="214312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lər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20</xdr:row>
      <xdr:rowOff>123825</xdr:rowOff>
    </xdr:from>
    <xdr:to>
      <xdr:col>3</xdr:col>
      <xdr:colOff>1123950</xdr:colOff>
      <xdr:row>22</xdr:row>
      <xdr:rowOff>57150</xdr:rowOff>
    </xdr:to>
    <xdr:sp macro="" textlink="">
      <xdr:nvSpPr>
        <xdr:cNvPr id="22" name="btn_anbar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4750B1C-2F02-4E0E-A684-F45F82A064EE}"/>
            </a:ext>
          </a:extLst>
        </xdr:cNvPr>
        <xdr:cNvSpPr/>
      </xdr:nvSpPr>
      <xdr:spPr>
        <a:xfrm>
          <a:off x="514350" y="4429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Anbar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11</xdr:row>
      <xdr:rowOff>123825</xdr:rowOff>
    </xdr:from>
    <xdr:to>
      <xdr:col>3</xdr:col>
      <xdr:colOff>1123950</xdr:colOff>
      <xdr:row>13</xdr:row>
      <xdr:rowOff>57150</xdr:rowOff>
    </xdr:to>
    <xdr:sp macro="" textlink="">
      <xdr:nvSpPr>
        <xdr:cNvPr id="23" name="btn_suse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64749B1-1B71-4198-8EC4-EC79C84E1809}"/>
            </a:ext>
          </a:extLst>
        </xdr:cNvPr>
        <xdr:cNvSpPr/>
      </xdr:nvSpPr>
      <xdr:spPr>
        <a:xfrm>
          <a:off x="514350" y="2714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Şüşə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14</xdr:row>
      <xdr:rowOff>123825</xdr:rowOff>
    </xdr:from>
    <xdr:to>
      <xdr:col>3</xdr:col>
      <xdr:colOff>1123950</xdr:colOff>
      <xdr:row>16</xdr:row>
      <xdr:rowOff>57150</xdr:rowOff>
    </xdr:to>
    <xdr:sp macro="" textlink="">
      <xdr:nvSpPr>
        <xdr:cNvPr id="24" name="btn_dash" hidden="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A4C65BBB-93C0-4438-9A50-91C40500DF3F}"/>
            </a:ext>
          </a:extLst>
        </xdr:cNvPr>
        <xdr:cNvSpPr/>
      </xdr:nvSpPr>
      <xdr:spPr>
        <a:xfrm>
          <a:off x="514350" y="3286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Ümumi </a:t>
          </a:r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Statistika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17</xdr:row>
      <xdr:rowOff>123825</xdr:rowOff>
    </xdr:from>
    <xdr:to>
      <xdr:col>3</xdr:col>
      <xdr:colOff>1123950</xdr:colOff>
      <xdr:row>19</xdr:row>
      <xdr:rowOff>57150</xdr:rowOff>
    </xdr:to>
    <xdr:sp macro="" textlink="">
      <xdr:nvSpPr>
        <xdr:cNvPr id="25" name="btn_info" hidden="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3FE5217E-E151-423E-BFE6-0231E17FC182}"/>
            </a:ext>
          </a:extLst>
        </xdr:cNvPr>
        <xdr:cNvSpPr/>
      </xdr:nvSpPr>
      <xdr:spPr>
        <a:xfrm>
          <a:off x="514350" y="3857625"/>
          <a:ext cx="1476375" cy="3143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Məlumatlar</a:t>
          </a:r>
          <a:endParaRPr lang="ru-RU" sz="1200">
            <a:solidFill>
              <a:schemeClr val="accent2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23</xdr:row>
      <xdr:rowOff>180883</xdr:rowOff>
    </xdr:from>
    <xdr:to>
      <xdr:col>3</xdr:col>
      <xdr:colOff>1123950</xdr:colOff>
      <xdr:row>25</xdr:row>
      <xdr:rowOff>114208</xdr:rowOff>
    </xdr:to>
    <xdr:sp macro="" textlink="">
      <xdr:nvSpPr>
        <xdr:cNvPr id="26" name="btn_user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A3B6ECF-40D0-4473-A513-206A56EE0363}"/>
            </a:ext>
          </a:extLst>
        </xdr:cNvPr>
        <xdr:cNvSpPr/>
      </xdr:nvSpPr>
      <xdr:spPr>
        <a:xfrm>
          <a:off x="514350" y="5057683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İstifadəçilər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26</xdr:row>
      <xdr:rowOff>181650</xdr:rowOff>
    </xdr:from>
    <xdr:to>
      <xdr:col>3</xdr:col>
      <xdr:colOff>1123950</xdr:colOff>
      <xdr:row>28</xdr:row>
      <xdr:rowOff>114975</xdr:rowOff>
    </xdr:to>
    <xdr:sp macro="" textlink="">
      <xdr:nvSpPr>
        <xdr:cNvPr id="27" name="btn_ayar" hidden="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C133F80-E887-4BEA-937F-15A4B3D45581}"/>
            </a:ext>
          </a:extLst>
        </xdr:cNvPr>
        <xdr:cNvSpPr/>
      </xdr:nvSpPr>
      <xdr:spPr>
        <a:xfrm>
          <a:off x="514350" y="562995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Ayarlar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0</xdr:col>
      <xdr:colOff>45225</xdr:colOff>
      <xdr:row>17</xdr:row>
      <xdr:rowOff>42150</xdr:rowOff>
    </xdr:from>
    <xdr:to>
      <xdr:col>0</xdr:col>
      <xdr:colOff>438150</xdr:colOff>
      <xdr:row>19</xdr:row>
      <xdr:rowOff>57150</xdr:rowOff>
    </xdr:to>
    <xdr:pic>
      <xdr:nvPicPr>
        <xdr:cNvPr id="28" name="Grafik 27" descr="Ampul düz dolguyla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A386228-2804-4135-A3A2-36E333E79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45225" y="3775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29</xdr:row>
      <xdr:rowOff>45225</xdr:rowOff>
    </xdr:from>
    <xdr:to>
      <xdr:col>0</xdr:col>
      <xdr:colOff>428625</xdr:colOff>
      <xdr:row>31</xdr:row>
      <xdr:rowOff>60225</xdr:rowOff>
    </xdr:to>
    <xdr:pic macro="[0]!Cixis_Click">
      <xdr:nvPicPr>
        <xdr:cNvPr id="29" name="Grafik 28" descr="Çalıştır düz dolguyla">
          <a:extLst>
            <a:ext uri="{FF2B5EF4-FFF2-40B4-BE49-F238E27FC236}">
              <a16:creationId xmlns:a16="http://schemas.microsoft.com/office/drawing/2014/main" id="{5FDACB35-FD4A-4EAC-A859-8664EB69B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5700" y="606502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19050</xdr:colOff>
      <xdr:row>29</xdr:row>
      <xdr:rowOff>126900</xdr:rowOff>
    </xdr:from>
    <xdr:to>
      <xdr:col>3</xdr:col>
      <xdr:colOff>1114425</xdr:colOff>
      <xdr:row>31</xdr:row>
      <xdr:rowOff>60225</xdr:rowOff>
    </xdr:to>
    <xdr:sp macro="[0]!Cixis_Click" textlink="">
      <xdr:nvSpPr>
        <xdr:cNvPr id="30" name="btn_exit" hidden="1">
          <a:extLst>
            <a:ext uri="{FF2B5EF4-FFF2-40B4-BE49-F238E27FC236}">
              <a16:creationId xmlns:a16="http://schemas.microsoft.com/office/drawing/2014/main" id="{68FEAA01-DBAB-44C5-A22A-2996CB106BEE}"/>
            </a:ext>
          </a:extLst>
        </xdr:cNvPr>
        <xdr:cNvSpPr/>
      </xdr:nvSpPr>
      <xdr:spPr>
        <a:xfrm>
          <a:off x="504825" y="614670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Çıxış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19050</xdr:colOff>
      <xdr:row>0</xdr:row>
      <xdr:rowOff>381000</xdr:rowOff>
    </xdr:from>
    <xdr:to>
      <xdr:col>6</xdr:col>
      <xdr:colOff>514350</xdr:colOff>
      <xdr:row>1</xdr:row>
      <xdr:rowOff>28575</xdr:rowOff>
    </xdr:to>
    <xdr:sp macro="" textlink="">
      <xdr:nvSpPr>
        <xdr:cNvPr id="2" name="Akış Çizelgesi: İşlem 1">
          <a:extLst>
            <a:ext uri="{FF2B5EF4-FFF2-40B4-BE49-F238E27FC236}">
              <a16:creationId xmlns:a16="http://schemas.microsoft.com/office/drawing/2014/main" id="{97A7B9D2-D106-41EC-9550-18ECAD2A7934}"/>
            </a:ext>
          </a:extLst>
        </xdr:cNvPr>
        <xdr:cNvSpPr/>
      </xdr:nvSpPr>
      <xdr:spPr>
        <a:xfrm>
          <a:off x="885825" y="381000"/>
          <a:ext cx="2266950" cy="276225"/>
        </a:xfrm>
        <a:prstGeom prst="flowChart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Alüminium Profil Sistemləri</a:t>
          </a:r>
          <a:endParaRPr lang="en-US" sz="1200">
            <a:solidFill>
              <a:schemeClr val="accent2">
                <a:lumMod val="20000"/>
                <a:lumOff val="80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>
    <xdr:from>
      <xdr:col>3</xdr:col>
      <xdr:colOff>19050</xdr:colOff>
      <xdr:row>0</xdr:row>
      <xdr:rowOff>0</xdr:rowOff>
    </xdr:from>
    <xdr:to>
      <xdr:col>7</xdr:col>
      <xdr:colOff>809625</xdr:colOff>
      <xdr:row>0</xdr:row>
      <xdr:rowOff>533400</xdr:rowOff>
    </xdr:to>
    <xdr:sp macro="" textlink="">
      <xdr:nvSpPr>
        <xdr:cNvPr id="3" name="Akış Çizelgesi: İşlem 2">
          <a:extLst>
            <a:ext uri="{FF2B5EF4-FFF2-40B4-BE49-F238E27FC236}">
              <a16:creationId xmlns:a16="http://schemas.microsoft.com/office/drawing/2014/main" id="{B6734A16-29B6-46C1-A640-311427233402}"/>
            </a:ext>
          </a:extLst>
        </xdr:cNvPr>
        <xdr:cNvSpPr/>
      </xdr:nvSpPr>
      <xdr:spPr>
        <a:xfrm>
          <a:off x="885825" y="0"/>
          <a:ext cx="2562225" cy="533400"/>
        </a:xfrm>
        <a:prstGeom prst="flowChartProces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az-Latn-AZ" sz="4000">
              <a:solidFill>
                <a:schemeClr val="accent2">
                  <a:lumMod val="20000"/>
                  <a:lumOff val="80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AlumPro</a:t>
          </a:r>
          <a:endParaRPr lang="en-US" sz="4000">
            <a:solidFill>
              <a:schemeClr val="accent2">
                <a:lumMod val="20000"/>
                <a:lumOff val="80000"/>
              </a:schemeClr>
            </a:solidFill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twoCellAnchor>
  <xdr:twoCellAnchor editAs="absolute">
    <xdr:from>
      <xdr:col>0</xdr:col>
      <xdr:colOff>28575</xdr:colOff>
      <xdr:row>1</xdr:row>
      <xdr:rowOff>114300</xdr:rowOff>
    </xdr:from>
    <xdr:to>
      <xdr:col>0</xdr:col>
      <xdr:colOff>466725</xdr:colOff>
      <xdr:row>3</xdr:row>
      <xdr:rowOff>114300</xdr:rowOff>
    </xdr:to>
    <xdr:pic macro="[0]!Login_Form_Open">
      <xdr:nvPicPr>
        <xdr:cNvPr id="4" name="Grafik 3" descr="Kullanıcı düz dolguyla">
          <a:extLst>
            <a:ext uri="{FF2B5EF4-FFF2-40B4-BE49-F238E27FC236}">
              <a16:creationId xmlns:a16="http://schemas.microsoft.com/office/drawing/2014/main" id="{1A610BC6-2CBA-4609-9017-E2F9DEAD4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8575" y="742950"/>
          <a:ext cx="438150" cy="43815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1</xdr:row>
      <xdr:rowOff>200025</xdr:rowOff>
    </xdr:from>
    <xdr:to>
      <xdr:col>3</xdr:col>
      <xdr:colOff>1123950</xdr:colOff>
      <xdr:row>3</xdr:row>
      <xdr:rowOff>76200</xdr:rowOff>
    </xdr:to>
    <xdr:sp macro="[0]!Login_Form_Open" textlink="">
      <xdr:nvSpPr>
        <xdr:cNvPr id="5" name="btn_yeniuser" hidden="1">
          <a:extLst>
            <a:ext uri="{FF2B5EF4-FFF2-40B4-BE49-F238E27FC236}">
              <a16:creationId xmlns:a16="http://schemas.microsoft.com/office/drawing/2014/main" id="{8E88E621-60E4-497D-8D9E-F5B37BD704EB}"/>
            </a:ext>
          </a:extLst>
        </xdr:cNvPr>
        <xdr:cNvSpPr/>
      </xdr:nvSpPr>
      <xdr:spPr>
        <a:xfrm>
          <a:off x="514350" y="82867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  dəyiş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45225</xdr:colOff>
      <xdr:row>0</xdr:row>
      <xdr:rowOff>114300</xdr:rowOff>
    </xdr:from>
    <xdr:to>
      <xdr:col>0</xdr:col>
      <xdr:colOff>466725</xdr:colOff>
      <xdr:row>0</xdr:row>
      <xdr:rowOff>542925</xdr:rowOff>
    </xdr:to>
    <xdr:pic macro="[0]!OpenTheMenu">
      <xdr:nvPicPr>
        <xdr:cNvPr id="2" name="HamMenu_Open" descr="Veri tabanı düz dolguyla">
          <a:extLst>
            <a:ext uri="{FF2B5EF4-FFF2-40B4-BE49-F238E27FC236}">
              <a16:creationId xmlns:a16="http://schemas.microsoft.com/office/drawing/2014/main" id="{0F7AC222-0789-4287-9712-8CCAA491D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5225" y="114300"/>
          <a:ext cx="421500" cy="428625"/>
        </a:xfrm>
        <a:prstGeom prst="rect">
          <a:avLst/>
        </a:prstGeom>
      </xdr:spPr>
    </xdr:pic>
    <xdr:clientData/>
  </xdr:twoCellAnchor>
  <xdr:twoCellAnchor editAs="absolute">
    <xdr:from>
      <xdr:col>3</xdr:col>
      <xdr:colOff>457200</xdr:colOff>
      <xdr:row>0</xdr:row>
      <xdr:rowOff>38100</xdr:rowOff>
    </xdr:from>
    <xdr:to>
      <xdr:col>3</xdr:col>
      <xdr:colOff>1000125</xdr:colOff>
      <xdr:row>0</xdr:row>
      <xdr:rowOff>581025</xdr:rowOff>
    </xdr:to>
    <xdr:pic macro="[0]!CloseTheMenu">
      <xdr:nvPicPr>
        <xdr:cNvPr id="3" name="HamMenu_Close" descr="Ok: Düz düz dolguyla" hidden="1">
          <a:extLst>
            <a:ext uri="{FF2B5EF4-FFF2-40B4-BE49-F238E27FC236}">
              <a16:creationId xmlns:a16="http://schemas.microsoft.com/office/drawing/2014/main" id="{9EDEFC09-72F0-426C-9477-51DAD8DA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23975" y="38100"/>
          <a:ext cx="542925" cy="54292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4</xdr:row>
      <xdr:rowOff>61200</xdr:rowOff>
    </xdr:from>
    <xdr:to>
      <xdr:col>0</xdr:col>
      <xdr:colOff>447675</xdr:colOff>
      <xdr:row>5</xdr:row>
      <xdr:rowOff>180975</xdr:rowOff>
    </xdr:to>
    <xdr:pic>
      <xdr:nvPicPr>
        <xdr:cNvPr id="4" name="Grafik 3" descr="Kontrol listesi düz dolguyl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CFAFFE9-80FF-4363-9E63-7B64FD2E1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5225" y="1489950"/>
          <a:ext cx="402450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20</xdr:row>
      <xdr:rowOff>152308</xdr:rowOff>
    </xdr:from>
    <xdr:to>
      <xdr:col>0</xdr:col>
      <xdr:colOff>438150</xdr:colOff>
      <xdr:row>23</xdr:row>
      <xdr:rowOff>66583</xdr:rowOff>
    </xdr:to>
    <xdr:pic>
      <xdr:nvPicPr>
        <xdr:cNvPr id="5" name="Grafik 4" descr="Kullanıcılar düz dolguyla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AEFA726-A62A-4A13-A98C-F505383A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25" y="4886233"/>
          <a:ext cx="392925" cy="48577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18</xdr:row>
      <xdr:rowOff>2145</xdr:rowOff>
    </xdr:from>
    <xdr:to>
      <xdr:col>0</xdr:col>
      <xdr:colOff>438150</xdr:colOff>
      <xdr:row>20</xdr:row>
      <xdr:rowOff>9525</xdr:rowOff>
    </xdr:to>
    <xdr:pic>
      <xdr:nvPicPr>
        <xdr:cNvPr id="6" name="Grafik 5" descr="Kilitle düz dolguyl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3193163-1273-4710-B4F3-EC1B4A37E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4347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9</xdr:row>
      <xdr:rowOff>2145</xdr:rowOff>
    </xdr:from>
    <xdr:to>
      <xdr:col>0</xdr:col>
      <xdr:colOff>438150</xdr:colOff>
      <xdr:row>11</xdr:row>
      <xdr:rowOff>9525</xdr:rowOff>
    </xdr:to>
    <xdr:pic>
      <xdr:nvPicPr>
        <xdr:cNvPr id="7" name="Grafik 6" descr="Kilitle düz dolguyla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B6D5669-D709-48C4-BAF4-E9B88B33A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2632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6</xdr:row>
      <xdr:rowOff>80250</xdr:rowOff>
    </xdr:from>
    <xdr:to>
      <xdr:col>0</xdr:col>
      <xdr:colOff>438150</xdr:colOff>
      <xdr:row>8</xdr:row>
      <xdr:rowOff>9525</xdr:rowOff>
    </xdr:to>
    <xdr:pic>
      <xdr:nvPicPr>
        <xdr:cNvPr id="8" name="Grafik 7" descr="Tokalaşma düz dolguyl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9FCFE9C-3C73-4DCA-815F-459229570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5225" y="2061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24</xdr:row>
      <xdr:rowOff>52350</xdr:rowOff>
    </xdr:from>
    <xdr:to>
      <xdr:col>0</xdr:col>
      <xdr:colOff>428625</xdr:colOff>
      <xdr:row>26</xdr:row>
      <xdr:rowOff>67350</xdr:rowOff>
    </xdr:to>
    <xdr:pic>
      <xdr:nvPicPr>
        <xdr:cNvPr id="9" name="Grafik 8" descr="Tek Dişli düz dolguyla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2EDB362-18A2-47B5-96C5-0AC58D1BC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35700" y="554827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12</xdr:row>
      <xdr:rowOff>2145</xdr:rowOff>
    </xdr:from>
    <xdr:to>
      <xdr:col>0</xdr:col>
      <xdr:colOff>438150</xdr:colOff>
      <xdr:row>14</xdr:row>
      <xdr:rowOff>9525</xdr:rowOff>
    </xdr:to>
    <xdr:pic>
      <xdr:nvPicPr>
        <xdr:cNvPr id="10" name="Grafik 9" descr="Yukarı yönlü eğilim düz dolguyla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F5F9CD9-96DC-44C2-B11C-A25CDEC46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5225" y="3204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4</xdr:row>
      <xdr:rowOff>142875</xdr:rowOff>
    </xdr:from>
    <xdr:to>
      <xdr:col>4</xdr:col>
      <xdr:colOff>28575</xdr:colOff>
      <xdr:row>5</xdr:row>
      <xdr:rowOff>180975</xdr:rowOff>
    </xdr:to>
    <xdr:sp macro="" textlink="">
      <xdr:nvSpPr>
        <xdr:cNvPr id="11" name="btn_blank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1FBE3C7-8064-488F-BB95-A8933E0C7885}"/>
            </a:ext>
          </a:extLst>
        </xdr:cNvPr>
        <xdr:cNvSpPr/>
      </xdr:nvSpPr>
      <xdr:spPr>
        <a:xfrm>
          <a:off x="514350" y="1571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latin typeface="Segoe UI Semibold" panose="020B0702040204020203" pitchFamily="34" charset="0"/>
              <a:cs typeface="Segoe UI Semibold" panose="020B0702040204020203" pitchFamily="34" charset="0"/>
            </a:rPr>
            <a:t>  Blankı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6</xdr:row>
      <xdr:rowOff>161925</xdr:rowOff>
    </xdr:from>
    <xdr:to>
      <xdr:col>4</xdr:col>
      <xdr:colOff>28575</xdr:colOff>
      <xdr:row>8</xdr:row>
      <xdr:rowOff>9525</xdr:rowOff>
    </xdr:to>
    <xdr:sp macro="" textlink="">
      <xdr:nvSpPr>
        <xdr:cNvPr id="12" name="btn_sifaris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92A71A0-5E43-4EE1-BBD5-E3CA02E3B7FD}"/>
            </a:ext>
          </a:extLst>
        </xdr:cNvPr>
        <xdr:cNvSpPr/>
      </xdr:nvSpPr>
      <xdr:spPr>
        <a:xfrm>
          <a:off x="514350" y="214312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lər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18</xdr:row>
      <xdr:rowOff>76200</xdr:rowOff>
    </xdr:from>
    <xdr:to>
      <xdr:col>4</xdr:col>
      <xdr:colOff>28575</xdr:colOff>
      <xdr:row>20</xdr:row>
      <xdr:rowOff>9525</xdr:rowOff>
    </xdr:to>
    <xdr:sp macro="" textlink="">
      <xdr:nvSpPr>
        <xdr:cNvPr id="13" name="btn_anbar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A1C4C-C274-4418-9F8F-E208C8E2D484}"/>
            </a:ext>
          </a:extLst>
        </xdr:cNvPr>
        <xdr:cNvSpPr/>
      </xdr:nvSpPr>
      <xdr:spPr>
        <a:xfrm>
          <a:off x="514350" y="4429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Anbar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9</xdr:row>
      <xdr:rowOff>76200</xdr:rowOff>
    </xdr:from>
    <xdr:to>
      <xdr:col>4</xdr:col>
      <xdr:colOff>28575</xdr:colOff>
      <xdr:row>11</xdr:row>
      <xdr:rowOff>9525</xdr:rowOff>
    </xdr:to>
    <xdr:sp macro="" textlink="">
      <xdr:nvSpPr>
        <xdr:cNvPr id="14" name="btn_suse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E82A716-77C1-481A-B0FD-2F9736F8858D}"/>
            </a:ext>
          </a:extLst>
        </xdr:cNvPr>
        <xdr:cNvSpPr/>
      </xdr:nvSpPr>
      <xdr:spPr>
        <a:xfrm>
          <a:off x="514350" y="2714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Şüşə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12</xdr:row>
      <xdr:rowOff>76200</xdr:rowOff>
    </xdr:from>
    <xdr:to>
      <xdr:col>4</xdr:col>
      <xdr:colOff>28575</xdr:colOff>
      <xdr:row>14</xdr:row>
      <xdr:rowOff>9525</xdr:rowOff>
    </xdr:to>
    <xdr:sp macro="" textlink="">
      <xdr:nvSpPr>
        <xdr:cNvPr id="15" name="btn_dash" hidden="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2E4F24A3-56F2-43C7-A249-5C4DA7FBEAEE}"/>
            </a:ext>
          </a:extLst>
        </xdr:cNvPr>
        <xdr:cNvSpPr/>
      </xdr:nvSpPr>
      <xdr:spPr>
        <a:xfrm>
          <a:off x="514350" y="3286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Ümumi </a:t>
          </a:r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Statistika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15</xdr:row>
      <xdr:rowOff>76200</xdr:rowOff>
    </xdr:from>
    <xdr:to>
      <xdr:col>4</xdr:col>
      <xdr:colOff>28575</xdr:colOff>
      <xdr:row>17</xdr:row>
      <xdr:rowOff>9525</xdr:rowOff>
    </xdr:to>
    <xdr:sp macro="" textlink="">
      <xdr:nvSpPr>
        <xdr:cNvPr id="16" name="btn_info" hidden="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E004D11-5567-4C81-B236-1B2A9EB80EE3}"/>
            </a:ext>
          </a:extLst>
        </xdr:cNvPr>
        <xdr:cNvSpPr/>
      </xdr:nvSpPr>
      <xdr:spPr>
        <a:xfrm>
          <a:off x="514350" y="3857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Məlumatlar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21</xdr:row>
      <xdr:rowOff>133258</xdr:rowOff>
    </xdr:from>
    <xdr:to>
      <xdr:col>4</xdr:col>
      <xdr:colOff>28575</xdr:colOff>
      <xdr:row>23</xdr:row>
      <xdr:rowOff>66583</xdr:rowOff>
    </xdr:to>
    <xdr:sp macro="" textlink="">
      <xdr:nvSpPr>
        <xdr:cNvPr id="17" name="btn_user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EBBE8F5-AFFB-4A9F-B111-5F2588EE2715}"/>
            </a:ext>
          </a:extLst>
        </xdr:cNvPr>
        <xdr:cNvSpPr/>
      </xdr:nvSpPr>
      <xdr:spPr>
        <a:xfrm>
          <a:off x="514350" y="5057683"/>
          <a:ext cx="1476375" cy="3143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İstifadəçilər</a:t>
          </a:r>
          <a:endParaRPr lang="ru-RU" sz="1200">
            <a:solidFill>
              <a:schemeClr val="accent2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24</xdr:row>
      <xdr:rowOff>134025</xdr:rowOff>
    </xdr:from>
    <xdr:to>
      <xdr:col>4</xdr:col>
      <xdr:colOff>28575</xdr:colOff>
      <xdr:row>26</xdr:row>
      <xdr:rowOff>67350</xdr:rowOff>
    </xdr:to>
    <xdr:sp macro="" textlink="">
      <xdr:nvSpPr>
        <xdr:cNvPr id="18" name="btn_ayar" hidden="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805BE71-0292-447B-8EF1-BE392A1FCCA8}"/>
            </a:ext>
          </a:extLst>
        </xdr:cNvPr>
        <xdr:cNvSpPr/>
      </xdr:nvSpPr>
      <xdr:spPr>
        <a:xfrm>
          <a:off x="514350" y="562995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Ayarlar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0</xdr:col>
      <xdr:colOff>45225</xdr:colOff>
      <xdr:row>15</xdr:row>
      <xdr:rowOff>2145</xdr:rowOff>
    </xdr:from>
    <xdr:to>
      <xdr:col>0</xdr:col>
      <xdr:colOff>438150</xdr:colOff>
      <xdr:row>17</xdr:row>
      <xdr:rowOff>9525</xdr:rowOff>
    </xdr:to>
    <xdr:pic>
      <xdr:nvPicPr>
        <xdr:cNvPr id="19" name="Grafik 18" descr="Ampul düz dolguyla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887A672-D0C0-4846-8BC9-F1D2C1A9F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45225" y="3775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26</xdr:row>
      <xdr:rowOff>180480</xdr:rowOff>
    </xdr:from>
    <xdr:to>
      <xdr:col>0</xdr:col>
      <xdr:colOff>428625</xdr:colOff>
      <xdr:row>29</xdr:row>
      <xdr:rowOff>12600</xdr:rowOff>
    </xdr:to>
    <xdr:pic macro="[0]!Cixis_Click">
      <xdr:nvPicPr>
        <xdr:cNvPr id="20" name="Grafik 19" descr="Çalıştır düz dolguyla">
          <a:extLst>
            <a:ext uri="{FF2B5EF4-FFF2-40B4-BE49-F238E27FC236}">
              <a16:creationId xmlns:a16="http://schemas.microsoft.com/office/drawing/2014/main" id="{983CD86E-8446-4550-8F36-9B215B379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5700" y="606502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19050</xdr:colOff>
      <xdr:row>27</xdr:row>
      <xdr:rowOff>79275</xdr:rowOff>
    </xdr:from>
    <xdr:to>
      <xdr:col>4</xdr:col>
      <xdr:colOff>19050</xdr:colOff>
      <xdr:row>29</xdr:row>
      <xdr:rowOff>12600</xdr:rowOff>
    </xdr:to>
    <xdr:sp macro="[0]!Cixis_Click" textlink="">
      <xdr:nvSpPr>
        <xdr:cNvPr id="21" name="btn_exit" hidden="1">
          <a:extLst>
            <a:ext uri="{FF2B5EF4-FFF2-40B4-BE49-F238E27FC236}">
              <a16:creationId xmlns:a16="http://schemas.microsoft.com/office/drawing/2014/main" id="{9F7AD417-712A-47F7-A691-BB648C34282F}"/>
            </a:ext>
          </a:extLst>
        </xdr:cNvPr>
        <xdr:cNvSpPr/>
      </xdr:nvSpPr>
      <xdr:spPr>
        <a:xfrm>
          <a:off x="504825" y="614670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Çıxış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0</xdr:col>
      <xdr:colOff>28575</xdr:colOff>
      <xdr:row>1</xdr:row>
      <xdr:rowOff>180975</xdr:rowOff>
    </xdr:from>
    <xdr:to>
      <xdr:col>0</xdr:col>
      <xdr:colOff>466725</xdr:colOff>
      <xdr:row>3</xdr:row>
      <xdr:rowOff>95250</xdr:rowOff>
    </xdr:to>
    <xdr:pic macro="[0]!Login_Form_Open">
      <xdr:nvPicPr>
        <xdr:cNvPr id="22" name="Grafik 21" descr="Kullanıcı düz dolguyla">
          <a:extLst>
            <a:ext uri="{FF2B5EF4-FFF2-40B4-BE49-F238E27FC236}">
              <a16:creationId xmlns:a16="http://schemas.microsoft.com/office/drawing/2014/main" id="{2602A43F-F9F4-47B2-8C43-8E14A22EB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8575" y="914400"/>
          <a:ext cx="438150" cy="43815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2</xdr:row>
      <xdr:rowOff>123825</xdr:rowOff>
    </xdr:from>
    <xdr:to>
      <xdr:col>4</xdr:col>
      <xdr:colOff>28575</xdr:colOff>
      <xdr:row>3</xdr:row>
      <xdr:rowOff>161925</xdr:rowOff>
    </xdr:to>
    <xdr:sp macro="[0]!Login_Form_Open" textlink="">
      <xdr:nvSpPr>
        <xdr:cNvPr id="23" name="btn_yeniuser" hidden="1">
          <a:extLst>
            <a:ext uri="{FF2B5EF4-FFF2-40B4-BE49-F238E27FC236}">
              <a16:creationId xmlns:a16="http://schemas.microsoft.com/office/drawing/2014/main" id="{6F996729-F57C-4B87-808A-222550D7209D}"/>
            </a:ext>
          </a:extLst>
        </xdr:cNvPr>
        <xdr:cNvSpPr/>
      </xdr:nvSpPr>
      <xdr:spPr>
        <a:xfrm>
          <a:off x="514350" y="100012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  dəyiş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45225</xdr:colOff>
      <xdr:row>0</xdr:row>
      <xdr:rowOff>114300</xdr:rowOff>
    </xdr:from>
    <xdr:to>
      <xdr:col>0</xdr:col>
      <xdr:colOff>466725</xdr:colOff>
      <xdr:row>0</xdr:row>
      <xdr:rowOff>542925</xdr:rowOff>
    </xdr:to>
    <xdr:pic macro="[0]!OpenTheMenu">
      <xdr:nvPicPr>
        <xdr:cNvPr id="2" name="HamMenu_Open" descr="Veri tabanı düz dolguyla">
          <a:extLst>
            <a:ext uri="{FF2B5EF4-FFF2-40B4-BE49-F238E27FC236}">
              <a16:creationId xmlns:a16="http://schemas.microsoft.com/office/drawing/2014/main" id="{0AE820B9-782C-4754-81C6-24B807403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5225" y="114300"/>
          <a:ext cx="421500" cy="428625"/>
        </a:xfrm>
        <a:prstGeom prst="rect">
          <a:avLst/>
        </a:prstGeom>
      </xdr:spPr>
    </xdr:pic>
    <xdr:clientData/>
  </xdr:twoCellAnchor>
  <xdr:twoCellAnchor editAs="absolute">
    <xdr:from>
      <xdr:col>3</xdr:col>
      <xdr:colOff>457200</xdr:colOff>
      <xdr:row>0</xdr:row>
      <xdr:rowOff>38100</xdr:rowOff>
    </xdr:from>
    <xdr:to>
      <xdr:col>3</xdr:col>
      <xdr:colOff>1000125</xdr:colOff>
      <xdr:row>0</xdr:row>
      <xdr:rowOff>581025</xdr:rowOff>
    </xdr:to>
    <xdr:pic macro="[0]!CloseTheMenu">
      <xdr:nvPicPr>
        <xdr:cNvPr id="3" name="HamMenu_Close" descr="Ok: Düz düz dolguyla" hidden="1">
          <a:extLst>
            <a:ext uri="{FF2B5EF4-FFF2-40B4-BE49-F238E27FC236}">
              <a16:creationId xmlns:a16="http://schemas.microsoft.com/office/drawing/2014/main" id="{D35897B8-7F6C-4A52-BC67-3BEB9F54F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23975" y="38100"/>
          <a:ext cx="542925" cy="54292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5</xdr:row>
      <xdr:rowOff>42150</xdr:rowOff>
    </xdr:from>
    <xdr:to>
      <xdr:col>0</xdr:col>
      <xdr:colOff>447675</xdr:colOff>
      <xdr:row>7</xdr:row>
      <xdr:rowOff>57150</xdr:rowOff>
    </xdr:to>
    <xdr:pic>
      <xdr:nvPicPr>
        <xdr:cNvPr id="4" name="Grafik 3" descr="Kontrol listesi düz dolguyl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0C0213-9A43-4FC0-9D50-CEFA1759D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5225" y="1489950"/>
          <a:ext cx="402450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23</xdr:row>
      <xdr:rowOff>9433</xdr:rowOff>
    </xdr:from>
    <xdr:to>
      <xdr:col>0</xdr:col>
      <xdr:colOff>438150</xdr:colOff>
      <xdr:row>25</xdr:row>
      <xdr:rowOff>114208</xdr:rowOff>
    </xdr:to>
    <xdr:pic>
      <xdr:nvPicPr>
        <xdr:cNvPr id="5" name="Grafik 4" descr="Kullanıcılar düz dolguyla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853D367-2830-4396-9103-830245E5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25" y="4886233"/>
          <a:ext cx="392925" cy="48577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20</xdr:row>
      <xdr:rowOff>42150</xdr:rowOff>
    </xdr:from>
    <xdr:to>
      <xdr:col>0</xdr:col>
      <xdr:colOff>438150</xdr:colOff>
      <xdr:row>22</xdr:row>
      <xdr:rowOff>57150</xdr:rowOff>
    </xdr:to>
    <xdr:pic>
      <xdr:nvPicPr>
        <xdr:cNvPr id="6" name="Grafik 5" descr="Kilitle düz dolguyl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F51983E-545A-4C3D-A5B5-203837C1E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4347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11</xdr:row>
      <xdr:rowOff>42150</xdr:rowOff>
    </xdr:from>
    <xdr:to>
      <xdr:col>0</xdr:col>
      <xdr:colOff>438150</xdr:colOff>
      <xdr:row>13</xdr:row>
      <xdr:rowOff>57150</xdr:rowOff>
    </xdr:to>
    <xdr:pic>
      <xdr:nvPicPr>
        <xdr:cNvPr id="7" name="Grafik 6" descr="Kilitle düz dolguyla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3C65AD4-6F32-4F70-B3E2-14E046FF4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2632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8</xdr:row>
      <xdr:rowOff>42150</xdr:rowOff>
    </xdr:from>
    <xdr:to>
      <xdr:col>0</xdr:col>
      <xdr:colOff>438150</xdr:colOff>
      <xdr:row>10</xdr:row>
      <xdr:rowOff>57150</xdr:rowOff>
    </xdr:to>
    <xdr:pic>
      <xdr:nvPicPr>
        <xdr:cNvPr id="8" name="Grafik 7" descr="Tokalaşma düz dolguyl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BDA4ACA-D165-4C63-A34F-E08F14AF6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5225" y="2061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26</xdr:row>
      <xdr:rowOff>99975</xdr:rowOff>
    </xdr:from>
    <xdr:to>
      <xdr:col>0</xdr:col>
      <xdr:colOff>428625</xdr:colOff>
      <xdr:row>28</xdr:row>
      <xdr:rowOff>114975</xdr:rowOff>
    </xdr:to>
    <xdr:pic>
      <xdr:nvPicPr>
        <xdr:cNvPr id="9" name="Grafik 8" descr="Tek Dişli düz dolguyla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94041C3B-AF45-4830-91C4-E3E2A6690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35700" y="554827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14</xdr:row>
      <xdr:rowOff>42150</xdr:rowOff>
    </xdr:from>
    <xdr:to>
      <xdr:col>0</xdr:col>
      <xdr:colOff>438150</xdr:colOff>
      <xdr:row>16</xdr:row>
      <xdr:rowOff>57150</xdr:rowOff>
    </xdr:to>
    <xdr:pic>
      <xdr:nvPicPr>
        <xdr:cNvPr id="10" name="Grafik 9" descr="Yukarı yönlü eğilim düz dolguyla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7116B573-EFFB-49A0-9284-D29AFC6B9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5225" y="3204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5</xdr:row>
      <xdr:rowOff>123825</xdr:rowOff>
    </xdr:from>
    <xdr:to>
      <xdr:col>3</xdr:col>
      <xdr:colOff>1123950</xdr:colOff>
      <xdr:row>7</xdr:row>
      <xdr:rowOff>57150</xdr:rowOff>
    </xdr:to>
    <xdr:sp macro="" textlink="">
      <xdr:nvSpPr>
        <xdr:cNvPr id="11" name="btn_blank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21492D5-5B37-4FA0-82D5-DCAD4C297BB1}"/>
            </a:ext>
          </a:extLst>
        </xdr:cNvPr>
        <xdr:cNvSpPr/>
      </xdr:nvSpPr>
      <xdr:spPr>
        <a:xfrm>
          <a:off x="514350" y="1571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latin typeface="Segoe UI Semibold" panose="020B0702040204020203" pitchFamily="34" charset="0"/>
              <a:cs typeface="Segoe UI Semibold" panose="020B0702040204020203" pitchFamily="34" charset="0"/>
            </a:rPr>
            <a:t>  Blankı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8</xdr:row>
      <xdr:rowOff>123825</xdr:rowOff>
    </xdr:from>
    <xdr:to>
      <xdr:col>3</xdr:col>
      <xdr:colOff>1123950</xdr:colOff>
      <xdr:row>10</xdr:row>
      <xdr:rowOff>57150</xdr:rowOff>
    </xdr:to>
    <xdr:sp macro="" textlink="">
      <xdr:nvSpPr>
        <xdr:cNvPr id="12" name="btn_sifaris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F64A4B0-06BC-4A6B-9C19-A017352BF761}"/>
            </a:ext>
          </a:extLst>
        </xdr:cNvPr>
        <xdr:cNvSpPr/>
      </xdr:nvSpPr>
      <xdr:spPr>
        <a:xfrm>
          <a:off x="514350" y="214312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lər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20</xdr:row>
      <xdr:rowOff>123825</xdr:rowOff>
    </xdr:from>
    <xdr:to>
      <xdr:col>3</xdr:col>
      <xdr:colOff>1123950</xdr:colOff>
      <xdr:row>22</xdr:row>
      <xdr:rowOff>57150</xdr:rowOff>
    </xdr:to>
    <xdr:sp macro="" textlink="">
      <xdr:nvSpPr>
        <xdr:cNvPr id="13" name="btn_anbar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8424A7B-50CC-499F-AA39-392E00808B3D}"/>
            </a:ext>
          </a:extLst>
        </xdr:cNvPr>
        <xdr:cNvSpPr/>
      </xdr:nvSpPr>
      <xdr:spPr>
        <a:xfrm>
          <a:off x="514350" y="4429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Anbar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11</xdr:row>
      <xdr:rowOff>123825</xdr:rowOff>
    </xdr:from>
    <xdr:to>
      <xdr:col>3</xdr:col>
      <xdr:colOff>1123950</xdr:colOff>
      <xdr:row>13</xdr:row>
      <xdr:rowOff>57150</xdr:rowOff>
    </xdr:to>
    <xdr:sp macro="" textlink="">
      <xdr:nvSpPr>
        <xdr:cNvPr id="14" name="btn_suse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A0168B8-3E02-4464-9865-ED317502BD67}"/>
            </a:ext>
          </a:extLst>
        </xdr:cNvPr>
        <xdr:cNvSpPr/>
      </xdr:nvSpPr>
      <xdr:spPr>
        <a:xfrm>
          <a:off x="514350" y="2714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Şüşə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14</xdr:row>
      <xdr:rowOff>123825</xdr:rowOff>
    </xdr:from>
    <xdr:to>
      <xdr:col>3</xdr:col>
      <xdr:colOff>1123950</xdr:colOff>
      <xdr:row>16</xdr:row>
      <xdr:rowOff>57150</xdr:rowOff>
    </xdr:to>
    <xdr:sp macro="" textlink="">
      <xdr:nvSpPr>
        <xdr:cNvPr id="15" name="btn_dash" hidden="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714D0986-628B-4732-91A1-886FF3006288}"/>
            </a:ext>
          </a:extLst>
        </xdr:cNvPr>
        <xdr:cNvSpPr/>
      </xdr:nvSpPr>
      <xdr:spPr>
        <a:xfrm>
          <a:off x="514350" y="3286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Ümumi </a:t>
          </a:r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Statistika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17</xdr:row>
      <xdr:rowOff>123825</xdr:rowOff>
    </xdr:from>
    <xdr:to>
      <xdr:col>3</xdr:col>
      <xdr:colOff>1123950</xdr:colOff>
      <xdr:row>19</xdr:row>
      <xdr:rowOff>57150</xdr:rowOff>
    </xdr:to>
    <xdr:sp macro="" textlink="">
      <xdr:nvSpPr>
        <xdr:cNvPr id="16" name="btn_info" hidden="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22A7E0B-173E-43BB-867D-C456CD8C2F0E}"/>
            </a:ext>
          </a:extLst>
        </xdr:cNvPr>
        <xdr:cNvSpPr/>
      </xdr:nvSpPr>
      <xdr:spPr>
        <a:xfrm>
          <a:off x="514350" y="3857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Məlumatlar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23</xdr:row>
      <xdr:rowOff>180883</xdr:rowOff>
    </xdr:from>
    <xdr:to>
      <xdr:col>3</xdr:col>
      <xdr:colOff>1123950</xdr:colOff>
      <xdr:row>25</xdr:row>
      <xdr:rowOff>114208</xdr:rowOff>
    </xdr:to>
    <xdr:sp macro="" textlink="">
      <xdr:nvSpPr>
        <xdr:cNvPr id="17" name="btn_user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4BFD5D6-E124-4AFD-8A08-134E9214B65A}"/>
            </a:ext>
          </a:extLst>
        </xdr:cNvPr>
        <xdr:cNvSpPr/>
      </xdr:nvSpPr>
      <xdr:spPr>
        <a:xfrm>
          <a:off x="514350" y="5057683"/>
          <a:ext cx="1476375" cy="3143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İstifadəçilər</a:t>
          </a:r>
          <a:endParaRPr lang="ru-RU" sz="1200">
            <a:solidFill>
              <a:schemeClr val="accent2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26</xdr:row>
      <xdr:rowOff>181650</xdr:rowOff>
    </xdr:from>
    <xdr:to>
      <xdr:col>3</xdr:col>
      <xdr:colOff>1123950</xdr:colOff>
      <xdr:row>28</xdr:row>
      <xdr:rowOff>114975</xdr:rowOff>
    </xdr:to>
    <xdr:sp macro="" textlink="">
      <xdr:nvSpPr>
        <xdr:cNvPr id="18" name="btn_ayar" hidden="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D134E9D-F944-4D03-A573-F63E1A2BBBEA}"/>
            </a:ext>
          </a:extLst>
        </xdr:cNvPr>
        <xdr:cNvSpPr/>
      </xdr:nvSpPr>
      <xdr:spPr>
        <a:xfrm>
          <a:off x="514350" y="562995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Ayarlar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0</xdr:col>
      <xdr:colOff>45225</xdr:colOff>
      <xdr:row>17</xdr:row>
      <xdr:rowOff>42150</xdr:rowOff>
    </xdr:from>
    <xdr:to>
      <xdr:col>0</xdr:col>
      <xdr:colOff>438150</xdr:colOff>
      <xdr:row>19</xdr:row>
      <xdr:rowOff>57150</xdr:rowOff>
    </xdr:to>
    <xdr:pic>
      <xdr:nvPicPr>
        <xdr:cNvPr id="19" name="Grafik 18" descr="Ampul düz dolguyla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4D4B0FA-C52D-44DB-8B88-4C230B35D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45225" y="3775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29</xdr:row>
      <xdr:rowOff>45225</xdr:rowOff>
    </xdr:from>
    <xdr:to>
      <xdr:col>0</xdr:col>
      <xdr:colOff>428625</xdr:colOff>
      <xdr:row>31</xdr:row>
      <xdr:rowOff>60225</xdr:rowOff>
    </xdr:to>
    <xdr:pic macro="[0]!Cixis_Click">
      <xdr:nvPicPr>
        <xdr:cNvPr id="20" name="Grafik 19" descr="Çalıştır düz dolguyla">
          <a:extLst>
            <a:ext uri="{FF2B5EF4-FFF2-40B4-BE49-F238E27FC236}">
              <a16:creationId xmlns:a16="http://schemas.microsoft.com/office/drawing/2014/main" id="{E867FA24-4540-443D-A99E-438EA9A44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5700" y="606502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19050</xdr:colOff>
      <xdr:row>29</xdr:row>
      <xdr:rowOff>126900</xdr:rowOff>
    </xdr:from>
    <xdr:to>
      <xdr:col>3</xdr:col>
      <xdr:colOff>1114425</xdr:colOff>
      <xdr:row>31</xdr:row>
      <xdr:rowOff>60225</xdr:rowOff>
    </xdr:to>
    <xdr:sp macro="[0]!Cixis_Click" textlink="">
      <xdr:nvSpPr>
        <xdr:cNvPr id="21" name="btn_exit" hidden="1">
          <a:extLst>
            <a:ext uri="{FF2B5EF4-FFF2-40B4-BE49-F238E27FC236}">
              <a16:creationId xmlns:a16="http://schemas.microsoft.com/office/drawing/2014/main" id="{0166031E-1EF3-44F7-9DD2-D19739BF00B6}"/>
            </a:ext>
          </a:extLst>
        </xdr:cNvPr>
        <xdr:cNvSpPr/>
      </xdr:nvSpPr>
      <xdr:spPr>
        <a:xfrm>
          <a:off x="504825" y="614670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Çıxış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0</xdr:col>
      <xdr:colOff>28575</xdr:colOff>
      <xdr:row>1</xdr:row>
      <xdr:rowOff>180975</xdr:rowOff>
    </xdr:from>
    <xdr:to>
      <xdr:col>0</xdr:col>
      <xdr:colOff>466725</xdr:colOff>
      <xdr:row>3</xdr:row>
      <xdr:rowOff>209550</xdr:rowOff>
    </xdr:to>
    <xdr:pic macro="[0]!Login_Form_Open">
      <xdr:nvPicPr>
        <xdr:cNvPr id="22" name="Grafik 21" descr="Kullanıcı düz dolguyla">
          <a:extLst>
            <a:ext uri="{FF2B5EF4-FFF2-40B4-BE49-F238E27FC236}">
              <a16:creationId xmlns:a16="http://schemas.microsoft.com/office/drawing/2014/main" id="{4A4F16B4-CF17-4F0D-8454-1B383A1DE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8575" y="809625"/>
          <a:ext cx="438150" cy="43815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2</xdr:row>
      <xdr:rowOff>180975</xdr:rowOff>
    </xdr:from>
    <xdr:to>
      <xdr:col>3</xdr:col>
      <xdr:colOff>1123950</xdr:colOff>
      <xdr:row>4</xdr:row>
      <xdr:rowOff>57150</xdr:rowOff>
    </xdr:to>
    <xdr:sp macro="[0]!Login_Form_Open" textlink="">
      <xdr:nvSpPr>
        <xdr:cNvPr id="23" name="btn_yeniuser" hidden="1">
          <a:extLst>
            <a:ext uri="{FF2B5EF4-FFF2-40B4-BE49-F238E27FC236}">
              <a16:creationId xmlns:a16="http://schemas.microsoft.com/office/drawing/2014/main" id="{EFC1401F-2D3D-47A5-A05A-E8B87809395E}"/>
            </a:ext>
          </a:extLst>
        </xdr:cNvPr>
        <xdr:cNvSpPr/>
      </xdr:nvSpPr>
      <xdr:spPr>
        <a:xfrm>
          <a:off x="514350" y="100012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  dəyiş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104775</xdr:colOff>
      <xdr:row>24</xdr:row>
      <xdr:rowOff>109537</xdr:rowOff>
    </xdr:from>
    <xdr:to>
      <xdr:col>5</xdr:col>
      <xdr:colOff>295275</xdr:colOff>
      <xdr:row>38</xdr:row>
      <xdr:rowOff>185737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86D3EAC1-AAB8-B23C-5790-E5237B9FC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22</xdr:row>
      <xdr:rowOff>128587</xdr:rowOff>
    </xdr:from>
    <xdr:to>
      <xdr:col>15</xdr:col>
      <xdr:colOff>457200</xdr:colOff>
      <xdr:row>37</xdr:row>
      <xdr:rowOff>14287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F29D890C-A4BF-8B3A-F1A6-14172B0005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171450</xdr:colOff>
      <xdr:row>23</xdr:row>
      <xdr:rowOff>100012</xdr:rowOff>
    </xdr:from>
    <xdr:to>
      <xdr:col>22</xdr:col>
      <xdr:colOff>304800</xdr:colOff>
      <xdr:row>35</xdr:row>
      <xdr:rowOff>38100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DB358FC7-8A6F-26B0-2A8C-8E13AE730D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45225</xdr:colOff>
      <xdr:row>0</xdr:row>
      <xdr:rowOff>114300</xdr:rowOff>
    </xdr:from>
    <xdr:to>
      <xdr:col>0</xdr:col>
      <xdr:colOff>466725</xdr:colOff>
      <xdr:row>0</xdr:row>
      <xdr:rowOff>542925</xdr:rowOff>
    </xdr:to>
    <xdr:pic macro="[0]!OpenTheMenu">
      <xdr:nvPicPr>
        <xdr:cNvPr id="2" name="HamMenu_Open" descr="Veri tabanı düz dolguyla">
          <a:extLst>
            <a:ext uri="{FF2B5EF4-FFF2-40B4-BE49-F238E27FC236}">
              <a16:creationId xmlns:a16="http://schemas.microsoft.com/office/drawing/2014/main" id="{8AD6BEAB-3A72-457E-9ECF-75B57B91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5225" y="114300"/>
          <a:ext cx="421500" cy="428625"/>
        </a:xfrm>
        <a:prstGeom prst="rect">
          <a:avLst/>
        </a:prstGeom>
      </xdr:spPr>
    </xdr:pic>
    <xdr:clientData/>
  </xdr:twoCellAnchor>
  <xdr:twoCellAnchor editAs="absolute">
    <xdr:from>
      <xdr:col>3</xdr:col>
      <xdr:colOff>457200</xdr:colOff>
      <xdr:row>0</xdr:row>
      <xdr:rowOff>38100</xdr:rowOff>
    </xdr:from>
    <xdr:to>
      <xdr:col>3</xdr:col>
      <xdr:colOff>1000125</xdr:colOff>
      <xdr:row>0</xdr:row>
      <xdr:rowOff>581025</xdr:rowOff>
    </xdr:to>
    <xdr:pic macro="[0]!CloseTheMenu">
      <xdr:nvPicPr>
        <xdr:cNvPr id="3" name="HamMenu_Close" descr="Ok: Düz düz dolguyla" hidden="1">
          <a:extLst>
            <a:ext uri="{FF2B5EF4-FFF2-40B4-BE49-F238E27FC236}">
              <a16:creationId xmlns:a16="http://schemas.microsoft.com/office/drawing/2014/main" id="{62B468AB-E048-4F44-B7EE-378774BBD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23975" y="38100"/>
          <a:ext cx="542925" cy="54292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4</xdr:row>
      <xdr:rowOff>118350</xdr:rowOff>
    </xdr:from>
    <xdr:to>
      <xdr:col>0</xdr:col>
      <xdr:colOff>447675</xdr:colOff>
      <xdr:row>6</xdr:row>
      <xdr:rowOff>19050</xdr:rowOff>
    </xdr:to>
    <xdr:pic>
      <xdr:nvPicPr>
        <xdr:cNvPr id="4" name="Grafik 3" descr="Kontrol listesi düz dolguyl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BA80BD-5DB3-4579-A39D-666CB6A4A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5225" y="1489950"/>
          <a:ext cx="402450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18</xdr:row>
      <xdr:rowOff>47533</xdr:rowOff>
    </xdr:from>
    <xdr:to>
      <xdr:col>0</xdr:col>
      <xdr:colOff>438150</xdr:colOff>
      <xdr:row>20</xdr:row>
      <xdr:rowOff>38008</xdr:rowOff>
    </xdr:to>
    <xdr:pic>
      <xdr:nvPicPr>
        <xdr:cNvPr id="5" name="Grafik 4" descr="Kullanıcılar düz dolguyla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C07EDAE-E284-4C46-B7CF-9FC35B698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25" y="4886233"/>
          <a:ext cx="392925" cy="485775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16</xdr:row>
      <xdr:rowOff>4050</xdr:rowOff>
    </xdr:from>
    <xdr:to>
      <xdr:col>0</xdr:col>
      <xdr:colOff>438150</xdr:colOff>
      <xdr:row>18</xdr:row>
      <xdr:rowOff>0</xdr:rowOff>
    </xdr:to>
    <xdr:pic>
      <xdr:nvPicPr>
        <xdr:cNvPr id="6" name="Grafik 5" descr="Kilitle düz dolguyl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61E10F0-4F72-4740-8D4B-4B03AE83A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4347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9</xdr:row>
      <xdr:rowOff>23100</xdr:rowOff>
    </xdr:from>
    <xdr:to>
      <xdr:col>0</xdr:col>
      <xdr:colOff>438150</xdr:colOff>
      <xdr:row>10</xdr:row>
      <xdr:rowOff>171450</xdr:rowOff>
    </xdr:to>
    <xdr:pic>
      <xdr:nvPicPr>
        <xdr:cNvPr id="7" name="Grafik 6" descr="Kilitle düz dolguyla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262AA23-0E3D-47E6-BA77-5F61FAE05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25" y="2632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6</xdr:row>
      <xdr:rowOff>171690</xdr:rowOff>
    </xdr:from>
    <xdr:to>
      <xdr:col>0</xdr:col>
      <xdr:colOff>438150</xdr:colOff>
      <xdr:row>8</xdr:row>
      <xdr:rowOff>95250</xdr:rowOff>
    </xdr:to>
    <xdr:pic>
      <xdr:nvPicPr>
        <xdr:cNvPr id="8" name="Grafik 7" descr="Tokalaşma düz dolguyla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06F7BB9-CED0-4A9D-AE8D-16C2D2708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5225" y="2061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21</xdr:row>
      <xdr:rowOff>2820</xdr:rowOff>
    </xdr:from>
    <xdr:to>
      <xdr:col>0</xdr:col>
      <xdr:colOff>428625</xdr:colOff>
      <xdr:row>22</xdr:row>
      <xdr:rowOff>114975</xdr:rowOff>
    </xdr:to>
    <xdr:pic>
      <xdr:nvPicPr>
        <xdr:cNvPr id="9" name="Grafik 8" descr="Tek Dişli düz dolguyla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ECE00C6-ED6B-4DF2-8FDE-E16F0235E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35700" y="554827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45225</xdr:colOff>
      <xdr:row>11</xdr:row>
      <xdr:rowOff>99300</xdr:rowOff>
    </xdr:from>
    <xdr:to>
      <xdr:col>0</xdr:col>
      <xdr:colOff>438150</xdr:colOff>
      <xdr:row>13</xdr:row>
      <xdr:rowOff>85725</xdr:rowOff>
    </xdr:to>
    <xdr:pic>
      <xdr:nvPicPr>
        <xdr:cNvPr id="10" name="Grafik 9" descr="Yukarı yönlü eğilim düz dolguyla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531F6392-C252-4435-9CE6-B3160D92F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5225" y="32044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5</xdr:row>
      <xdr:rowOff>1905</xdr:rowOff>
    </xdr:from>
    <xdr:to>
      <xdr:col>4</xdr:col>
      <xdr:colOff>28575</xdr:colOff>
      <xdr:row>6</xdr:row>
      <xdr:rowOff>19050</xdr:rowOff>
    </xdr:to>
    <xdr:sp macro="" textlink="">
      <xdr:nvSpPr>
        <xdr:cNvPr id="11" name="btn_blank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5C47C8-75C4-4905-BE5E-CDEAC38C9F3F}"/>
            </a:ext>
          </a:extLst>
        </xdr:cNvPr>
        <xdr:cNvSpPr/>
      </xdr:nvSpPr>
      <xdr:spPr>
        <a:xfrm>
          <a:off x="514350" y="1571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latin typeface="Segoe UI Semibold" panose="020B0702040204020203" pitchFamily="34" charset="0"/>
              <a:cs typeface="Segoe UI Semibold" panose="020B0702040204020203" pitchFamily="34" charset="0"/>
            </a:rPr>
            <a:t>  Blankı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7</xdr:row>
      <xdr:rowOff>28575</xdr:rowOff>
    </xdr:from>
    <xdr:to>
      <xdr:col>4</xdr:col>
      <xdr:colOff>28575</xdr:colOff>
      <xdr:row>8</xdr:row>
      <xdr:rowOff>95250</xdr:rowOff>
    </xdr:to>
    <xdr:sp macro="" textlink="">
      <xdr:nvSpPr>
        <xdr:cNvPr id="12" name="btn_sifaris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5B139F3-F186-4076-AD74-FEB0396162C2}"/>
            </a:ext>
          </a:extLst>
        </xdr:cNvPr>
        <xdr:cNvSpPr/>
      </xdr:nvSpPr>
      <xdr:spPr>
        <a:xfrm>
          <a:off x="514350" y="214312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lər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16</xdr:row>
      <xdr:rowOff>171450</xdr:rowOff>
    </xdr:from>
    <xdr:to>
      <xdr:col>4</xdr:col>
      <xdr:colOff>28575</xdr:colOff>
      <xdr:row>18</xdr:row>
      <xdr:rowOff>0</xdr:rowOff>
    </xdr:to>
    <xdr:sp macro="" textlink="">
      <xdr:nvSpPr>
        <xdr:cNvPr id="13" name="btn_anbar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55DE97C-8939-4D64-A850-C533958EF27D}"/>
            </a:ext>
          </a:extLst>
        </xdr:cNvPr>
        <xdr:cNvSpPr/>
      </xdr:nvSpPr>
      <xdr:spPr>
        <a:xfrm>
          <a:off x="514350" y="4429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Anbar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9</xdr:row>
      <xdr:rowOff>104775</xdr:rowOff>
    </xdr:from>
    <xdr:to>
      <xdr:col>4</xdr:col>
      <xdr:colOff>28575</xdr:colOff>
      <xdr:row>10</xdr:row>
      <xdr:rowOff>171450</xdr:rowOff>
    </xdr:to>
    <xdr:sp macro="" textlink="">
      <xdr:nvSpPr>
        <xdr:cNvPr id="14" name="btn_suse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36A6E2B-9720-454D-8BB9-9152E47C0042}"/>
            </a:ext>
          </a:extLst>
        </xdr:cNvPr>
        <xdr:cNvSpPr/>
      </xdr:nvSpPr>
      <xdr:spPr>
        <a:xfrm>
          <a:off x="514350" y="2714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Şüşə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12</xdr:row>
      <xdr:rowOff>0</xdr:rowOff>
    </xdr:from>
    <xdr:to>
      <xdr:col>4</xdr:col>
      <xdr:colOff>28575</xdr:colOff>
      <xdr:row>13</xdr:row>
      <xdr:rowOff>85725</xdr:rowOff>
    </xdr:to>
    <xdr:sp macro="" textlink="">
      <xdr:nvSpPr>
        <xdr:cNvPr id="15" name="btn_dash" hidden="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D1FE809-C7EF-4E54-9B6D-3128919E51DC}"/>
            </a:ext>
          </a:extLst>
        </xdr:cNvPr>
        <xdr:cNvSpPr/>
      </xdr:nvSpPr>
      <xdr:spPr>
        <a:xfrm>
          <a:off x="514350" y="32861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Ümumi </a:t>
          </a:r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Statistika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14</xdr:row>
      <xdr:rowOff>9525</xdr:rowOff>
    </xdr:from>
    <xdr:to>
      <xdr:col>4</xdr:col>
      <xdr:colOff>28575</xdr:colOff>
      <xdr:row>15</xdr:row>
      <xdr:rowOff>38100</xdr:rowOff>
    </xdr:to>
    <xdr:sp macro="" textlink="">
      <xdr:nvSpPr>
        <xdr:cNvPr id="16" name="btn_info" hidden="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6370C31F-21A8-4904-AED2-D668B2F93F34}"/>
            </a:ext>
          </a:extLst>
        </xdr:cNvPr>
        <xdr:cNvSpPr/>
      </xdr:nvSpPr>
      <xdr:spPr>
        <a:xfrm>
          <a:off x="514350" y="38576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Məlumatlar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18</xdr:row>
      <xdr:rowOff>127543</xdr:rowOff>
    </xdr:from>
    <xdr:to>
      <xdr:col>4</xdr:col>
      <xdr:colOff>28575</xdr:colOff>
      <xdr:row>20</xdr:row>
      <xdr:rowOff>38008</xdr:rowOff>
    </xdr:to>
    <xdr:sp macro="" textlink="">
      <xdr:nvSpPr>
        <xdr:cNvPr id="17" name="btn_user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71911F2-ECBD-4776-B520-0EA7BF7FEEE0}"/>
            </a:ext>
          </a:extLst>
        </xdr:cNvPr>
        <xdr:cNvSpPr/>
      </xdr:nvSpPr>
      <xdr:spPr>
        <a:xfrm>
          <a:off x="514350" y="5057683"/>
          <a:ext cx="1476375" cy="3143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İstifadəçilər</a:t>
          </a:r>
          <a:endParaRPr lang="ru-RU" sz="1200">
            <a:solidFill>
              <a:schemeClr val="accent2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28575</xdr:colOff>
      <xdr:row>21</xdr:row>
      <xdr:rowOff>48300</xdr:rowOff>
    </xdr:from>
    <xdr:to>
      <xdr:col>4</xdr:col>
      <xdr:colOff>28575</xdr:colOff>
      <xdr:row>22</xdr:row>
      <xdr:rowOff>114975</xdr:rowOff>
    </xdr:to>
    <xdr:sp macro="" textlink="">
      <xdr:nvSpPr>
        <xdr:cNvPr id="18" name="btn_ayar" hidden="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F26926F8-FDFC-4C9B-B325-D742248BFE83}"/>
            </a:ext>
          </a:extLst>
        </xdr:cNvPr>
        <xdr:cNvSpPr/>
      </xdr:nvSpPr>
      <xdr:spPr>
        <a:xfrm>
          <a:off x="514350" y="562995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Ayarlar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0</xdr:col>
      <xdr:colOff>45225</xdr:colOff>
      <xdr:row>13</xdr:row>
      <xdr:rowOff>175500</xdr:rowOff>
    </xdr:from>
    <xdr:to>
      <xdr:col>0</xdr:col>
      <xdr:colOff>438150</xdr:colOff>
      <xdr:row>15</xdr:row>
      <xdr:rowOff>38100</xdr:rowOff>
    </xdr:to>
    <xdr:pic>
      <xdr:nvPicPr>
        <xdr:cNvPr id="19" name="Grafik 18" descr="Ampul düz dolguyla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391F4F52-A644-49F4-A296-6A1677773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45225" y="37759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35700</xdr:colOff>
      <xdr:row>22</xdr:row>
      <xdr:rowOff>178575</xdr:rowOff>
    </xdr:from>
    <xdr:to>
      <xdr:col>0</xdr:col>
      <xdr:colOff>428625</xdr:colOff>
      <xdr:row>24</xdr:row>
      <xdr:rowOff>140235</xdr:rowOff>
    </xdr:to>
    <xdr:pic macro="[0]!Cixis_Click">
      <xdr:nvPicPr>
        <xdr:cNvPr id="20" name="Grafik 19" descr="Çalıştır düz dolguyla">
          <a:extLst>
            <a:ext uri="{FF2B5EF4-FFF2-40B4-BE49-F238E27FC236}">
              <a16:creationId xmlns:a16="http://schemas.microsoft.com/office/drawing/2014/main" id="{DAA1FE82-A378-4E3D-A0DF-6F0EB8B921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5700" y="606502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19050</xdr:colOff>
      <xdr:row>23</xdr:row>
      <xdr:rowOff>54510</xdr:rowOff>
    </xdr:from>
    <xdr:to>
      <xdr:col>4</xdr:col>
      <xdr:colOff>19050</xdr:colOff>
      <xdr:row>24</xdr:row>
      <xdr:rowOff>140235</xdr:rowOff>
    </xdr:to>
    <xdr:sp macro="[0]!Cixis_Click" textlink="">
      <xdr:nvSpPr>
        <xdr:cNvPr id="21" name="btn_exit" hidden="1">
          <a:extLst>
            <a:ext uri="{FF2B5EF4-FFF2-40B4-BE49-F238E27FC236}">
              <a16:creationId xmlns:a16="http://schemas.microsoft.com/office/drawing/2014/main" id="{EFDC4206-0C6C-40BF-AF63-3BB399CADDAC}"/>
            </a:ext>
          </a:extLst>
        </xdr:cNvPr>
        <xdr:cNvSpPr/>
      </xdr:nvSpPr>
      <xdr:spPr>
        <a:xfrm>
          <a:off x="504825" y="614670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Çıxış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0</xdr:col>
      <xdr:colOff>28575</xdr:colOff>
      <xdr:row>1</xdr:row>
      <xdr:rowOff>173355</xdr:rowOff>
    </xdr:from>
    <xdr:to>
      <xdr:col>0</xdr:col>
      <xdr:colOff>466725</xdr:colOff>
      <xdr:row>3</xdr:row>
      <xdr:rowOff>123825</xdr:rowOff>
    </xdr:to>
    <xdr:pic macro="[0]!Login_Form_Open">
      <xdr:nvPicPr>
        <xdr:cNvPr id="22" name="Grafik 21" descr="Kullanıcı düz dolguyla">
          <a:extLst>
            <a:ext uri="{FF2B5EF4-FFF2-40B4-BE49-F238E27FC236}">
              <a16:creationId xmlns:a16="http://schemas.microsoft.com/office/drawing/2014/main" id="{0DEF1755-2A51-4253-A0A3-DF495F3AA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8575" y="809625"/>
          <a:ext cx="438150" cy="43815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2</xdr:row>
      <xdr:rowOff>123825</xdr:rowOff>
    </xdr:from>
    <xdr:to>
      <xdr:col>4</xdr:col>
      <xdr:colOff>28575</xdr:colOff>
      <xdr:row>4</xdr:row>
      <xdr:rowOff>0</xdr:rowOff>
    </xdr:to>
    <xdr:sp macro="[0]!Login_Form_Open" textlink="">
      <xdr:nvSpPr>
        <xdr:cNvPr id="23" name="btn_yeniuser" hidden="1">
          <a:extLst>
            <a:ext uri="{FF2B5EF4-FFF2-40B4-BE49-F238E27FC236}">
              <a16:creationId xmlns:a16="http://schemas.microsoft.com/office/drawing/2014/main" id="{748B5506-0BD0-4CD0-89C7-B6C84F42F22D}"/>
            </a:ext>
          </a:extLst>
        </xdr:cNvPr>
        <xdr:cNvSpPr/>
      </xdr:nvSpPr>
      <xdr:spPr>
        <a:xfrm>
          <a:off x="514350" y="100012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  dəyiş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152400</xdr:colOff>
      <xdr:row>3</xdr:row>
      <xdr:rowOff>47625</xdr:rowOff>
    </xdr:from>
    <xdr:to>
      <xdr:col>12</xdr:col>
      <xdr:colOff>409575</xdr:colOff>
      <xdr:row>5</xdr:row>
      <xdr:rowOff>76200</xdr:rowOff>
    </xdr:to>
    <xdr:sp macro="[0]!Login_Form_Open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3AC611CD-319F-6E9E-0566-628DF6135C49}"/>
            </a:ext>
          </a:extLst>
        </xdr:cNvPr>
        <xdr:cNvSpPr/>
      </xdr:nvSpPr>
      <xdr:spPr>
        <a:xfrm>
          <a:off x="7286625" y="619125"/>
          <a:ext cx="2085975" cy="428625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Istifadeci Deyis</a:t>
          </a:r>
          <a:endParaRPr lang="ru-RU" sz="1600" b="1"/>
        </a:p>
      </xdr:txBody>
    </xdr:sp>
    <xdr:clientData/>
  </xdr:twoCellAnchor>
  <xdr:twoCellAnchor>
    <xdr:from>
      <xdr:col>9</xdr:col>
      <xdr:colOff>190500</xdr:colOff>
      <xdr:row>7</xdr:row>
      <xdr:rowOff>123825</xdr:rowOff>
    </xdr:from>
    <xdr:to>
      <xdr:col>12</xdr:col>
      <xdr:colOff>476250</xdr:colOff>
      <xdr:row>9</xdr:row>
      <xdr:rowOff>171450</xdr:rowOff>
    </xdr:to>
    <xdr:sp macro="[0]!Print_All_Pages_Names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4BD28B2A-10B5-7E36-CEFB-8AD1393B5131}"/>
            </a:ext>
          </a:extLst>
        </xdr:cNvPr>
        <xdr:cNvSpPr/>
      </xdr:nvSpPr>
      <xdr:spPr>
        <a:xfrm>
          <a:off x="7324725" y="1476375"/>
          <a:ext cx="2114550" cy="428625"/>
        </a:xfrm>
        <a:prstGeom prst="roundRect">
          <a:avLst>
            <a:gd name="adj" fmla="val 50000"/>
          </a:avLst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Ayarlari yadda saxla</a:t>
          </a:r>
          <a:endParaRPr lang="ru-RU" sz="1600" b="1"/>
        </a:p>
      </xdr:txBody>
    </xdr:sp>
    <xdr:clientData/>
  </xdr:twoCellAnchor>
  <xdr:twoCellAnchor editAs="absolute">
    <xdr:from>
      <xdr:col>0</xdr:col>
      <xdr:colOff>73800</xdr:colOff>
      <xdr:row>0</xdr:row>
      <xdr:rowOff>95250</xdr:rowOff>
    </xdr:from>
    <xdr:to>
      <xdr:col>0</xdr:col>
      <xdr:colOff>495300</xdr:colOff>
      <xdr:row>2</xdr:row>
      <xdr:rowOff>142875</xdr:rowOff>
    </xdr:to>
    <xdr:pic macro="[0]!OpenTheMenu">
      <xdr:nvPicPr>
        <xdr:cNvPr id="2" name="HamMenu_Open" descr="Veri tabanı düz dolguyla">
          <a:extLst>
            <a:ext uri="{FF2B5EF4-FFF2-40B4-BE49-F238E27FC236}">
              <a16:creationId xmlns:a16="http://schemas.microsoft.com/office/drawing/2014/main" id="{D31E0152-5ECC-426C-913F-65D6E3242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800" y="95250"/>
          <a:ext cx="421500" cy="428625"/>
        </a:xfrm>
        <a:prstGeom prst="rect">
          <a:avLst/>
        </a:prstGeom>
      </xdr:spPr>
    </xdr:pic>
    <xdr:clientData/>
  </xdr:twoCellAnchor>
  <xdr:twoCellAnchor editAs="absolute">
    <xdr:from>
      <xdr:col>0</xdr:col>
      <xdr:colOff>73800</xdr:colOff>
      <xdr:row>25</xdr:row>
      <xdr:rowOff>104683</xdr:rowOff>
    </xdr:from>
    <xdr:to>
      <xdr:col>0</xdr:col>
      <xdr:colOff>466725</xdr:colOff>
      <xdr:row>28</xdr:row>
      <xdr:rowOff>18958</xdr:rowOff>
    </xdr:to>
    <xdr:pic>
      <xdr:nvPicPr>
        <xdr:cNvPr id="5" name="Grafik 4" descr="Kullanıcılar düz dolguyla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81EC951-DD60-4187-8EA9-F8D8090E7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3800" y="4886233"/>
          <a:ext cx="392925" cy="485775"/>
        </a:xfrm>
        <a:prstGeom prst="rect">
          <a:avLst/>
        </a:prstGeom>
      </xdr:spPr>
    </xdr:pic>
    <xdr:clientData/>
  </xdr:twoCellAnchor>
  <xdr:twoCellAnchor editAs="absolute">
    <xdr:from>
      <xdr:col>0</xdr:col>
      <xdr:colOff>73800</xdr:colOff>
      <xdr:row>22</xdr:row>
      <xdr:rowOff>99300</xdr:rowOff>
    </xdr:from>
    <xdr:to>
      <xdr:col>0</xdr:col>
      <xdr:colOff>466725</xdr:colOff>
      <xdr:row>24</xdr:row>
      <xdr:rowOff>114300</xdr:rowOff>
    </xdr:to>
    <xdr:pic>
      <xdr:nvPicPr>
        <xdr:cNvPr id="6" name="Grafik 5" descr="Kilitle düz dolguyla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80E0698-A302-45D1-B079-4D9D35D2E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800" y="43093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73800</xdr:colOff>
      <xdr:row>13</xdr:row>
      <xdr:rowOff>99300</xdr:rowOff>
    </xdr:from>
    <xdr:to>
      <xdr:col>0</xdr:col>
      <xdr:colOff>466725</xdr:colOff>
      <xdr:row>15</xdr:row>
      <xdr:rowOff>114300</xdr:rowOff>
    </xdr:to>
    <xdr:pic>
      <xdr:nvPicPr>
        <xdr:cNvPr id="7" name="Grafik 6" descr="Kilitle düz dolguyla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C16B18A-C7FD-4036-88C6-6E37E02DE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800" y="25948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73800</xdr:colOff>
      <xdr:row>10</xdr:row>
      <xdr:rowOff>99300</xdr:rowOff>
    </xdr:from>
    <xdr:to>
      <xdr:col>0</xdr:col>
      <xdr:colOff>466725</xdr:colOff>
      <xdr:row>12</xdr:row>
      <xdr:rowOff>114300</xdr:rowOff>
    </xdr:to>
    <xdr:pic>
      <xdr:nvPicPr>
        <xdr:cNvPr id="8" name="Grafik 7" descr="Tokalaşma düz dolguyla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E0FBCF2-E187-41BE-88B6-FF73919E1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00" y="20233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64275</xdr:colOff>
      <xdr:row>28</xdr:row>
      <xdr:rowOff>157125</xdr:rowOff>
    </xdr:from>
    <xdr:to>
      <xdr:col>0</xdr:col>
      <xdr:colOff>457200</xdr:colOff>
      <xdr:row>30</xdr:row>
      <xdr:rowOff>172125</xdr:rowOff>
    </xdr:to>
    <xdr:pic>
      <xdr:nvPicPr>
        <xdr:cNvPr id="9" name="Grafik 8" descr="Tek Dişli düz dolguyla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3EB3D69-9429-4842-AE29-A8864519A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64275" y="5510175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73800</xdr:colOff>
      <xdr:row>16</xdr:row>
      <xdr:rowOff>99300</xdr:rowOff>
    </xdr:from>
    <xdr:to>
      <xdr:col>0</xdr:col>
      <xdr:colOff>466725</xdr:colOff>
      <xdr:row>18</xdr:row>
      <xdr:rowOff>114300</xdr:rowOff>
    </xdr:to>
    <xdr:pic>
      <xdr:nvPicPr>
        <xdr:cNvPr id="10" name="Grafik 9" descr="Yukarı yönlü eğilim düz dolguyla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AAEBA962-2848-4E63-AE3D-5B7F3DB12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73800" y="31663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73800</xdr:colOff>
      <xdr:row>19</xdr:row>
      <xdr:rowOff>99300</xdr:rowOff>
    </xdr:from>
    <xdr:to>
      <xdr:col>0</xdr:col>
      <xdr:colOff>466725</xdr:colOff>
      <xdr:row>21</xdr:row>
      <xdr:rowOff>114300</xdr:rowOff>
    </xdr:to>
    <xdr:pic>
      <xdr:nvPicPr>
        <xdr:cNvPr id="11" name="Grafik 10" descr="Ampul düz dolguyla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69ACE206-87CE-4C8A-BE0E-62C165468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73800" y="3737850"/>
          <a:ext cx="392925" cy="39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64275</xdr:colOff>
      <xdr:row>31</xdr:row>
      <xdr:rowOff>102375</xdr:rowOff>
    </xdr:from>
    <xdr:to>
      <xdr:col>0</xdr:col>
      <xdr:colOff>457200</xdr:colOff>
      <xdr:row>33</xdr:row>
      <xdr:rowOff>117375</xdr:rowOff>
    </xdr:to>
    <xdr:pic macro="[0]!Cixis_Click">
      <xdr:nvPicPr>
        <xdr:cNvPr id="12" name="Grafik 11" descr="Çalıştır düz dolguyla">
          <a:extLst>
            <a:ext uri="{FF2B5EF4-FFF2-40B4-BE49-F238E27FC236}">
              <a16:creationId xmlns:a16="http://schemas.microsoft.com/office/drawing/2014/main" id="{6A80E678-F732-47F1-A2BF-9174E0B67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64275" y="6026925"/>
          <a:ext cx="392925" cy="3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38100</xdr:rowOff>
    </xdr:from>
    <xdr:to>
      <xdr:col>0</xdr:col>
      <xdr:colOff>466725</xdr:colOff>
      <xdr:row>6</xdr:row>
      <xdr:rowOff>85725</xdr:rowOff>
    </xdr:to>
    <xdr:pic macro="[0]!Login_Form_Open">
      <xdr:nvPicPr>
        <xdr:cNvPr id="13" name="Grafik 12" descr="Kullanıcı düz dolguyla">
          <a:extLst>
            <a:ext uri="{FF2B5EF4-FFF2-40B4-BE49-F238E27FC236}">
              <a16:creationId xmlns:a16="http://schemas.microsoft.com/office/drawing/2014/main" id="{3441D6FE-363C-4AD6-BE4C-CA15E1035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8575" y="809625"/>
          <a:ext cx="438150" cy="438150"/>
        </a:xfrm>
        <a:prstGeom prst="rect">
          <a:avLst/>
        </a:prstGeom>
      </xdr:spPr>
    </xdr:pic>
    <xdr:clientData/>
  </xdr:twoCellAnchor>
  <xdr:twoCellAnchor editAs="absolute">
    <xdr:from>
      <xdr:col>0</xdr:col>
      <xdr:colOff>47625</xdr:colOff>
      <xdr:row>7</xdr:row>
      <xdr:rowOff>85725</xdr:rowOff>
    </xdr:from>
    <xdr:to>
      <xdr:col>0</xdr:col>
      <xdr:colOff>450075</xdr:colOff>
      <xdr:row>9</xdr:row>
      <xdr:rowOff>100725</xdr:rowOff>
    </xdr:to>
    <xdr:pic>
      <xdr:nvPicPr>
        <xdr:cNvPr id="14" name="Grafik 13" descr="Kontrol listesi düz dolguyla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0ACEA09-2EC8-4017-8923-B4CEEF4F8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47625" y="1438275"/>
          <a:ext cx="402450" cy="396000"/>
        </a:xfrm>
        <a:prstGeom prst="rect">
          <a:avLst/>
        </a:prstGeom>
      </xdr:spPr>
    </xdr:pic>
    <xdr:clientData/>
  </xdr:twoCellAnchor>
  <xdr:twoCellAnchor editAs="absolute">
    <xdr:from>
      <xdr:col>3</xdr:col>
      <xdr:colOff>552450</xdr:colOff>
      <xdr:row>0</xdr:row>
      <xdr:rowOff>0</xdr:rowOff>
    </xdr:from>
    <xdr:to>
      <xdr:col>4</xdr:col>
      <xdr:colOff>485775</xdr:colOff>
      <xdr:row>2</xdr:row>
      <xdr:rowOff>161925</xdr:rowOff>
    </xdr:to>
    <xdr:pic macro="[0]!CloseTheMenu">
      <xdr:nvPicPr>
        <xdr:cNvPr id="15" name="HamMenu_Close" descr="Ok: Düz düz dolguyla" hidden="1">
          <a:extLst>
            <a:ext uri="{FF2B5EF4-FFF2-40B4-BE49-F238E27FC236}">
              <a16:creationId xmlns:a16="http://schemas.microsoft.com/office/drawing/2014/main" id="{4527DD6E-5463-4A01-9248-345FCAF0C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419225" y="0"/>
          <a:ext cx="542925" cy="542925"/>
        </a:xfrm>
        <a:prstGeom prst="rect">
          <a:avLst/>
        </a:prstGeom>
      </xdr:spPr>
    </xdr:pic>
    <xdr:clientData/>
  </xdr:twoCellAnchor>
  <xdr:twoCellAnchor editAs="absolute">
    <xdr:from>
      <xdr:col>2</xdr:col>
      <xdr:colOff>85725</xdr:colOff>
      <xdr:row>7</xdr:row>
      <xdr:rowOff>180975</xdr:rowOff>
    </xdr:from>
    <xdr:to>
      <xdr:col>5</xdr:col>
      <xdr:colOff>0</xdr:colOff>
      <xdr:row>9</xdr:row>
      <xdr:rowOff>114300</xdr:rowOff>
    </xdr:to>
    <xdr:sp macro="" textlink="">
      <xdr:nvSpPr>
        <xdr:cNvPr id="16" name="btn_blank" hidden="1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D464FEB3-CA20-49D3-A27A-016E6862328F}"/>
            </a:ext>
          </a:extLst>
        </xdr:cNvPr>
        <xdr:cNvSpPr/>
      </xdr:nvSpPr>
      <xdr:spPr>
        <a:xfrm>
          <a:off x="609600" y="15335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latin typeface="Segoe UI Semibold" panose="020B0702040204020203" pitchFamily="34" charset="0"/>
              <a:cs typeface="Segoe UI Semibold" panose="020B0702040204020203" pitchFamily="34" charset="0"/>
            </a:rPr>
            <a:t>  Blankı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85725</xdr:colOff>
      <xdr:row>10</xdr:row>
      <xdr:rowOff>180975</xdr:rowOff>
    </xdr:from>
    <xdr:to>
      <xdr:col>5</xdr:col>
      <xdr:colOff>0</xdr:colOff>
      <xdr:row>12</xdr:row>
      <xdr:rowOff>114300</xdr:rowOff>
    </xdr:to>
    <xdr:sp macro="" textlink="">
      <xdr:nvSpPr>
        <xdr:cNvPr id="17" name="btn_sifaris" hidden="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EE49324-A988-42B7-AD5A-970403D25693}"/>
            </a:ext>
          </a:extLst>
        </xdr:cNvPr>
        <xdr:cNvSpPr/>
      </xdr:nvSpPr>
      <xdr:spPr>
        <a:xfrm>
          <a:off x="609600" y="210502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Sifari</a:t>
          </a:r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ş</a:t>
          </a:r>
          <a:r>
            <a:rPr lang="az-Latn-AZ" sz="1200" baseline="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lər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85725</xdr:colOff>
      <xdr:row>22</xdr:row>
      <xdr:rowOff>180975</xdr:rowOff>
    </xdr:from>
    <xdr:to>
      <xdr:col>5</xdr:col>
      <xdr:colOff>0</xdr:colOff>
      <xdr:row>24</xdr:row>
      <xdr:rowOff>114300</xdr:rowOff>
    </xdr:to>
    <xdr:sp macro="" textlink="">
      <xdr:nvSpPr>
        <xdr:cNvPr id="18" name="btn_anbar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349E282-9A41-4B96-935E-FA8CFE6EC2D3}"/>
            </a:ext>
          </a:extLst>
        </xdr:cNvPr>
        <xdr:cNvSpPr/>
      </xdr:nvSpPr>
      <xdr:spPr>
        <a:xfrm>
          <a:off x="609600" y="43910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Anbar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85725</xdr:colOff>
      <xdr:row>13</xdr:row>
      <xdr:rowOff>180975</xdr:rowOff>
    </xdr:from>
    <xdr:to>
      <xdr:col>5</xdr:col>
      <xdr:colOff>0</xdr:colOff>
      <xdr:row>15</xdr:row>
      <xdr:rowOff>114300</xdr:rowOff>
    </xdr:to>
    <xdr:sp macro="" textlink="">
      <xdr:nvSpPr>
        <xdr:cNvPr id="19" name="btn_suse" hidden="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240701A-B8E1-4F32-8475-A5D2064D06FF}"/>
            </a:ext>
          </a:extLst>
        </xdr:cNvPr>
        <xdr:cNvSpPr/>
      </xdr:nvSpPr>
      <xdr:spPr>
        <a:xfrm>
          <a:off x="609600" y="26765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Şüşə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85725</xdr:colOff>
      <xdr:row>16</xdr:row>
      <xdr:rowOff>180975</xdr:rowOff>
    </xdr:from>
    <xdr:to>
      <xdr:col>5</xdr:col>
      <xdr:colOff>0</xdr:colOff>
      <xdr:row>18</xdr:row>
      <xdr:rowOff>114300</xdr:rowOff>
    </xdr:to>
    <xdr:sp macro="" textlink="">
      <xdr:nvSpPr>
        <xdr:cNvPr id="20" name="btn_dash" hidden="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8416DD7-6C9C-42E4-B8F7-722AA9C298FB}"/>
            </a:ext>
          </a:extLst>
        </xdr:cNvPr>
        <xdr:cNvSpPr/>
      </xdr:nvSpPr>
      <xdr:spPr>
        <a:xfrm>
          <a:off x="609600" y="32480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Ümumi </a:t>
          </a:r>
          <a:r>
            <a:rPr lang="en-US" sz="1200">
              <a:latin typeface="Segoe UI Semibold" panose="020B0702040204020203" pitchFamily="34" charset="0"/>
              <a:cs typeface="Segoe UI Semibold" panose="020B0702040204020203" pitchFamily="34" charset="0"/>
            </a:rPr>
            <a:t>Statistika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85725</xdr:colOff>
      <xdr:row>19</xdr:row>
      <xdr:rowOff>180975</xdr:rowOff>
    </xdr:from>
    <xdr:to>
      <xdr:col>5</xdr:col>
      <xdr:colOff>0</xdr:colOff>
      <xdr:row>21</xdr:row>
      <xdr:rowOff>114300</xdr:rowOff>
    </xdr:to>
    <xdr:sp macro="" textlink="">
      <xdr:nvSpPr>
        <xdr:cNvPr id="21" name="btn_info" hidden="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BA5EFAF-1CB4-4ED1-BCC8-02F7333A017E}"/>
            </a:ext>
          </a:extLst>
        </xdr:cNvPr>
        <xdr:cNvSpPr/>
      </xdr:nvSpPr>
      <xdr:spPr>
        <a:xfrm>
          <a:off x="609600" y="3819525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Məlumatlar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85725</xdr:colOff>
      <xdr:row>26</xdr:row>
      <xdr:rowOff>47533</xdr:rowOff>
    </xdr:from>
    <xdr:to>
      <xdr:col>5</xdr:col>
      <xdr:colOff>0</xdr:colOff>
      <xdr:row>27</xdr:row>
      <xdr:rowOff>171358</xdr:rowOff>
    </xdr:to>
    <xdr:sp macro="" textlink="">
      <xdr:nvSpPr>
        <xdr:cNvPr id="22" name="btn_user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0224D7A-C348-4994-B1DB-FC87A6F059D8}"/>
            </a:ext>
          </a:extLst>
        </xdr:cNvPr>
        <xdr:cNvSpPr/>
      </xdr:nvSpPr>
      <xdr:spPr>
        <a:xfrm>
          <a:off x="609600" y="5019583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İstifadəçilər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85725</xdr:colOff>
      <xdr:row>29</xdr:row>
      <xdr:rowOff>48300</xdr:rowOff>
    </xdr:from>
    <xdr:to>
      <xdr:col>5</xdr:col>
      <xdr:colOff>0</xdr:colOff>
      <xdr:row>30</xdr:row>
      <xdr:rowOff>172125</xdr:rowOff>
    </xdr:to>
    <xdr:sp macro="" textlink="">
      <xdr:nvSpPr>
        <xdr:cNvPr id="23" name="btn_ayar" hidden="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95B05B2-3CCD-4463-8812-29C21944C118}"/>
            </a:ext>
          </a:extLst>
        </xdr:cNvPr>
        <xdr:cNvSpPr/>
      </xdr:nvSpPr>
      <xdr:spPr>
        <a:xfrm>
          <a:off x="609600" y="5591850"/>
          <a:ext cx="1476375" cy="3143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Ayarlar</a:t>
          </a:r>
          <a:endParaRPr lang="ru-RU" sz="1200">
            <a:solidFill>
              <a:schemeClr val="accent2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76200</xdr:colOff>
      <xdr:row>31</xdr:row>
      <xdr:rowOff>184050</xdr:rowOff>
    </xdr:from>
    <xdr:to>
      <xdr:col>4</xdr:col>
      <xdr:colOff>600075</xdr:colOff>
      <xdr:row>33</xdr:row>
      <xdr:rowOff>117375</xdr:rowOff>
    </xdr:to>
    <xdr:sp macro="[0]!Cixis_Click" textlink="">
      <xdr:nvSpPr>
        <xdr:cNvPr id="24" name="btn_exit" hidden="1">
          <a:extLst>
            <a:ext uri="{FF2B5EF4-FFF2-40B4-BE49-F238E27FC236}">
              <a16:creationId xmlns:a16="http://schemas.microsoft.com/office/drawing/2014/main" id="{7D1A3B5C-66A6-45CE-9045-ABC8E04E39D0}"/>
            </a:ext>
          </a:extLst>
        </xdr:cNvPr>
        <xdr:cNvSpPr/>
      </xdr:nvSpPr>
      <xdr:spPr>
        <a:xfrm>
          <a:off x="600075" y="6108600"/>
          <a:ext cx="14763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latin typeface="Segoe UI Semibold" panose="020B0702040204020203" pitchFamily="34" charset="0"/>
              <a:cs typeface="Segoe UI Semibold" panose="020B0702040204020203" pitchFamily="34" charset="0"/>
            </a:rPr>
            <a:t>Çıxış</a:t>
          </a:r>
          <a:endParaRPr lang="ru-RU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85725</xdr:colOff>
      <xdr:row>4</xdr:row>
      <xdr:rowOff>190500</xdr:rowOff>
    </xdr:from>
    <xdr:to>
      <xdr:col>5</xdr:col>
      <xdr:colOff>0</xdr:colOff>
      <xdr:row>6</xdr:row>
      <xdr:rowOff>114300</xdr:rowOff>
    </xdr:to>
    <xdr:sp macro="[0]!Login_Form_Open" textlink="">
      <xdr:nvSpPr>
        <xdr:cNvPr id="25" name="btn_yeniuser" hidden="1">
          <a:extLst>
            <a:ext uri="{FF2B5EF4-FFF2-40B4-BE49-F238E27FC236}">
              <a16:creationId xmlns:a16="http://schemas.microsoft.com/office/drawing/2014/main" id="{16A71F08-D5A3-487A-ACAC-FB11535C4DA1}"/>
            </a:ext>
          </a:extLst>
        </xdr:cNvPr>
        <xdr:cNvSpPr/>
      </xdr:nvSpPr>
      <xdr:spPr>
        <a:xfrm>
          <a:off x="609600" y="962025"/>
          <a:ext cx="1476375" cy="31432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az-Latn-AZ" sz="1200">
              <a:solidFill>
                <a:schemeClr val="accent2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İstifadəçi  dəyiş</a:t>
          </a:r>
          <a:endParaRPr lang="ru-RU" sz="1200">
            <a:solidFill>
              <a:schemeClr val="accent2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-01" refreshedDate="45675.747891319443" createdVersion="8" refreshedVersion="8" minRefreshableVersion="3" recordCount="331" xr:uid="{64A0CB4C-BFC3-4080-9CC5-9581D008296A}">
  <cacheSource type="worksheet">
    <worksheetSource name="Tablo7"/>
  </cacheSource>
  <cacheFields count="47">
    <cacheField name="Sifariş  №  " numFmtId="166">
      <sharedItems containsSemiMixedTypes="0" containsString="0" containsNumber="1" containsInteger="1" minValue="2" maxValue="333"/>
    </cacheField>
    <cacheField name="Sifariş kodu" numFmtId="0">
      <sharedItems/>
    </cacheField>
    <cacheField name="Satıcı" numFmtId="0">
      <sharedItems/>
    </cacheField>
    <cacheField name="Tarix" numFmtId="49">
      <sharedItems containsBlank="1" count="59">
        <s v="1/16/2025"/>
        <s v="15,01,2024"/>
        <s v="20,12,2024"/>
        <s v="15,01,2025"/>
        <s v="04,01,2025"/>
        <s v="1/15/2025"/>
        <s v="14,01,2025"/>
        <s v="10,01,2025"/>
        <s v="26,12,2024"/>
        <s v="25,12,2024"/>
        <s v="24,12,2024"/>
        <s v="23,12,2024"/>
        <s v="18,12,2024"/>
        <s v="10,12,2024"/>
        <s v="1/14/2025"/>
        <s v="13,01,2025"/>
        <s v="1/13/2025"/>
        <s v="09,01,2024"/>
        <s v="1/10/2025"/>
        <s v="1/9/2025"/>
        <s v="08,01,2024"/>
        <s v="1/8/2025"/>
        <s v="07,01,2024"/>
        <s v="06,01,2024"/>
        <s v="03,01,2025"/>
        <s v="1/4/2025"/>
        <s v="28,12,2024"/>
        <s v="1/3/2025"/>
        <s v="12/29/2024"/>
        <s v="12/28/2024"/>
        <s v="01,11,2024"/>
        <s v="29,10,2024"/>
        <s v="24,10,2024"/>
        <s v="11,11,2024"/>
        <s v="12/27/2024"/>
        <s v="21,12,2024"/>
        <s v="19,12,2024"/>
        <s v="17,12,2024"/>
        <s v="16,12,2024"/>
        <s v="14,12,2024"/>
        <s v="13,12,2024"/>
        <s v="12,12,2024"/>
        <s v="11,12,2024"/>
        <s v="09,12,2024"/>
        <s v="07,12,2024"/>
        <s v="05,12,2024"/>
        <s v="04,12,2024"/>
        <s v="03,12,2024"/>
        <s v="02,12,2024"/>
        <s v="30,11,2024"/>
        <s v="29,11,2024"/>
        <s v="28,11,2024"/>
        <s v="27,11,2024"/>
        <s v="26,11,2024"/>
        <s v="21,11,2024"/>
        <s v="20,11,2024"/>
        <s v="19,11,2024"/>
        <m/>
        <s v="1/18/2025" u="1"/>
      </sharedItems>
    </cacheField>
    <cacheField name="Müştəri" numFmtId="0">
      <sharedItems containsBlank="1" count="135">
        <s v="Fariz Faiq"/>
        <s v="Lux Concept"/>
        <s v="Ehed Qorizont"/>
        <s v="Togrul Mikayil"/>
        <s v="Ramal Subhan"/>
        <s v="Omer Isazade"/>
        <s v="Huseyn Ozturk"/>
        <s v="Emin Serkerli"/>
        <s v="Samir Gold Wood"/>
        <s v="Ibrahim Vusal Koryan"/>
        <s v="Celal Alumpro"/>
        <s v="My Concept"/>
        <s v="Fuad Ramazanov"/>
        <s v="Mahir MM"/>
        <s v="Aksin Mahmudov"/>
        <m/>
        <s v="Kandar Palid"/>
        <s v="Rauf Yusubov"/>
        <s v="Ceyhun Sumqayit"/>
        <s v="Togrul Memmeddli"/>
        <s v="Vladmir "/>
        <s v="Malik Tagiyev"/>
        <s v="Cesaret Lyent"/>
        <s v="Elmedden Quliyev"/>
        <s v="Mansur Aliyev"/>
        <s v="Mutfakci Maliyye"/>
        <s v="Rovsen Sex Mebel"/>
        <s v="Ramiz Salayev"/>
        <s v="Ferman Mebel"/>
        <s v="Elsever Vusal Gedebey"/>
        <s v="Resad Mebelline "/>
        <s v="Muxtar Fierro"/>
        <s v="Arzena"/>
        <s v="Mehdiyev Mikayil"/>
        <s v="Vaqif German"/>
        <s v="Emilya Xudiyeva"/>
        <s v="Resad Qarazavod"/>
        <s v="Rovsen Qarazavod"/>
        <s v="Mecnun Sahmurov"/>
        <s v="Avni Aydin"/>
        <s v="Elnur Cəlal"/>
        <s v="Eshqin Lastella"/>
        <s v="Cavid Kahveci"/>
        <s v="Vusal Nusalov"/>
        <s v="Cosqun Mebel Sex"/>
        <s v="Elvin Avelina"/>
        <s v="Sabir Vusal"/>
        <s v="Ilqar Qara"/>
        <s v="Rufet Xasay Dayi"/>
        <s v="Fuad Cavansir"/>
        <s v="Kamran kaya desıgn"/>
        <s v="Gulnare White Corner"/>
        <s v="Behman Elit Mebel"/>
        <s v="Soltan Klent"/>
        <s v="Abdulla Abdullayev"/>
        <s v="Ceyhun Bmw Doz"/>
        <s v="Samir Ayla Mebel"/>
        <s v="Elsen Veliyev"/>
        <s v="Hikmet Qalib"/>
        <s v="Ibrahim Baksol"/>
        <s v="Elmar Amay"/>
        <s v="Ruslan Huseynov"/>
        <s v="Emin Badamdar"/>
        <s v="Elmar Celal"/>
        <s v="Xezer Ideal Mutfak"/>
        <s v="Rufet Musteri Bineqedi"/>
        <s v="Sameddin "/>
        <s v="Servin"/>
        <s v="Zaur Nehmetov"/>
        <s v="Punhan Qebele"/>
        <s v="Zaur Oguz"/>
        <s v="Royal Legno Mebel"/>
        <s v="Turan Bayramov"/>
        <s v="Zakir Bmw Servis"/>
        <s v="Ismayil Ismayilov Zevna"/>
        <s v="Niyameddin Bayramov"/>
        <s v="Geray Memmedov"/>
        <s v="Elsen Eldizayn"/>
        <s v="Qadir Ceferov"/>
        <s v="Tural Punhan"/>
        <s v="Ebulfez Qasımzade"/>
        <s v="Ceyhun Kaktus"/>
        <s v="Xeyyam Insallahoglu"/>
        <s v="Aksin Hesenov"/>
        <s v="Perviz Bine"/>
        <s v="Vuqar Abdullazade"/>
        <s v="Natiq Nesirov"/>
        <s v="Rufet Salyan"/>
        <s v="Faiq Enso"/>
        <s v="Eflatun Suse"/>
        <s v="Eli Asbella"/>
        <s v="Babek Bey"/>
        <s v="Qamma Murad"/>
        <s v="Ruslan Celal"/>
        <s v="Behruz Trend"/>
        <s v="Sasha Amix"/>
        <s v="Meftun Murselov"/>
        <s v="İbrahim Turk"/>
        <s v="Camal Qəribov"/>
        <s v="Resid Kaya Dizayn"/>
        <s v="Heyder Tehmasib"/>
        <s v="Abbas Cermet"/>
        <s v="Hakim Klyent"/>
        <s v="Soltan Musteri"/>
        <s v="Natiq Emrahov"/>
        <s v="Emin Abdullayev"/>
        <s v=" Ramin Klent"/>
        <s v="Tural Elxan Dayi"/>
        <s v="Elekber Eliyev"/>
        <s v="Aydin Abbasov"/>
        <s v="Ilqar Gtv"/>
        <s v="Elsen Qarazavod"/>
        <s v="Elmeddin Soltanov"/>
        <s v="Vikenzo Mebel"/>
        <s v="Taleh Kesle Ulduz"/>
        <s v="Resad Huseynov"/>
        <s v="Muhiddin Bey"/>
        <s v="Ruslan Amil"/>
        <s v="Erdal Adiyge Mebel"/>
        <s v="Rusdem Klyent"/>
        <s v="Ilkin Memmedov"/>
        <s v="Mubariz Isgenderov"/>
        <s v="Nicat (mutfakcida isleyib)"/>
        <s v="Art wall"/>
        <s v="Orxan Omer"/>
        <s v="Kenan Bileceri"/>
        <s v="Saiq Sumqayit"/>
        <s v="Behruz Doz"/>
        <s v="Sahveled bey"/>
        <s v="Ceyhun Zegno"/>
        <s v="Xasay Dayi"/>
        <s v="Perviz Ezimov"/>
        <s v="Fexreddin Bey"/>
        <s v="Cefer Mirzeyv"/>
        <s v="Surxay Bey"/>
      </sharedItems>
    </cacheField>
    <cacheField name="Telefon" numFmtId="0">
      <sharedItems containsBlank="1" containsMixedTypes="1" containsNumber="1" containsInteger="1" minValue="0" maxValue="0"/>
    </cacheField>
    <cacheField name="Qeyd" numFmtId="0">
      <sharedItems containsBlank="1" containsMixedTypes="1" containsNumber="1" containsInteger="1" minValue="0" maxValue="0"/>
    </cacheField>
    <cacheField name="Profil" numFmtId="0">
      <sharedItems containsBlank="1"/>
    </cacheField>
    <cacheField name="Yan Profili" numFmtId="0">
      <sharedItems containsNonDate="0" containsString="0" containsBlank="1"/>
    </cacheField>
    <cacheField name="Profil kodu" numFmtId="0">
      <sharedItems containsMixedTypes="1" containsNumber="1" containsInteger="1" minValue="0" maxValue="0"/>
    </cacheField>
    <cacheField name="Ölçü / 3m " numFmtId="0">
      <sharedItems containsString="0" containsBlank="1" containsNumber="1" containsInteger="1" minValue="0" maxValue="36"/>
    </cacheField>
    <cacheField name="Qiymət " numFmtId="0">
      <sharedItems containsString="0" containsBlank="1" containsNumber="1" containsInteger="1" minValue="0" maxValue="8420"/>
    </cacheField>
    <cacheField name="Qulp növü" numFmtId="0">
      <sharedItems containsBlank="1" containsMixedTypes="1" containsNumber="1" containsInteger="1" minValue="0" maxValue="110"/>
    </cacheField>
    <cacheField name="Profil kodu " numFmtId="0">
      <sharedItems containsMixedTypes="1" containsNumber="1" containsInteger="1" minValue="0" maxValue="0"/>
    </cacheField>
    <cacheField name="Ölçü / 3m" numFmtId="0">
      <sharedItems containsBlank="1" containsMixedTypes="1" containsNumber="1" containsInteger="1" minValue="0" maxValue="2623"/>
    </cacheField>
    <cacheField name="Qiymət" numFmtId="175">
      <sharedItems containsString="0" containsBlank="1" containsNumber="1" containsInteger="1" minValue="0" maxValue="754"/>
    </cacheField>
    <cacheField name="Petlə" numFmtId="171">
      <sharedItems containsBlank="1"/>
    </cacheField>
    <cacheField name="Petle kodu" numFmtId="0">
      <sharedItems/>
    </cacheField>
    <cacheField name="Petlə sayı" numFmtId="0">
      <sharedItems containsString="0" containsBlank="1" containsNumber="1" containsInteger="1" minValue="0" maxValue="100"/>
    </cacheField>
    <cacheField name="Petlə qiyməti" numFmtId="175">
      <sharedItems containsString="0" containsBlank="1" containsNumber="1" minValue="0" maxValue="1170"/>
    </cacheField>
    <cacheField name="Fitil qiymeti " numFmtId="0">
      <sharedItems containsString="0" containsBlank="1" containsNumber="1" containsInteger="1" minValue="0" maxValue="120"/>
    </cacheField>
    <cacheField name="Şüşə" numFmtId="0">
      <sharedItems containsBlank="1"/>
    </cacheField>
    <cacheField name="Ölçüsü m²" numFmtId="174">
      <sharedItems containsString="0" containsBlank="1" containsNumber="1" minValue="0" maxValue="31"/>
    </cacheField>
    <cacheField name="Şüşə qiyməti" numFmtId="175">
      <sharedItems containsString="0" containsBlank="1" containsNumber="1" containsInteger="1" minValue="0" maxValue="1233"/>
    </cacheField>
    <cacheField name="Bağlantı" numFmtId="175">
      <sharedItems containsNonDate="0" containsString="0" containsBlank="1"/>
    </cacheField>
    <cacheField name="Bağlantı kodu" numFmtId="0">
      <sharedItems/>
    </cacheField>
    <cacheField name="Bağlantı sayı" numFmtId="0">
      <sharedItems containsNonDate="0" containsString="0" containsBlank="1"/>
    </cacheField>
    <cacheField name="Bağlantı qiyməti" numFmtId="175">
      <sharedItems containsString="0" containsBlank="1" containsNumber="1" containsInteger="1" minValue="0" maxValue="160"/>
    </cacheField>
    <cacheField name="Mexanizm" numFmtId="175">
      <sharedItems containsNonDate="0" containsString="0" containsBlank="1"/>
    </cacheField>
    <cacheField name="Mexanizm kodu" numFmtId="0">
      <sharedItems/>
    </cacheField>
    <cacheField name="Mexanizm sayı" numFmtId="0">
      <sharedItems containsSemiMixedTypes="0" containsString="0" containsNumber="1" containsInteger="1" minValue="1" maxValue="1"/>
    </cacheField>
    <cacheField name="Mexanizm qiyməti" numFmtId="175">
      <sharedItems containsSemiMixedTypes="0" containsString="0" containsNumber="1" containsInteger="1" minValue="0" maxValue="410"/>
    </cacheField>
    <cacheField name="Petlə yeri qiyməti" numFmtId="175">
      <sharedItems containsString="0" containsBlank="1" containsNumber="1" containsInteger="1" minValue="0" maxValue="200"/>
    </cacheField>
    <cacheField name="Yığım qiyməti" numFmtId="175">
      <sharedItems containsString="0" containsBlank="1" containsNumber="1" containsInteger="1" minValue="0" maxValue="450"/>
    </cacheField>
    <cacheField name="Nəqliyyat" numFmtId="175">
      <sharedItems containsString="0" containsBlank="1" containsNumber="1" containsInteger="1" minValue="0" maxValue="202"/>
    </cacheField>
    <cacheField name="Ümumi məbləğ" numFmtId="175">
      <sharedItems containsString="0" containsBlank="1" containsNumber="1" minValue="30" maxValue="8420"/>
    </cacheField>
    <cacheField name="Endirim" numFmtId="175">
      <sharedItems containsString="0" containsBlank="1" containsNumber="1" containsInteger="1" minValue="0" maxValue="211"/>
    </cacheField>
    <cacheField name="Ödəniş" numFmtId="175">
      <sharedItems containsString="0" containsBlank="1" containsNumber="1" containsInteger="1" minValue="0" maxValue="3275"/>
    </cacheField>
    <cacheField name="Qalıq" numFmtId="175">
      <sharedItems containsSemiMixedTypes="0" containsString="0" containsNumber="1" minValue="-36" maxValue="7741"/>
    </cacheField>
    <cacheField name="Qəbul" numFmtId="175">
      <sharedItems/>
    </cacheField>
    <cacheField name="Təhvil" numFmtId="175">
      <sharedItems/>
    </cacheField>
    <cacheField name="Qəbul statusu" numFmtId="175">
      <sharedItems/>
    </cacheField>
    <cacheField name="Təhvil statusu" numFmtId="0">
      <sharedItems/>
    </cacheField>
    <cacheField name="Qəbul mesajı" numFmtId="0">
      <sharedItems/>
    </cacheField>
    <cacheField name="Təhvil mesajı" numFmtId="0">
      <sharedItems/>
    </cacheField>
    <cacheField name="Ad" numFmtId="0">
      <sharedItems/>
    </cacheField>
    <cacheField name="Ad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1">
  <r>
    <n v="333"/>
    <s v="*ALUMPRO333*"/>
    <s v="Vusal"/>
    <x v="0"/>
    <x v="0"/>
    <s v="994773337525"/>
    <n v="0"/>
    <m/>
    <m/>
    <s v="Tapilmadi"/>
    <n v="0"/>
    <n v="1651"/>
    <m/>
    <s v="Tapilmadi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1651"/>
    <n v="0"/>
    <n v="0"/>
    <n v="1651"/>
    <s v="Mesaj"/>
    <s v="Mesaj"/>
    <s v="Qəbul edilib"/>
    <s v="Təhvil verilib"/>
    <s v="Hörmətli *Fariz Faiq*  ,Sizin *1/16/2025* tarixli sifarişiniz qeydə alındı. Sifariş Məbləğı *1651 AZN* , Qalıq *1651 AZN* . Hörmətlə  *AlumPro*"/>
    <s v="Hörmətli *Fariz Faiq* , sizin *1/16/2025* tarixli  sifarişiniz hazırdır . Bizi seçdiyiniz üçün minnətdarıq. Hörmətlə  *AlumPro*."/>
    <s v="Fariz"/>
    <s v="Fariz "/>
  </r>
  <r>
    <n v="332"/>
    <s v="*ALUMPRO332*"/>
    <s v="Nihad"/>
    <x v="1"/>
    <x v="0"/>
    <s v="994773337525"/>
    <n v="0"/>
    <m/>
    <m/>
    <n v="0"/>
    <n v="0"/>
    <n v="228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228"/>
    <n v="0"/>
    <n v="0"/>
    <n v="228"/>
    <s v="Mesaj"/>
    <s v="Mesaj"/>
    <s v="Qəbul edilib"/>
    <s v="Təhvil verilib"/>
    <s v="Hörmətli *Fariz Faiq*  ,Sizin *15,01,2024* tarixli sifarişiniz qeydə alındı. Sifariş Məbləğı *228 AZN* , Qalıq *228 AZN* . Hörmətlə  *AlumPro*"/>
    <s v="Hörmətli *Fariz Faiq* , sizin *15,01,2024* tarixli  sifarişiniz hazırdır . Bizi seçdiyiniz üçün minnətdarıq. Hörmətlə  *AlumPro*."/>
    <s v="Fariz"/>
    <s v="Fariz "/>
  </r>
  <r>
    <n v="331"/>
    <s v="*ALUMPRO331*"/>
    <s v="Nihad"/>
    <x v="2"/>
    <x v="0"/>
    <s v="994773337525"/>
    <n v="0"/>
    <m/>
    <m/>
    <n v="0"/>
    <n v="0"/>
    <n v="283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283"/>
    <n v="0"/>
    <n v="0"/>
    <n v="283"/>
    <s v="Mesaj"/>
    <s v="Mesaj"/>
    <s v="Qəbul edilib"/>
    <s v="Təhvil verilib"/>
    <s v="Hörmətli *Fariz Faiq*  ,Sizin *20,12,2024* tarixli sifarişiniz qeydə alındı. Sifariş Məbləğı *283 AZN* , Qalıq *283 AZN* . Hörmətlə  *AlumPro*"/>
    <s v="Hörmətli *Fariz Faiq* , sizin *20,12,2024* tarixli  sifarişiniz hazırdır . Bizi seçdiyiniz üçün minnətdarıq. Hörmətlə  *AlumPro*."/>
    <s v="Fariz"/>
    <s v="Fariz "/>
  </r>
  <r>
    <n v="330"/>
    <s v="*ALUMPRO330*"/>
    <s v="Nihad"/>
    <x v="3"/>
    <x v="1"/>
    <s v="994554094045"/>
    <n v="0"/>
    <m/>
    <m/>
    <n v="0"/>
    <n v="0"/>
    <n v="550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550"/>
    <n v="0"/>
    <n v="0"/>
    <n v="550"/>
    <s v="Mesaj"/>
    <s v="Mesaj"/>
    <s v="Qəbul edilib"/>
    <s v="Təhvil verilib"/>
    <s v="Hörmətli *Lux Concept*  ,Sizin *15,01,2025* tarixli sifarişiniz qeydə alındı. Sifariş Məbləğı *550 AZN* , Qalıq *550 AZN* . Hörmətlə  *AlumPro*"/>
    <s v="Hörmətli *Lux Concept* , sizin *15,01,2025* tarixli  sifarişiniz hazırdır . Bizi seçdiyiniz üçün minnətdarıq. Hörmətlə  *AlumPro*."/>
    <s v="Lux"/>
    <s v="Lux "/>
  </r>
  <r>
    <n v="329"/>
    <s v="*ALUMPRO329*"/>
    <s v="Nihad"/>
    <x v="4"/>
    <x v="2"/>
    <s v="994504996970"/>
    <n v="0"/>
    <m/>
    <m/>
    <n v="0"/>
    <n v="0"/>
    <n v="455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455"/>
    <n v="0"/>
    <n v="0"/>
    <n v="455"/>
    <s v="Mesaj"/>
    <s v="Mesaj"/>
    <s v="Qəbul edilib"/>
    <s v="Təhvil verilib"/>
    <s v="Hörmətli *Ehed Qorizont*  ,Sizin *04,01,2025* tarixli sifarişiniz qeydə alındı. Sifariş Məbləğı *455 AZN* , Qalıq *455 AZN* . Hörmətlə  *AlumPro*"/>
    <s v="Hörmətli *Ehed Qorizont* , sizin *04,01,2025* tarixli  sifarişiniz hazırdır . Bizi seçdiyiniz üçün minnətdarıq. Hörmətlə  *AlumPro*."/>
    <s v="Ehed"/>
    <s v="Ehed "/>
  </r>
  <r>
    <n v="328"/>
    <s v="*ALUMPRO328*"/>
    <s v="Nihad"/>
    <x v="5"/>
    <x v="3"/>
    <s v="994552322333"/>
    <n v="0"/>
    <m/>
    <m/>
    <n v="0"/>
    <n v="0"/>
    <n v="659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659"/>
    <n v="0"/>
    <n v="0"/>
    <n v="659"/>
    <s v="Mesaj"/>
    <s v="Mesaj"/>
    <s v="Qəbul edilib"/>
    <s v="Təhvil verilib"/>
    <s v="Hörmətli *Togrul Mikayil*  ,Sizin *1/15/2025* tarixli sifarişiniz qeydə alındı. Sifariş Məbləğı *659 AZN* , Qalıq *659 AZN* . Hörmətlə  *AlumPro*"/>
    <s v="Hörmətli *Togrul Mikayil* , sizin *1/15/2025* tarixli  sifarişiniz hazırdır . Bizi seçdiyiniz üçün minnətdarıq. Hörmətlə  *AlumPro*."/>
    <s v="Togrul"/>
    <s v="Togrul "/>
  </r>
  <r>
    <n v="327"/>
    <s v="*ALUMPRO327*"/>
    <s v="Nihad"/>
    <x v="6"/>
    <x v="4"/>
    <s v="994559148008"/>
    <n v="0"/>
    <m/>
    <m/>
    <n v="0"/>
    <n v="0"/>
    <n v="173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173"/>
    <n v="0"/>
    <n v="0"/>
    <n v="173"/>
    <s v="Mesaj"/>
    <s v="Mesaj"/>
    <s v="Qəbul edilib"/>
    <s v="Təhvil verilib"/>
    <s v="Hörmətli *Ramal Subhan*  ,Sizin *14,01,2025* tarixli sifarişiniz qeydə alındı. Sifariş Məbləğı *173 AZN* , Qalıq *173 AZN* . Hörmətlə  *AlumPro*"/>
    <s v="Hörmətli *Ramal Subhan* , sizin *14,01,2025* tarixli  sifarişiniz hazırdır . Bizi seçdiyiniz üçün minnətdarıq. Hörmətlə  *AlumPro*."/>
    <s v="Ramal"/>
    <s v="Ramal "/>
  </r>
  <r>
    <n v="325"/>
    <s v="*ALUMPRO325*"/>
    <s v="Nihad"/>
    <x v="6"/>
    <x v="5"/>
    <s v="994506218984"/>
    <n v="0"/>
    <m/>
    <m/>
    <n v="0"/>
    <n v="0"/>
    <n v="363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363"/>
    <n v="0"/>
    <n v="200"/>
    <n v="163"/>
    <s v="Mesaj"/>
    <s v="Mesaj"/>
    <s v="Qəbul edilib"/>
    <s v="Təhvil verilib"/>
    <s v="Hörmətli *Omer Isazade*  ,Sizin *14,01,2025* tarixli sifarişiniz qeydə alındı. Sifariş Məbləğı *363 AZN* , Qalıq *163 AZN* . Hörmətlə  *AlumPro*"/>
    <s v="Hörmətli *Omer Isazade* , sizin *14,01,2025* tarixli  sifarişiniz hazırdır . Bizi seçdiyiniz üçün minnətdarıq. Hörmətlə  *AlumPro*."/>
    <s v="Omer"/>
    <s v="Omer "/>
  </r>
  <r>
    <n v="324"/>
    <s v="*ALUMPRO324*"/>
    <s v="Nihad"/>
    <x v="6"/>
    <x v="6"/>
    <s v="994556156700"/>
    <n v="0"/>
    <m/>
    <m/>
    <n v="0"/>
    <n v="0"/>
    <n v="99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99"/>
    <n v="0"/>
    <n v="45"/>
    <n v="54"/>
    <s v="Mesaj"/>
    <s v="Mesaj"/>
    <s v="Qəbul edilib"/>
    <s v="Təhvil verilib"/>
    <s v="Hörmətli *Huseyn Ozturk*  ,Sizin *14,01,2025* tarixli sifarişiniz qeydə alındı. Sifariş Məbləğı *99 AZN* , Qalıq *54 AZN* . Hörmətlə  *AlumPro*"/>
    <s v="Hörmətli *Huseyn Ozturk* , sizin *14,01,2025* tarixli  sifarişiniz hazırdır . Bizi seçdiyiniz üçün minnətdarıq. Hörmətlə  *AlumPro*."/>
    <s v="Huseyn"/>
    <s v="Huseyn "/>
  </r>
  <r>
    <n v="323"/>
    <s v="*ALUMPRO323*"/>
    <s v="Nihad"/>
    <x v="6"/>
    <x v="7"/>
    <s v="994559774035"/>
    <n v="0"/>
    <m/>
    <m/>
    <n v="0"/>
    <n v="0"/>
    <n v="259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259"/>
    <n v="0"/>
    <n v="0"/>
    <n v="259"/>
    <s v="Mesaj"/>
    <s v="Mesaj"/>
    <s v="Qəbul edilib"/>
    <s v="Təhvil verilib"/>
    <s v="Hörmətli *Emin Serkerli*  ,Sizin *14,01,2025* tarixli sifarişiniz qeydə alındı. Sifariş Məbləğı *259 AZN* , Qalıq *259 AZN* . Hörmətlə  *AlumPro*"/>
    <s v="Hörmətli *Emin Serkerli* , sizin *14,01,2025* tarixli  sifarişiniz hazırdır . Bizi seçdiyiniz üçün minnətdarıq. Hörmətlə  *AlumPro*."/>
    <s v="Emin"/>
    <s v="Emin "/>
  </r>
  <r>
    <n v="322"/>
    <s v="*ALUMPRO322*"/>
    <s v="Nihad"/>
    <x v="6"/>
    <x v="8"/>
    <s v="994556263636"/>
    <n v="0"/>
    <m/>
    <m/>
    <n v="0"/>
    <n v="0"/>
    <n v="940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940"/>
    <n v="40"/>
    <n v="200"/>
    <n v="700"/>
    <s v="Mesaj"/>
    <s v="Mesaj"/>
    <s v="Qəbul edilib"/>
    <s v="Təhvil verilib"/>
    <s v="Hörmətli *Samir Gold Wood*  ,Sizin *14,01,2025* tarixli sifarişiniz qeydə alındı. Sifariş Məbləğı *940 AZN* , Qalıq *700 AZN* . Hörmətlə  *AlumPro*"/>
    <s v="Hörmətli *Samir Gold Wood* , sizin *14,01,2025* tarixli  sifarişiniz hazırdır . Bizi seçdiyiniz üçün minnətdarıq. Hörmətlə  *AlumPro*."/>
    <s v="Samir"/>
    <s v="Samir "/>
  </r>
  <r>
    <n v="321"/>
    <s v="*ALUMPRO321*"/>
    <s v="Nihad"/>
    <x v="6"/>
    <x v="8"/>
    <s v="994556263636"/>
    <n v="0"/>
    <m/>
    <m/>
    <n v="0"/>
    <n v="0"/>
    <n v="1840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1840"/>
    <n v="40"/>
    <n v="0"/>
    <n v="1800"/>
    <s v="Mesaj"/>
    <s v="Mesaj"/>
    <s v="Qəbul edilib"/>
    <s v="Təhvil verilib"/>
    <s v="Hörmətli *Samir Gold Wood*  ,Sizin *14,01,2025* tarixli sifarişiniz qeydə alındı. Sifariş Məbləğı *1840 AZN* , Qalıq *1800 AZN* . Hörmətlə  *AlumPro*"/>
    <s v="Hörmətli *Samir Gold Wood* , sizin *14,01,2025* tarixli  sifarişiniz hazırdır . Bizi seçdiyiniz üçün minnətdarıq. Hörmətlə  *AlumPro*."/>
    <s v="Samir"/>
    <s v="Samir "/>
  </r>
  <r>
    <n v="320"/>
    <s v="*ALUMPRO320*"/>
    <s v="Nihad"/>
    <x v="6"/>
    <x v="9"/>
    <s v="994552600080"/>
    <n v="0"/>
    <m/>
    <m/>
    <n v="0"/>
    <n v="0"/>
    <n v="430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430"/>
    <n v="60"/>
    <n v="0"/>
    <n v="370"/>
    <s v="Mesaj"/>
    <s v="Mesaj"/>
    <s v="Qəbul edilib"/>
    <s v="Təhvil verilib"/>
    <s v="Hörmətli *Ibrahim Vusal Koryan*  ,Sizin *14,01,2025* tarixli sifarişiniz qeydə alındı. Sifariş Məbləğı *430 AZN* , Qalıq *370 AZN* . Hörmətlə  *AlumPro*"/>
    <s v="Hörmətli *Ibrahim Vusal Koryan* , sizin *14,01,2025* tarixli  sifarişiniz hazırdır . Bizi seçdiyiniz üçün minnətdarıq. Hörmətlə  *AlumPro*."/>
    <s v="Ibrahim"/>
    <s v="Ibrahim "/>
  </r>
  <r>
    <n v="319"/>
    <s v="*ALUMPRO319*"/>
    <s v="Nihad"/>
    <x v="7"/>
    <x v="10"/>
    <n v="0"/>
    <s v="azer"/>
    <m/>
    <m/>
    <n v="0"/>
    <n v="0"/>
    <n v="500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500"/>
    <n v="0"/>
    <n v="500"/>
    <n v="0"/>
    <s v="Mesaj"/>
    <s v="Mesaj"/>
    <s v="Qəbul edilib"/>
    <s v="Təhvil verilib"/>
    <s v="Hörmətli *Celal Alumpro*  ,Sizin *10,01,2025* tarixli sifarişiniz qeydə alındı. Sifariş Məbləğı *500 AZN* , Qalıq *0 AZN* . Hörmətlə  *AlumPro*"/>
    <s v="Hörmətli *Celal Alumpro* , sizin *10,01,2025* tarixli  sifarişiniz hazırdır . Bizi seçdiyiniz üçün minnətdarıq. Hörmətlə  *AlumPro*."/>
    <s v="Celal"/>
    <s v="Celal "/>
  </r>
  <r>
    <n v="318"/>
    <s v="*ALUMPRO318*"/>
    <s v="Nihad"/>
    <x v="7"/>
    <x v="11"/>
    <s v="994502111355"/>
    <s v="azer"/>
    <m/>
    <m/>
    <n v="0"/>
    <n v="0"/>
    <n v="284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284"/>
    <n v="0"/>
    <n v="0"/>
    <n v="284"/>
    <s v="Mesaj"/>
    <s v="Mesaj"/>
    <s v="Qəbul edilib"/>
    <s v="Təhvil verilib"/>
    <s v="Hörmətli *My Concept*  ,Sizin *10,01,2025* tarixli sifarişiniz qeydə alındı. Sifariş Məbləğı *284 AZN* , Qalıq *284 AZN* . Hörmətlə  *AlumPro*"/>
    <s v="Hörmətli *My Concept* , sizin *10,01,2025* tarixli  sifarişiniz hazırdır . Bizi seçdiyiniz üçün minnətdarıq. Hörmətlə  *AlumPro*."/>
    <s v="My"/>
    <s v="My "/>
  </r>
  <r>
    <n v="317"/>
    <s v="*ALUMPRO317*"/>
    <s v="Nihad"/>
    <x v="7"/>
    <x v="11"/>
    <s v="994502111355"/>
    <s v="kamila"/>
    <m/>
    <m/>
    <n v="0"/>
    <n v="0"/>
    <n v="320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320"/>
    <n v="0"/>
    <n v="0"/>
    <n v="320"/>
    <s v="Mesaj"/>
    <s v="Mesaj"/>
    <s v="Qəbul edilib"/>
    <s v="Təhvil verilib"/>
    <s v="Hörmətli *My Concept*  ,Sizin *10,01,2025* tarixli sifarişiniz qeydə alındı. Sifariş Məbləğı *320 AZN* , Qalıq *320 AZN* . Hörmətlə  *AlumPro*"/>
    <s v="Hörmətli *My Concept* , sizin *10,01,2025* tarixli  sifarişiniz hazırdır . Bizi seçdiyiniz üçün minnətdarıq. Hörmətlə  *AlumPro*."/>
    <s v="My"/>
    <s v="My "/>
  </r>
  <r>
    <n v="316"/>
    <s v="*ALUMPRO316*"/>
    <s v="Nihad"/>
    <x v="8"/>
    <x v="11"/>
    <s v="994502111355"/>
    <s v="qara mermer"/>
    <m/>
    <m/>
    <n v="0"/>
    <n v="0"/>
    <n v="175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175"/>
    <n v="0"/>
    <n v="0"/>
    <n v="175"/>
    <s v="Mesaj"/>
    <s v="Mesaj"/>
    <s v="Qəbul edilib"/>
    <s v="Təhvil verilib"/>
    <s v="Hörmətli *My Concept*  ,Sizin *26,12,2024* tarixli sifarişiniz qeydə alındı. Sifariş Məbləğı *175 AZN* , Qalıq *175 AZN* . Hörmətlə  *AlumPro*"/>
    <s v="Hörmətli *My Concept* , sizin *26,12,2024* tarixli  sifarişiniz hazırdır . Bizi seçdiyiniz üçün minnətdarıq. Hörmətlə  *AlumPro*."/>
    <s v="My"/>
    <s v="My "/>
  </r>
  <r>
    <n v="315"/>
    <s v="*ALUMPRO315*"/>
    <s v="Nihad"/>
    <x v="9"/>
    <x v="11"/>
    <s v="994502111355"/>
    <s v="cavid"/>
    <m/>
    <m/>
    <n v="0"/>
    <n v="0"/>
    <n v="1240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1240"/>
    <n v="0"/>
    <n v="0"/>
    <n v="1240"/>
    <s v="Mesaj"/>
    <s v="Mesaj"/>
    <s v="Qəbul edilib"/>
    <s v="Təhvil verilib"/>
    <s v="Hörmətli *My Concept*  ,Sizin *25,12,2024* tarixli sifarişiniz qeydə alındı. Sifariş Məbləğı *1240 AZN* , Qalıq *1240 AZN* . Hörmətlə  *AlumPro*"/>
    <s v="Hörmətli *My Concept* , sizin *25,12,2024* tarixli  sifarişiniz hazırdır . Bizi seçdiyiniz üçün minnətdarıq. Hörmətlə  *AlumPro*."/>
    <s v="My"/>
    <s v="My "/>
  </r>
  <r>
    <n v="314"/>
    <s v="*ALUMPRO314*"/>
    <s v="Nihad"/>
    <x v="10"/>
    <x v="11"/>
    <s v="994502111355"/>
    <s v="temir 7 qapaq"/>
    <m/>
    <m/>
    <n v="0"/>
    <n v="0"/>
    <n v="209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209"/>
    <n v="0"/>
    <n v="0"/>
    <n v="209"/>
    <s v="Mesaj"/>
    <s v="Mesaj"/>
    <s v="Qəbul edilib"/>
    <s v="Təhvil verilib"/>
    <s v="Hörmətli *My Concept*  ,Sizin *24,12,2024* tarixli sifarişiniz qeydə alındı. Sifariş Məbləğı *209 AZN* , Qalıq *209 AZN* . Hörmətlə  *AlumPro*"/>
    <s v="Hörmətli *My Concept* , sizin *24,12,2024* tarixli  sifarişiniz hazırdır . Bizi seçdiyiniz üçün minnətdarıq. Hörmətlə  *AlumPro*."/>
    <s v="My"/>
    <s v="My "/>
  </r>
  <r>
    <n v="313"/>
    <s v="*ALUMPRO313*"/>
    <s v="Nihad"/>
    <x v="11"/>
    <x v="11"/>
    <s v="994502111355"/>
    <s v="temir"/>
    <m/>
    <m/>
    <n v="0"/>
    <n v="0"/>
    <n v="52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52"/>
    <n v="0"/>
    <n v="0"/>
    <n v="52"/>
    <s v="Mesaj"/>
    <s v="Mesaj"/>
    <s v="Qəbul edilib"/>
    <s v="Təhvil verilib"/>
    <s v="Hörmətli *My Concept*  ,Sizin *23,12,2024* tarixli sifarişiniz qeydə alındı. Sifariş Məbləğı *52 AZN* , Qalıq *52 AZN* . Hörmətlə  *AlumPro*"/>
    <s v="Hörmətli *My Concept* , sizin *23,12,2024* tarixli  sifarişiniz hazırdır . Bizi seçdiyiniz üçün minnətdarıq. Hörmətlə  *AlumPro*."/>
    <s v="My"/>
    <s v="My "/>
  </r>
  <r>
    <n v="312"/>
    <s v="*ALUMPRO312*"/>
    <s v="Nihad"/>
    <x v="12"/>
    <x v="11"/>
    <s v="994502111355"/>
    <s v="vusal usta"/>
    <m/>
    <m/>
    <n v="0"/>
    <n v="0"/>
    <n v="269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269"/>
    <n v="0"/>
    <n v="0"/>
    <n v="269"/>
    <s v="Mesaj"/>
    <s v="Mesaj"/>
    <s v="Qəbul edilib"/>
    <s v="Təhvil verilib"/>
    <s v="Hörmətli *My Concept*  ,Sizin *18,12,2024* tarixli sifarişiniz qeydə alındı. Sifariş Məbləğı *269 AZN* , Qalıq *269 AZN* . Hörmətlə  *AlumPro*"/>
    <s v="Hörmətli *My Concept* , sizin *18,12,2024* tarixli  sifarişiniz hazırdır . Bizi seçdiyiniz üçün minnətdarıq. Hörmətlə  *AlumPro*."/>
    <s v="My"/>
    <s v="My "/>
  </r>
  <r>
    <n v="311"/>
    <s v="*ALUMPRO311*"/>
    <s v="Nihad"/>
    <x v="12"/>
    <x v="11"/>
    <s v="994502111355"/>
    <s v="rafael"/>
    <m/>
    <m/>
    <n v="0"/>
    <n v="0"/>
    <n v="470"/>
    <m/>
    <n v="0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470"/>
    <n v="0"/>
    <n v="0"/>
    <n v="470"/>
    <s v="Mesaj"/>
    <s v="Mesaj"/>
    <s v="Qəbul edilib"/>
    <s v="Təhvil verilib"/>
    <s v="Hörmətli *My Concept*  ,Sizin *18,12,2024* tarixli sifarişiniz qeydə alındı. Sifariş Məbləğı *470 AZN* , Qalıq *470 AZN* . Hörmətlə  *AlumPro*"/>
    <s v="Hörmətli *My Concept* , sizin *18,12,2024* tarixli  sifarişiniz hazırdır . Bizi seçdiyiniz üçün minnətdarıq. Hörmətlə  *AlumPro*."/>
    <s v="My"/>
    <s v="My "/>
  </r>
  <r>
    <n v="310"/>
    <s v="*ALUMPRO310*"/>
    <s v="Nihad"/>
    <x v="13"/>
    <x v="11"/>
    <s v="994502111355"/>
    <m/>
    <m/>
    <m/>
    <n v="0"/>
    <n v="5"/>
    <n v="0"/>
    <m/>
    <n v="0"/>
    <n v="0"/>
    <n v="0"/>
    <m/>
    <s v="Tapilmadi"/>
    <n v="0"/>
    <n v="48"/>
    <n v="0"/>
    <s v="Fümə şüşə"/>
    <m/>
    <n v="0"/>
    <m/>
    <s v="Tapilmadi"/>
    <m/>
    <n v="0"/>
    <m/>
    <s v="Tapilmadi"/>
    <n v="1"/>
    <n v="0"/>
    <n v="0"/>
    <n v="0"/>
    <n v="0"/>
    <n v="48"/>
    <n v="0"/>
    <n v="0"/>
    <n v="48"/>
    <s v="Mesaj"/>
    <s v="Mesaj"/>
    <s v="Qəbul edilib"/>
    <s v="Təhvil verilib"/>
    <s v="Hörmətli *My Concept*  ,Sizin *10,12,2024* tarixli sifarişiniz qeydə alındı. Sifariş Məbləğı *48 AZN* , Qalıq *48 AZN* . Hörmətlə  *AlumPro*"/>
    <s v="Hörmətli *My Concept* , sizin *10,12,2024* tarixli  sifarişiniz hazırdır . Bizi seçdiyiniz üçün minnətdarıq. Hörmətlə  *AlumPro*."/>
    <s v="My"/>
    <s v="My "/>
  </r>
  <r>
    <n v="309"/>
    <s v="*ALUMPRO309*"/>
    <s v="Nihad"/>
    <x v="6"/>
    <x v="12"/>
    <s v="994519048823"/>
    <m/>
    <s v="45 qara"/>
    <m/>
    <n v="0"/>
    <n v="5"/>
    <n v="115"/>
    <s v="boy"/>
    <s v="Tapilmadi"/>
    <n v="5"/>
    <n v="130"/>
    <m/>
    <s v="Tapilmadi"/>
    <n v="0"/>
    <n v="0"/>
    <n v="0"/>
    <s v="Fümə şüşə"/>
    <m/>
    <n v="103"/>
    <m/>
    <s v="Tapilmadi"/>
    <m/>
    <n v="16"/>
    <m/>
    <s v="Tapilmadi"/>
    <n v="1"/>
    <n v="0"/>
    <n v="16"/>
    <n v="60"/>
    <m/>
    <n v="440"/>
    <n v="0"/>
    <n v="100"/>
    <n v="340"/>
    <s v="Mesaj"/>
    <s v="Mesaj"/>
    <s v="Qəbul edilib"/>
    <s v="Təhvil verilib"/>
    <s v="Hörmətli *Fuad Ramazanov*  ,Sizin *14,01,2025* tarixli sifarişiniz qeydə alındı. Sifariş Məbləğı *440 AZN* , Qalıq *340 AZN* . Hörmətlə  *AlumPro*"/>
    <s v="Hörmətli *Fuad Ramazanov* , sizin *14,01,2025* tarixli  sifarişiniz hazırdır . Bizi seçdiyiniz üçün minnətdarıq. Hörmətlə  *AlumPro*."/>
    <s v="Fuad"/>
    <s v="Fuad "/>
  </r>
  <r>
    <n v="308"/>
    <s v="*ALUMPRO308*"/>
    <s v="Nihad"/>
    <x v="14"/>
    <x v="13"/>
    <s v="994773691369"/>
    <m/>
    <s v="45 qızılı"/>
    <m/>
    <n v="0"/>
    <n v="2"/>
    <n v="46"/>
    <s v="boy"/>
    <s v="Tapilmadi"/>
    <n v="1"/>
    <n v="26"/>
    <m/>
    <s v="Tapilmadi"/>
    <n v="0"/>
    <n v="0"/>
    <n v="0"/>
    <s v="Fümə şüşə"/>
    <m/>
    <n v="31"/>
    <m/>
    <s v="Tapilmadi"/>
    <m/>
    <n v="4"/>
    <m/>
    <s v="Tapilmadi"/>
    <n v="1"/>
    <n v="0"/>
    <n v="4"/>
    <n v="15"/>
    <m/>
    <n v="126"/>
    <n v="0"/>
    <n v="0"/>
    <n v="126"/>
    <s v="Mesaj"/>
    <s v="Mesaj"/>
    <s v="Qəbul edilib"/>
    <s v="Təhvil verilib"/>
    <s v="Hörmətli *Mahir MM*  ,Sizin *1/14/2025* tarixli sifarişiniz qeydə alındı. Sifariş Məbləğı *126 AZN* , Qalıq *126 AZN* . Hörmətlə  *AlumPro*"/>
    <s v="Hörmətli *Mahir MM* , sizin *1/14/2025* tarixli  sifarişiniz hazırdır . Bizi seçdiyiniz üçün minnətdarıq. Hörmətlə  *AlumPro*."/>
    <s v="Mahir"/>
    <s v="Mahir "/>
  </r>
  <r>
    <n v="307"/>
    <s v="*ALUMPRO307*"/>
    <s v="Nihad"/>
    <x v="15"/>
    <x v="14"/>
    <s v="994772775177"/>
    <m/>
    <s v="2x2 qara"/>
    <m/>
    <n v="0"/>
    <n v="3"/>
    <n v="69"/>
    <s v="boy"/>
    <s v="Tapilmadi"/>
    <s v="basac"/>
    <n v="0"/>
    <s v="2x2  düz"/>
    <s v="Tapilmadi"/>
    <n v="4"/>
    <n v="16"/>
    <n v="0"/>
    <s v="Fümə şüşə"/>
    <m/>
    <n v="30"/>
    <m/>
    <s v="Tapilmadi"/>
    <m/>
    <n v="16"/>
    <m/>
    <s v="Tapilmadi"/>
    <n v="1"/>
    <n v="0"/>
    <n v="8"/>
    <n v="30"/>
    <m/>
    <n v="169"/>
    <n v="0"/>
    <n v="0"/>
    <n v="169"/>
    <s v="Mesaj"/>
    <s v="Mesaj"/>
    <s v="Qəbul edilib"/>
    <s v="Təhvil verilib"/>
    <s v="Hörmətli *Aksin Mahmudov*  ,Sizin *13,01,2025* tarixli sifarişiniz qeydə alındı. Sifariş Məbləğı *169 AZN* , Qalıq *169 AZN* . Hörmətlə  *AlumPro*"/>
    <s v="Hörmətli *Aksin Mahmudov* , sizin *13,01,2025* tarixli  sifarişiniz hazırdır . Bizi seçdiyiniz üçün minnətdarıq. Hörmətlə  *AlumPro*."/>
    <s v="Aksin"/>
    <s v="Aksin "/>
  </r>
  <r>
    <n v="306"/>
    <s v="*ALUMPRO306*"/>
    <s v="Nihad"/>
    <x v="15"/>
    <x v="15"/>
    <s v="994704246454"/>
    <m/>
    <s v="45 qara"/>
    <m/>
    <n v="0"/>
    <m/>
    <m/>
    <m/>
    <n v="0"/>
    <m/>
    <m/>
    <m/>
    <s v="Tapilmadi"/>
    <n v="0"/>
    <n v="0"/>
    <n v="0"/>
    <s v="Qəhvəyi şüşə"/>
    <m/>
    <m/>
    <m/>
    <s v="Tapilmadi"/>
    <m/>
    <m/>
    <m/>
    <s v="Tapilmadi"/>
    <n v="1"/>
    <n v="0"/>
    <m/>
    <m/>
    <m/>
    <m/>
    <m/>
    <m/>
    <n v="0"/>
    <s v="Mesaj"/>
    <s v="Mesaj"/>
    <s v="Qəbul edilib"/>
    <s v="Təhvil verilib"/>
    <s v="Hörmətli **  ,Sizin *13,01,2025* tarixli sifarişiniz qeydə alındı. Sifariş Məbləğı * AZN* , Qalıq *0 AZN* . Hörmətlə  *AlumPro*"/>
    <s v="Hörmətli ** , sizin *13,01,2025* tarixli  sifarişiniz hazırdır . Bizi seçdiyiniz üçün minnətdarıq. Hörmətlə  *AlumPro*."/>
    <e v="#VALUE!"/>
    <e v="#VALUE!"/>
  </r>
  <r>
    <n v="305"/>
    <s v="*ALUMPRO305*"/>
    <s v="Nihad"/>
    <x v="15"/>
    <x v="16"/>
    <s v="994502390343"/>
    <m/>
    <s v="2x2 qara"/>
    <m/>
    <n v="0"/>
    <n v="8"/>
    <n v="184"/>
    <s v="boy"/>
    <s v="Tapilmadi"/>
    <n v="7"/>
    <n v="182"/>
    <s v="2x2  düz"/>
    <s v="Tapilmadi"/>
    <n v="28"/>
    <n v="112"/>
    <n v="0"/>
    <s v="Temp Fümə şüşə"/>
    <m/>
    <n v="268"/>
    <m/>
    <s v="Tapilmadi"/>
    <m/>
    <n v="64"/>
    <m/>
    <s v="Tapilmadi"/>
    <n v="1"/>
    <n v="0"/>
    <n v="56"/>
    <n v="110"/>
    <n v="0"/>
    <n v="976"/>
    <n v="0"/>
    <n v="0"/>
    <n v="976"/>
    <s v="Mesaj"/>
    <s v="Mesaj"/>
    <s v="Qəbul edilib"/>
    <s v="Təhvil verilib"/>
    <s v="Hörmətli *Kandar Palid*  ,Sizin *13,01,2025* tarixli sifarişiniz qeydə alındı. Sifariş Məbləğı *976 AZN* , Qalıq *976 AZN* . Hörmətlə  *AlumPro*"/>
    <s v="Hörmətli *Kandar Palid* , sizin *13,01,2025* tarixli  sifarişiniz hazırdır . Bizi seçdiyiniz üçün minnətdarıq. Hörmətlə  *AlumPro*."/>
    <s v="Kandar"/>
    <s v="Kandar "/>
  </r>
  <r>
    <n v="304"/>
    <s v="*ALUMPRO304*"/>
    <s v="Nihad"/>
    <x v="15"/>
    <x v="17"/>
    <s v="994558646261"/>
    <m/>
    <s v="2x2 qara"/>
    <m/>
    <n v="0"/>
    <n v="6"/>
    <n v="138"/>
    <n v="110"/>
    <s v="Tapilmadi"/>
    <n v="4"/>
    <n v="240"/>
    <s v="2x2  düz"/>
    <s v="Tapilmadi"/>
    <n v="20"/>
    <n v="80"/>
    <n v="0"/>
    <s v="Temp Fümə şüşə"/>
    <m/>
    <n v="218"/>
    <m/>
    <s v="Tapilmadi"/>
    <m/>
    <n v="32"/>
    <m/>
    <s v="Tapilmadi"/>
    <n v="1"/>
    <n v="0"/>
    <n v="40"/>
    <n v="60"/>
    <n v="0"/>
    <n v="808"/>
    <n v="0"/>
    <n v="400"/>
    <n v="408"/>
    <s v="Mesaj"/>
    <s v="Mesaj"/>
    <s v="Qəbul edilib"/>
    <s v="Təhvil verilib"/>
    <s v="Hörmətli *Rauf Yusubov*  ,Sizin *13,01,2025* tarixli sifarişiniz qeydə alındı. Sifariş Məbləğı *808 AZN* , Qalıq *408 AZN* . Hörmətlə  *AlumPro*"/>
    <s v="Hörmətli *Rauf Yusubov* , sizin *13,01,2025* tarixli  sifarişiniz hazırdır . Bizi seçdiyiniz üçün minnətdarıq. Hörmətlə  *AlumPro*."/>
    <s v="Rauf"/>
    <s v="Rauf "/>
  </r>
  <r>
    <n v="303"/>
    <s v="*ALUMPRO303*"/>
    <s v="Nihad"/>
    <x v="15"/>
    <x v="18"/>
    <s v="994505628822"/>
    <m/>
    <s v="45 qara"/>
    <m/>
    <n v="0"/>
    <n v="7"/>
    <n v="161"/>
    <s v="boy"/>
    <s v="Tapilmadi"/>
    <n v="5"/>
    <n v="130"/>
    <m/>
    <s v="Tapilmadi"/>
    <n v="0"/>
    <n v="0"/>
    <n v="0"/>
    <s v="Qəhvəyi şüşə"/>
    <m/>
    <n v="128"/>
    <m/>
    <s v="Tapilmadi"/>
    <m/>
    <n v="20"/>
    <m/>
    <s v="Tapilmadi"/>
    <n v="1"/>
    <n v="0"/>
    <n v="25"/>
    <n v="75"/>
    <n v="0"/>
    <n v="539"/>
    <n v="0"/>
    <n v="539"/>
    <n v="0"/>
    <s v="Mesaj"/>
    <s v="Mesaj"/>
    <s v="Qəbul edilib"/>
    <s v="Təhvil verilib"/>
    <s v="Hörmətli *Ceyhun Sumqayit*  ,Sizin *13,01,2025* tarixli sifarişiniz qeydə alındı. Sifariş Məbləğı *539 AZN* , Qalıq *0 AZN* . Hörmətlə  *AlumPro*"/>
    <s v="Hörmətli *Ceyhun Sumqayit* , sizin *13,01,2025* tarixli  sifarişiniz hazırdır . Bizi seçdiyiniz üçün minnətdarıq. Hörmətlə  *AlumPro*."/>
    <s v="Ceyhun"/>
    <s v="Ceyhun "/>
  </r>
  <r>
    <n v="302"/>
    <s v="*ALUMPRO302*"/>
    <s v="Nihad"/>
    <x v="15"/>
    <x v="19"/>
    <s v="994515557737"/>
    <m/>
    <m/>
    <m/>
    <n v="0"/>
    <n v="0"/>
    <n v="2060"/>
    <n v="0"/>
    <s v="Tapilmadi"/>
    <n v="0"/>
    <n v="0"/>
    <m/>
    <s v="Tapilmadi"/>
    <n v="0"/>
    <n v="0"/>
    <n v="0"/>
    <s v="Qəhvəyi şüşə"/>
    <m/>
    <n v="0"/>
    <m/>
    <s v="Tapilmadi"/>
    <m/>
    <n v="0"/>
    <m/>
    <s v="Tapilmadi"/>
    <n v="1"/>
    <n v="0"/>
    <n v="0"/>
    <n v="0"/>
    <n v="0"/>
    <n v="2060"/>
    <n v="0"/>
    <m/>
    <n v="2060"/>
    <s v="Mesaj"/>
    <s v="Mesaj"/>
    <s v="Qəbul edilib"/>
    <s v="Təhvil verilib"/>
    <s v="Hörmətli *Togrul Memmeddli*  ,Sizin *13,01,2025* tarixli sifarişiniz qeydə alındı. Sifariş Məbləğı *2060 AZN* , Qalıq *2060 AZN* . Hörmətlə  *AlumPro*"/>
    <s v="Hörmətli *Togrul Memmeddli* , sizin *13,01,2025* tarixli  sifarişiniz hazırdır . Bizi seçdiyiniz üçün minnətdarıq. Hörmətlə  *AlumPro*."/>
    <s v="Togrul"/>
    <s v="Togrul "/>
  </r>
  <r>
    <n v="301"/>
    <s v="*ALUMPRO301*"/>
    <s v="Nihad"/>
    <x v="15"/>
    <x v="20"/>
    <s v="994557003510"/>
    <m/>
    <m/>
    <m/>
    <n v="0"/>
    <n v="0"/>
    <n v="1100"/>
    <n v="0"/>
    <s v="Tapilmadi"/>
    <n v="0"/>
    <n v="0"/>
    <m/>
    <s v="Tapilmadi"/>
    <n v="0"/>
    <n v="0"/>
    <n v="0"/>
    <s v="Qəhvəyi şüşə"/>
    <m/>
    <n v="0"/>
    <m/>
    <s v="Tapilmadi"/>
    <m/>
    <n v="0"/>
    <m/>
    <s v="Tapilmadi"/>
    <n v="1"/>
    <n v="0"/>
    <n v="0"/>
    <n v="0"/>
    <n v="0"/>
    <n v="1100"/>
    <n v="0"/>
    <n v="900"/>
    <n v="200"/>
    <s v="Mesaj"/>
    <s v="Mesaj"/>
    <s v="Qəbul edilib"/>
    <s v="Təhvil verilib"/>
    <s v="Hörmətli *Vladmir *  ,Sizin *13,01,2025* tarixli sifarişiniz qeydə alındı. Sifariş Məbləğı *1100 AZN* , Qalıq *200 AZN* . Hörmətlə  *AlumPro*"/>
    <s v="Hörmətli *Vladmir * , sizin *13,01,2025* tarixli  sifarişiniz hazırdır . Bizi seçdiyiniz üçün minnətdarıq. Hörmətlə  *AlumPro*."/>
    <s v="Vladmir"/>
    <s v="Vladmir "/>
  </r>
  <r>
    <n v="300"/>
    <s v="*ALUMPRO300*"/>
    <s v="Nihad"/>
    <x v="15"/>
    <x v="21"/>
    <s v="994503397491"/>
    <m/>
    <s v="45 qızılı"/>
    <m/>
    <n v="0"/>
    <n v="3"/>
    <n v="69"/>
    <s v="boy"/>
    <s v="Tapilmadi"/>
    <n v="2"/>
    <n v="52"/>
    <m/>
    <s v="Tapilmadi"/>
    <n v="0"/>
    <n v="0"/>
    <n v="0"/>
    <s v="Qəhvəyi şüşə"/>
    <m/>
    <n v="55"/>
    <m/>
    <s v="Tapilmadi"/>
    <m/>
    <n v="8"/>
    <m/>
    <s v="Tapilmadi"/>
    <n v="1"/>
    <n v="0"/>
    <n v="8"/>
    <n v="30"/>
    <n v="0"/>
    <n v="220"/>
    <n v="2"/>
    <n v="218"/>
    <n v="0"/>
    <s v="Mesaj"/>
    <s v="Mesaj"/>
    <s v="Qəbul edilib"/>
    <s v="Təhvil verilib"/>
    <s v="Hörmətli *Malik Tagiyev*  ,Sizin *13,01,2025* tarixli sifarişiniz qeydə alındı. Sifariş Məbləğı *220 AZN* , Qalıq *0 AZN* . Hörmətlə  *AlumPro*"/>
    <s v="Hörmətli *Malik Tagiyev* , sizin *13,01,2025* tarixli  sifarişiniz hazırdır . Bizi seçdiyiniz üçün minnətdarıq. Hörmətlə  *AlumPro*."/>
    <s v="Malik"/>
    <s v="Malik "/>
  </r>
  <r>
    <n v="299"/>
    <s v="*ALUMPRO299*"/>
    <s v="Nihad"/>
    <x v="16"/>
    <x v="22"/>
    <s v="994506717103"/>
    <m/>
    <s v="Vega qizili"/>
    <m/>
    <n v="0"/>
    <n v="2"/>
    <n v="250"/>
    <n v="0"/>
    <s v="Tapilmadi"/>
    <n v="0"/>
    <n v="0"/>
    <m/>
    <s v="Tapilmadi"/>
    <n v="0"/>
    <n v="0"/>
    <n v="0"/>
    <s v="Qəhvəyi şüşə"/>
    <m/>
    <n v="84"/>
    <m/>
    <s v="Tapilmadi"/>
    <m/>
    <n v="60"/>
    <m/>
    <s v="Tapilmadi"/>
    <n v="1"/>
    <n v="120"/>
    <n v="0"/>
    <n v="60"/>
    <n v="0"/>
    <n v="574"/>
    <n v="0"/>
    <n v="525"/>
    <n v="49"/>
    <s v="Mesaj"/>
    <s v="Mesaj"/>
    <s v="Qəbul edilib"/>
    <s v="Təhvil verilib"/>
    <s v="Hörmətli *Cesaret Lyent*  ,Sizin *1/13/2025* tarixli sifarişiniz qeydə alındı. Sifariş Məbləğı *574 AZN* , Qalıq *49 AZN* . Hörmətlə  *AlumPro*"/>
    <s v="Hörmətli *Cesaret Lyent* , sizin *1/13/2025* tarixli  sifarişiniz hazırdır . Bizi seçdiyiniz üçün minnətdarıq. Hörmətlə  *AlumPro*."/>
    <s v="Cesaret"/>
    <s v="Cesaret "/>
  </r>
  <r>
    <n v="298"/>
    <s v="*ALUMPRO298*"/>
    <s v="Nihad"/>
    <x v="17"/>
    <x v="22"/>
    <s v="994506717103"/>
    <m/>
    <s v="2x2 qızılı"/>
    <m/>
    <n v="0"/>
    <n v="3"/>
    <n v="69"/>
    <s v="20 sm"/>
    <s v="Tapilmadi"/>
    <n v="1"/>
    <n v="50"/>
    <s v="2x2  düz"/>
    <s v="Tapilmadi"/>
    <n v="7"/>
    <n v="28"/>
    <n v="0"/>
    <s v="Qəhvəyi şüşə"/>
    <m/>
    <n v="44"/>
    <m/>
    <s v="Tapilmadi"/>
    <m/>
    <n v="16"/>
    <m/>
    <s v="Tapilmadi"/>
    <n v="1"/>
    <n v="0"/>
    <n v="14"/>
    <n v="30"/>
    <n v="0"/>
    <n v="251"/>
    <n v="0"/>
    <n v="0"/>
    <n v="251"/>
    <s v="Mesaj"/>
    <s v="Mesaj"/>
    <s v="Qəbul edilib"/>
    <s v="Təhvil verilib"/>
    <s v="Hörmətli *Cesaret Lyent*  ,Sizin *09,01,2024* tarixli sifarişiniz qeydə alındı. Sifariş Məbləğı *251 AZN* , Qalıq *251 AZN* . Hörmətlə  *AlumPro*"/>
    <s v="Hörmətli *Cesaret Lyent* , sizin *09,01,2024* tarixli  sifarişiniz hazırdır . Bizi seçdiyiniz üçün minnətdarıq. Hörmətlə  *AlumPro*."/>
    <s v="Cesaret"/>
    <s v="Cesaret "/>
  </r>
  <r>
    <n v="297"/>
    <s v="*ALUMPRO297*"/>
    <s v="Nihad"/>
    <x v="18"/>
    <x v="23"/>
    <s v="994516321999"/>
    <m/>
    <s v="2x2 qara"/>
    <m/>
    <n v="0"/>
    <n v="4"/>
    <n v="92"/>
    <s v="basac"/>
    <s v="Tapilmadi"/>
    <n v="0"/>
    <n v="0"/>
    <s v="2x2  düz"/>
    <s v="Tapilmadi"/>
    <n v="10"/>
    <n v="40"/>
    <n v="0"/>
    <s v="Qəhvəyi refle şüşə"/>
    <m/>
    <n v="498"/>
    <m/>
    <s v="Tapilmadi"/>
    <m/>
    <n v="40"/>
    <m/>
    <s v="Tapilmadi"/>
    <n v="1"/>
    <n v="0"/>
    <n v="20"/>
    <n v="50"/>
    <n v="0"/>
    <n v="740"/>
    <n v="0"/>
    <n v="100"/>
    <n v="640"/>
    <s v="Mesaj"/>
    <s v="Mesaj"/>
    <s v="Qəbul edilib"/>
    <s v="Təhvil verilib"/>
    <s v="Hörmətli *Elmedden Quliyev*  ,Sizin *1/10/2025* tarixli sifarişiniz qeydə alındı. Sifariş Məbləğı *740 AZN* , Qalıq *640 AZN* . Hörmətlə  *AlumPro*"/>
    <s v="Hörmətli *Elmedden Quliyev* , sizin *1/10/2025* tarixli  sifarişiniz hazırdır . Bizi seçdiyiniz üçün minnətdarıq. Hörmətlə  *AlumPro*."/>
    <s v="Elmedden"/>
    <s v="Elmedden "/>
  </r>
  <r>
    <n v="296"/>
    <s v="*ALUMPRO296*"/>
    <s v="Nihad"/>
    <x v="17"/>
    <x v="23"/>
    <s v="994516321999"/>
    <m/>
    <s v="45 kofe"/>
    <m/>
    <n v="0"/>
    <n v="10"/>
    <n v="230"/>
    <s v="qulp"/>
    <s v="Tapilmadi"/>
    <n v="8"/>
    <n v="208"/>
    <m/>
    <s v="Tapilmadi"/>
    <n v="0"/>
    <n v="0"/>
    <n v="0"/>
    <s v="qehveyi zerkalni"/>
    <m/>
    <n v="286"/>
    <m/>
    <s v="Tapilmadi"/>
    <m/>
    <n v="32"/>
    <m/>
    <s v="Tapilmadi"/>
    <n v="1"/>
    <n v="0"/>
    <n v="32"/>
    <n v="120"/>
    <n v="0"/>
    <n v="908"/>
    <n v="8"/>
    <n v="900"/>
    <n v="0"/>
    <s v="Mesaj"/>
    <s v="Mesaj"/>
    <s v="Qəbul edilib"/>
    <s v="Təhvil verilib"/>
    <s v="Hörmətli *Elmedden Quliyev*  ,Sizin *09,01,2024* tarixli sifarişiniz qeydə alındı. Sifariş Məbləğı *908 AZN* , Qalıq *0 AZN* . Hörmətlə  *AlumPro*"/>
    <s v="Hörmətli *Elmedden Quliyev* , sizin *09,01,2024* tarixli  sifarişiniz hazırdır . Bizi seçdiyiniz üçün minnətdarıq. Hörmətlə  *AlumPro*."/>
    <s v="Elmedden"/>
    <s v="Elmedden "/>
  </r>
  <r>
    <n v="295"/>
    <s v="*ALUMPRO295*"/>
    <s v="Nihad"/>
    <x v="19"/>
    <x v="24"/>
    <s v="994554895908"/>
    <m/>
    <s v="45 qızılı"/>
    <m/>
    <n v="0"/>
    <n v="2"/>
    <n v="46"/>
    <s v="basac"/>
    <s v="Tapilmadi"/>
    <n v="0"/>
    <n v="0"/>
    <m/>
    <s v="Tapilmadi"/>
    <n v="0"/>
    <n v="0"/>
    <n v="0"/>
    <s v="Qəhvəyi şüşə"/>
    <m/>
    <n v="19"/>
    <m/>
    <s v="Tapilmadi"/>
    <m/>
    <n v="4"/>
    <m/>
    <s v="Tapilmadi"/>
    <n v="1"/>
    <n v="0"/>
    <n v="3"/>
    <n v="15"/>
    <n v="0"/>
    <n v="87"/>
    <n v="0"/>
    <n v="0"/>
    <n v="87"/>
    <s v="Mesaj"/>
    <s v="Mesaj"/>
    <s v="Qəbul edilib"/>
    <s v="Təhvil verilib"/>
    <s v="Hörmətli *Mansur Aliyev*  ,Sizin *1/9/2025* tarixli sifarişiniz qeydə alındı. Sifariş Məbləğı *87 AZN* , Qalıq *87 AZN* . Hörmətlə  *AlumPro*"/>
    <s v="Hörmətli *Mansur Aliyev* , sizin *1/9/2025* tarixli  sifarişiniz hazırdır . Bizi seçdiyiniz üçün minnətdarıq. Hörmətlə  *AlumPro*."/>
    <s v="Mansur"/>
    <s v="Mansur "/>
  </r>
  <r>
    <n v="294"/>
    <s v="*ALUMPRO294*"/>
    <s v="Nihad"/>
    <x v="17"/>
    <x v="25"/>
    <s v="994512063544"/>
    <s v="mahir eliyev"/>
    <s v="2x2 qızılı"/>
    <m/>
    <n v="0"/>
    <n v="5"/>
    <n v="115"/>
    <s v="basac"/>
    <s v="Tapilmadi"/>
    <n v="0"/>
    <n v="0"/>
    <s v="2x2  düz"/>
    <s v="Tapilmadi"/>
    <n v="14"/>
    <n v="56"/>
    <n v="0"/>
    <s v="Qəhvəyi şüşə"/>
    <m/>
    <n v="44"/>
    <m/>
    <s v="Tapilmadi"/>
    <m/>
    <n v="56"/>
    <m/>
    <s v="Tapilmadi"/>
    <n v="1"/>
    <n v="0"/>
    <n v="29"/>
    <n v="70"/>
    <n v="0"/>
    <n v="370"/>
    <n v="0"/>
    <n v="0"/>
    <n v="370"/>
    <s v="Mesaj"/>
    <s v="Mesaj"/>
    <s v="Qəbul edilib"/>
    <s v="Təhvil verilib"/>
    <s v="Hörmətli *Mutfakci Maliyye*  ,Sizin *09,01,2024* tarixli sifarişiniz qeydə alındı. Sifariş Məbləğı *370 AZN* , Qalıq *370 AZN* . Hörmətlə  *AlumPro*"/>
    <s v="Hörmətli *Mutfakci Maliyye* , sizin *09,01,2024* tarixli  sifarişiniz hazırdır . Bizi seçdiyiniz üçün minnətdarıq. Hörmətlə  *AlumPro*."/>
    <s v="Mutfakci"/>
    <s v="Mutfakci "/>
  </r>
  <r>
    <n v="293"/>
    <s v="*ALUMPRO293*"/>
    <s v="Nihad"/>
    <x v="20"/>
    <x v="25"/>
    <s v="994512063544"/>
    <n v="0"/>
    <m/>
    <m/>
    <n v="0"/>
    <n v="0"/>
    <n v="232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232"/>
    <n v="0"/>
    <n v="0"/>
    <n v="232"/>
    <s v="Mesaj"/>
    <s v="Mesaj"/>
    <s v="Qəbul edilib"/>
    <s v="Təhvil verilib"/>
    <s v="Hörmətli *Mutfakci Maliyye*  ,Sizin *08,01,2024* tarixli sifarişiniz qeydə alındı. Sifariş Məbləğı *232 AZN* , Qalıq *232 AZN* . Hörmətlə  *AlumPro*"/>
    <s v="Hörmətli *Mutfakci Maliyye* , sizin *08,01,2024* tarixli  sifarişiniz hazırdır . Bizi seçdiyiniz üçün minnətdarıq. Hörmətlə  *AlumPro*."/>
    <s v="Mutfakci"/>
    <s v="Mutfakci "/>
  </r>
  <r>
    <n v="292"/>
    <s v="*ALUMPRO292*"/>
    <s v="Nihad"/>
    <x v="20"/>
    <x v="16"/>
    <s v="994502390343"/>
    <n v="0"/>
    <m/>
    <m/>
    <n v="0"/>
    <n v="0"/>
    <n v="878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878"/>
    <n v="0"/>
    <n v="0"/>
    <n v="878"/>
    <s v="Mesaj"/>
    <s v="Mesaj"/>
    <s v="Qəbul edilib"/>
    <s v="Təhvil verilib"/>
    <s v="Hörmətli *Kandar Palid*  ,Sizin *08,01,2024* tarixli sifarişiniz qeydə alındı. Sifariş Məbləğı *878 AZN* , Qalıq *878 AZN* . Hörmətlə  *AlumPro*"/>
    <s v="Hörmətli *Kandar Palid* , sizin *08,01,2024* tarixli  sifarişiniz hazırdır . Bizi seçdiyiniz üçün minnətdarıq. Hörmətlə  *AlumPro*."/>
    <s v="Kandar"/>
    <s v="Kandar "/>
  </r>
  <r>
    <n v="291"/>
    <s v="*ALUMPRO291*"/>
    <s v="Nihad"/>
    <x v="21"/>
    <x v="19"/>
    <s v="994515557737"/>
    <s v="16 qapaq x 103 azn"/>
    <s v="45 qızılı"/>
    <m/>
    <n v="0"/>
    <n v="16"/>
    <n v="1648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1648"/>
    <n v="0"/>
    <n v="1648"/>
    <n v="0"/>
    <s v="Mesaj"/>
    <s v="Mesaj"/>
    <s v="Qəbul edilib"/>
    <s v="Təhvil verilib"/>
    <s v="Hörmətli *Togrul Memmeddli*  ,Sizin *1/8/2025* tarixli sifarişiniz qeydə alındı. Sifariş Məbləğı *1648 AZN* , Qalıq *0 AZN* . Hörmətlə  *AlumPro*"/>
    <s v="Hörmətli *Togrul Memmeddli* , sizin *1/8/2025* tarixli  sifarişiniz hazırdır . Bizi seçdiyiniz üçün minnətdarıq. Hörmətlə  *AlumPro*."/>
    <s v="Togrul"/>
    <s v="Togrul "/>
  </r>
  <r>
    <n v="290"/>
    <s v="*ALUMPRO290*"/>
    <s v="Nihad"/>
    <x v="20"/>
    <x v="26"/>
    <s v="994502573567"/>
    <m/>
    <s v="2x2 qızılı"/>
    <m/>
    <n v="0"/>
    <n v="9"/>
    <n v="207"/>
    <s v="boy"/>
    <s v="Tapilmadi"/>
    <n v="8"/>
    <n v="208"/>
    <s v="2x2  düz"/>
    <s v="Tapilmadi"/>
    <n v="30"/>
    <n v="120"/>
    <n v="0"/>
    <s v="Qəhvəyi şüşə"/>
    <m/>
    <n v="208"/>
    <m/>
    <s v="Tapilmadi"/>
    <m/>
    <n v="64"/>
    <m/>
    <s v="Tapilmadi"/>
    <n v="1"/>
    <n v="0"/>
    <n v="60"/>
    <n v="120"/>
    <n v="0"/>
    <n v="950"/>
    <n v="37"/>
    <n v="0"/>
    <n v="913"/>
    <s v="Mesaj"/>
    <s v="Mesaj"/>
    <s v="Qəbul edilib"/>
    <s v="Təhvil verilib"/>
    <s v="Hörmətli *Rovsen Sex Mebel*  ,Sizin *08,01,2024* tarixli sifarişiniz qeydə alındı. Sifariş Məbləğı *950 AZN* , Qalıq *913 AZN* . Hörmətlə  *AlumPro*"/>
    <s v="Hörmətli *Rovsen Sex Mebel* , sizin *08,01,2024* tarixli  sifarişiniz hazırdır . Bizi seçdiyiniz üçün minnətdarıq. Hörmətlə  *AlumPro*."/>
    <s v="Rovsen"/>
    <s v="Rovsen "/>
  </r>
  <r>
    <n v="289"/>
    <s v="*ALUMPRO289*"/>
    <s v="Nihad"/>
    <x v="20"/>
    <x v="27"/>
    <s v="994705238003"/>
    <s v="Qara"/>
    <s v="Mətbəx üst işıqlı"/>
    <m/>
    <n v="0"/>
    <n v="1"/>
    <n v="30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30"/>
    <n v="0"/>
    <n v="0"/>
    <n v="30"/>
    <s v="Mesaj"/>
    <s v="Mesaj"/>
    <s v="Qəbul edilib"/>
    <s v="Təhvil verilib"/>
    <s v="Hörmətli *Ramiz Salayev*  ,Sizin *08,01,2024* tarixli sifarişiniz qeydə alındı. Sifariş Məbləğı *30 AZN* , Qalıq *30 AZN* . Hörmətlə  *AlumPro*"/>
    <s v="Hörmətli *Ramiz Salayev* , sizin *08,01,2024* tarixli  sifarişiniz hazırdır . Bizi seçdiyiniz üçün minnətdarıq. Hörmətlə  *AlumPro*."/>
    <s v="Ramiz"/>
    <s v="Ramiz "/>
  </r>
  <r>
    <n v="288"/>
    <s v="*ALUMPRO288*"/>
    <s v="Nihad"/>
    <x v="20"/>
    <x v="27"/>
    <s v="994705238003"/>
    <m/>
    <s v="2x2 kofe"/>
    <m/>
    <n v="0"/>
    <n v="5"/>
    <n v="115"/>
    <n v="110"/>
    <s v="Tapilmadi"/>
    <n v="2"/>
    <n v="120"/>
    <s v="2x2  düz"/>
    <s v="Tapilmadi"/>
    <n v="12"/>
    <n v="48"/>
    <n v="0"/>
    <s v="Qəhvəyi şüşə"/>
    <m/>
    <n v="91"/>
    <m/>
    <s v="Tapilmadi"/>
    <m/>
    <n v="24"/>
    <m/>
    <s v="Tapilmadi"/>
    <n v="1"/>
    <n v="0"/>
    <n v="24"/>
    <n v="45"/>
    <n v="0"/>
    <n v="467"/>
    <n v="7"/>
    <n v="300"/>
    <n v="160"/>
    <s v="Mesaj"/>
    <s v="Mesaj"/>
    <s v="Qəbul edilib"/>
    <s v="Təhvil verilib"/>
    <s v="Hörmətli *Ramiz Salayev*  ,Sizin *08,01,2024* tarixli sifarişiniz qeydə alındı. Sifariş Məbləğı *467 AZN* , Qalıq *160 AZN* . Hörmətlə  *AlumPro*"/>
    <s v="Hörmətli *Ramiz Salayev* , sizin *08,01,2024* tarixli  sifarişiniz hazırdır . Bizi seçdiyiniz üçün minnətdarıq. Hörmətlə  *AlumPro*."/>
    <s v="Ramiz"/>
    <s v="Ramiz "/>
  </r>
  <r>
    <n v="287"/>
    <s v="*ALUMPRO287*"/>
    <s v="Nihad"/>
    <x v="22"/>
    <x v="28"/>
    <s v="994505155225"/>
    <s v="qara vega"/>
    <s v="Vega yan profil"/>
    <m/>
    <n v="0"/>
    <n v="2"/>
    <n v="250"/>
    <n v="0"/>
    <s v="Tapilmadi"/>
    <n v="0"/>
    <n v="0"/>
    <m/>
    <s v="Tapilmadi"/>
    <n v="0"/>
    <n v="0"/>
    <n v="0"/>
    <s v="Temp Fümə şüşə"/>
    <m/>
    <n v="110"/>
    <m/>
    <s v="Tapilmadi"/>
    <m/>
    <n v="0"/>
    <m/>
    <s v="Tapilmadi"/>
    <n v="1"/>
    <n v="180"/>
    <n v="0"/>
    <n v="70"/>
    <n v="0"/>
    <n v="610"/>
    <n v="0"/>
    <n v="0"/>
    <n v="610"/>
    <s v="Mesaj"/>
    <s v="Mesaj"/>
    <s v="Qəbul edilib"/>
    <s v="Təhvil verilib"/>
    <s v="Hörmətli *Ferman Mebel*  ,Sizin *07,01,2024* tarixli sifarişiniz qeydə alındı. Sifariş Məbləğı *610 AZN* , Qalıq *610 AZN* . Hörmətlə  *AlumPro*"/>
    <s v="Hörmətli *Ferman Mebel* , sizin *07,01,2024* tarixli  sifarişiniz hazırdır . Bizi seçdiyiniz üçün minnətdarıq. Hörmətlə  *AlumPro*."/>
    <s v="Ferman"/>
    <s v="Ferman "/>
  </r>
  <r>
    <n v="286"/>
    <s v="*ALUMPRO286*"/>
    <s v="Nihad"/>
    <x v="22"/>
    <x v="29"/>
    <s v="994773002223"/>
    <m/>
    <s v="45 Türk qızılı"/>
    <m/>
    <n v="0"/>
    <n v="16"/>
    <n v="368"/>
    <s v="boy"/>
    <s v="Tapilmadi"/>
    <n v="6"/>
    <n v="156"/>
    <m/>
    <s v="Tapilmadi"/>
    <n v="0"/>
    <n v="0"/>
    <n v="66"/>
    <s v="Fümə şüşə"/>
    <m/>
    <n v="157"/>
    <m/>
    <s v="Tapilmadi"/>
    <m/>
    <n v="88"/>
    <m/>
    <s v="Tapilmadi"/>
    <n v="1"/>
    <n v="0"/>
    <n v="88"/>
    <n v="245"/>
    <n v="0"/>
    <n v="1168"/>
    <n v="0"/>
    <n v="0"/>
    <n v="1168"/>
    <s v="Mesaj"/>
    <s v="Mesaj"/>
    <s v="Qəbul edilib"/>
    <s v="Təhvil verilib"/>
    <s v="Hörmətli *Elsever Vusal Gedebey*  ,Sizin *07,01,2024* tarixli sifarişiniz qeydə alındı. Sifariş Məbləğı *1168 AZN* , Qalıq *1168 AZN* . Hörmətlə  *AlumPro*"/>
    <s v="Hörmətli *Elsever Vusal Gedebey* , sizin *07,01,2024* tarixli  sifarişiniz hazırdır . Bizi seçdiyiniz üçün minnətdarıq. Hörmətlə  *AlumPro*."/>
    <s v="Elsever"/>
    <s v="Elsever "/>
  </r>
  <r>
    <n v="285"/>
    <s v="*ALUMPRO285*"/>
    <s v="Nihad"/>
    <x v="22"/>
    <x v="30"/>
    <s v="994703076627"/>
    <s v="208,5 x 43,7 x 2"/>
    <s v="Mərmər Qızılı"/>
    <m/>
    <n v="0"/>
    <n v="4"/>
    <n v="140"/>
    <s v="basac"/>
    <s v="Tapilmadi"/>
    <n v="0"/>
    <n v="0"/>
    <m/>
    <s v="Tapilmadi"/>
    <n v="0"/>
    <n v="0"/>
    <n v="0"/>
    <s v="Adi güzgü "/>
    <m/>
    <n v="72"/>
    <m/>
    <s v="Tapilmadi"/>
    <m/>
    <n v="8"/>
    <m/>
    <s v="Tapilmadi"/>
    <n v="1"/>
    <n v="0"/>
    <n v="10"/>
    <n v="30"/>
    <n v="0"/>
    <n v="260"/>
    <n v="0"/>
    <n v="0"/>
    <n v="260"/>
    <s v="Mesaj"/>
    <s v="Mesaj"/>
    <s v="Qəbul edilib"/>
    <s v="Təhvil verilib"/>
    <s v="Hörmətli *Resad Mebelline *  ,Sizin *07,01,2024* tarixli sifarişiniz qeydə alındı. Sifariş Məbləğı *260 AZN* , Qalıq *260 AZN* . Hörmətlə  *AlumPro*"/>
    <s v="Hörmətli *Resad Mebelline * , sizin *07,01,2024* tarixli  sifarişiniz hazırdır . Bizi seçdiyiniz üçün minnətdarıq. Hörmətlə  *AlumPro*."/>
    <s v="Resad"/>
    <s v="Resad "/>
  </r>
  <r>
    <n v="284"/>
    <s v="*ALUMPRO284*"/>
    <s v="Nihad"/>
    <x v="22"/>
    <x v="0"/>
    <s v="994773337525"/>
    <m/>
    <s v="2x2 antrasit"/>
    <m/>
    <n v="0"/>
    <n v="2"/>
    <n v="46"/>
    <s v="basac"/>
    <s v="Tapilmadi"/>
    <n v="0"/>
    <n v="0"/>
    <s v="2x2  düz"/>
    <s v="Tapilmadi"/>
    <n v="4"/>
    <n v="16"/>
    <n v="0"/>
    <s v="Qəhvəyi şüşə"/>
    <m/>
    <n v="26"/>
    <m/>
    <s v="Tapilmadi"/>
    <m/>
    <n v="8"/>
    <m/>
    <s v="Tapilmadi"/>
    <n v="1"/>
    <n v="0"/>
    <n v="8"/>
    <n v="16"/>
    <n v="0"/>
    <n v="120"/>
    <n v="0"/>
    <n v="0"/>
    <n v="120"/>
    <s v="Mesaj"/>
    <s v="Mesaj"/>
    <s v="Qəbul edilib"/>
    <s v="Təhvil verilib"/>
    <s v="Hörmətli *Fariz Faiq*  ,Sizin *07,01,2024* tarixli sifarişiniz qeydə alındı. Sifariş Məbləğı *120 AZN* , Qalıq *120 AZN* . Hörmətlə  *AlumPro*"/>
    <s v="Hörmətli *Fariz Faiq* , sizin *07,01,2024* tarixli  sifarişiniz hazırdır . Bizi seçdiyiniz üçün minnətdarıq. Hörmətlə  *AlumPro*."/>
    <s v="Fariz"/>
    <s v="Fariz "/>
  </r>
  <r>
    <n v="283"/>
    <s v="*ALUMPRO283*"/>
    <s v="Nihad"/>
    <x v="23"/>
    <x v="31"/>
    <s v="994775015642"/>
    <m/>
    <m/>
    <m/>
    <n v="0"/>
    <n v="1"/>
    <n v="914"/>
    <s v="basac"/>
    <s v="Tapilmadi"/>
    <n v="0"/>
    <n v="0"/>
    <m/>
    <s v="Tapilmadi"/>
    <n v="0"/>
    <n v="0"/>
    <n v="0"/>
    <s v="Fümə şüşə"/>
    <m/>
    <n v="0"/>
    <m/>
    <s v="Tapilmadi"/>
    <m/>
    <n v="0"/>
    <m/>
    <s v="Tapilmadi"/>
    <n v="1"/>
    <n v="0"/>
    <n v="0"/>
    <n v="0"/>
    <n v="0"/>
    <n v="914"/>
    <n v="0"/>
    <n v="0"/>
    <n v="914"/>
    <s v="Mesaj"/>
    <s v="Mesaj"/>
    <s v="Qəbul edilib"/>
    <s v="Təhvil verilib"/>
    <s v="Hörmətli *Muxtar Fierro*  ,Sizin *06,01,2024* tarixli sifarişiniz qeydə alındı. Sifariş Məbləğı *914 AZN* , Qalıq *914 AZN* . Hörmətlə  *AlumPro*"/>
    <s v="Hörmətli *Muxtar Fierro* , sizin *06,01,2024* tarixli  sifarişiniz hazırdır . Bizi seçdiyiniz üçün minnətdarıq. Hörmətlə  *AlumPro*."/>
    <s v="Muxtar"/>
    <s v="Muxtar "/>
  </r>
  <r>
    <n v="282"/>
    <s v="*ALUMPRO282*"/>
    <s v="Nihad"/>
    <x v="23"/>
    <x v="32"/>
    <n v="0"/>
    <m/>
    <s v="45 qara"/>
    <m/>
    <n v="0"/>
    <n v="1"/>
    <n v="23"/>
    <s v="basac"/>
    <s v="Tapilmadi"/>
    <n v="0"/>
    <n v="0"/>
    <m/>
    <s v="Tapilmadi"/>
    <n v="0"/>
    <n v="0"/>
    <n v="0"/>
    <s v="Fümə şüşə"/>
    <m/>
    <n v="13"/>
    <m/>
    <s v="Tapilmadi"/>
    <m/>
    <n v="4"/>
    <m/>
    <s v="Tapilmadi"/>
    <n v="1"/>
    <n v="0"/>
    <n v="0"/>
    <n v="15"/>
    <n v="0"/>
    <n v="55"/>
    <n v="0"/>
    <n v="0"/>
    <n v="55"/>
    <s v="Mesaj"/>
    <s v="Mesaj"/>
    <s v="Qəbul edilib"/>
    <s v="Təhvil verilib"/>
    <s v="Hörmətli *Arzena*  ,Sizin *06,01,2024* tarixli sifarişiniz qeydə alındı. Sifariş Məbləğı *55 AZN* , Qalıq *55 AZN* . Hörmətlə  *AlumPro*"/>
    <s v="Hörmətli *Arzena* , sizin *06,01,2024* tarixli  sifarişiniz hazırdır . Bizi seçdiyiniz üçün minnətdarıq. Hörmətlə  *AlumPro*."/>
    <e v="#VALUE!"/>
    <e v="#VALUE!"/>
  </r>
  <r>
    <n v="281"/>
    <s v="*ALUMPRO281*"/>
    <s v="Nihad"/>
    <x v="23"/>
    <x v="33"/>
    <s v="994707504490"/>
    <m/>
    <s v="45 qara"/>
    <m/>
    <n v="0"/>
    <n v="6"/>
    <n v="138"/>
    <s v="boy qulp"/>
    <s v="Tapilmadi"/>
    <n v="4"/>
    <n v="104"/>
    <m/>
    <s v="Tapilmadi"/>
    <n v="0"/>
    <n v="0"/>
    <n v="0"/>
    <s v="Fümə şüşə"/>
    <m/>
    <n v="95"/>
    <m/>
    <s v="Tapilmadi"/>
    <m/>
    <n v="40"/>
    <m/>
    <s v="Tapilmadi"/>
    <n v="1"/>
    <n v="0"/>
    <n v="22"/>
    <n v="105"/>
    <n v="0"/>
    <n v="500"/>
    <n v="4"/>
    <n v="250"/>
    <n v="246"/>
    <s v="Mesaj"/>
    <s v="Mesaj"/>
    <s v="Qəbul edilib"/>
    <s v="Təhvil verilib"/>
    <s v="Hörmətli *Mehdiyev Mikayil*  ,Sizin *06,01,2024* tarixli sifarişiniz qeydə alındı. Sifariş Məbləğı *500 AZN* , Qalıq *246 AZN* . Hörmətlə  *AlumPro*"/>
    <s v="Hörmətli *Mehdiyev Mikayil* , sizin *06,01,2024* tarixli  sifarişiniz hazırdır . Bizi seçdiyiniz üçün minnətdarıq. Hörmətlə  *AlumPro*."/>
    <s v="Mehdiyev"/>
    <s v="Mehdiyev "/>
  </r>
  <r>
    <n v="280"/>
    <s v="*ALUMPRO280*"/>
    <s v="Nihad"/>
    <x v="23"/>
    <x v="34"/>
    <s v="994706230408"/>
    <m/>
    <s v="2x2 qara"/>
    <m/>
    <n v="0"/>
    <n v="4"/>
    <n v="92"/>
    <s v="boy qulp"/>
    <s v="Tapilmadi"/>
    <n v="1"/>
    <n v="26"/>
    <s v="2x2  düz"/>
    <s v="Tapilmadi"/>
    <n v="14"/>
    <n v="56"/>
    <m/>
    <s v="Temp Fümə şüşə"/>
    <m/>
    <n v="50"/>
    <m/>
    <s v="Tapilmadi"/>
    <m/>
    <n v="56"/>
    <m/>
    <s v="Tapilmadi"/>
    <n v="1"/>
    <n v="0"/>
    <n v="28"/>
    <n v="70"/>
    <n v="0"/>
    <n v="378"/>
    <n v="0"/>
    <n v="300"/>
    <n v="78"/>
    <s v="Mesaj"/>
    <s v="Mesaj"/>
    <s v="Qəbul edilib"/>
    <s v="Təhvil verilib"/>
    <s v="Hörmətli *Vaqif German*  ,Sizin *06,01,2024* tarixli sifarişiniz qeydə alındı. Sifariş Məbləğı *378 AZN* , Qalıq *78 AZN* . Hörmətlə  *AlumPro*"/>
    <s v="Hörmətli *Vaqif German* , sizin *06,01,2024* tarixli  sifarişiniz hazırdır . Bizi seçdiyiniz üçün minnətdarıq. Hörmətlə  *AlumPro*."/>
    <s v="Vaqif"/>
    <s v="Vaqif "/>
  </r>
  <r>
    <n v="279"/>
    <s v="*ALUMPRO279*"/>
    <s v="Nihad"/>
    <x v="23"/>
    <x v="35"/>
    <s v="994502995338"/>
    <m/>
    <s v="2x2 antrasit"/>
    <m/>
    <n v="0"/>
    <n v="23"/>
    <n v="529"/>
    <s v="boy qulp"/>
    <s v="Tapilmadi"/>
    <n v="13"/>
    <n v="338"/>
    <s v="2x2  düz"/>
    <s v="Tapilmadi"/>
    <n v="78"/>
    <n v="312"/>
    <m/>
    <s v="Fümə şüşə"/>
    <m/>
    <n v="494"/>
    <m/>
    <s v="Tapilmadi"/>
    <m/>
    <n v="104"/>
    <m/>
    <s v="Tapilmadi"/>
    <n v="1"/>
    <n v="0"/>
    <n v="78"/>
    <n v="325"/>
    <n v="0"/>
    <n v="2144"/>
    <n v="36"/>
    <n v="2144"/>
    <n v="-36"/>
    <s v="Mesaj"/>
    <s v="Mesaj"/>
    <s v="Qəbul edilib"/>
    <s v="Təhvil verilib"/>
    <s v="Hörmətli *Emilya Xudiyeva*  ,Sizin *06,01,2024* tarixli sifarişiniz qeydə alındı. Sifariş Məbləğı *2144 AZN* , Qalıq *-36 AZN* . Hörmətlə  *AlumPro*"/>
    <s v="Hörmətli *Emilya Xudiyeva* , sizin *06,01,2024* tarixli  sifarişiniz hazırdır . Bizi seçdiyiniz üçün minnətdarıq. Hörmətlə  *AlumPro*."/>
    <s v="Emilya"/>
    <s v="Emilya "/>
  </r>
  <r>
    <n v="278"/>
    <s v="*ALUMPRO278*"/>
    <s v="Nihad"/>
    <x v="23"/>
    <x v="36"/>
    <s v="994553303356"/>
    <s v="Qara 3 meter"/>
    <s v="Mətbəx U işıqsız"/>
    <m/>
    <n v="0"/>
    <n v="4"/>
    <n v="100"/>
    <m/>
    <s v="Tapilmadi"/>
    <m/>
    <m/>
    <m/>
    <s v="Tapilmadi"/>
    <n v="0"/>
    <n v="0"/>
    <m/>
    <s v="Qəhvəyi şüşə"/>
    <m/>
    <m/>
    <m/>
    <s v="Tapilmadi"/>
    <m/>
    <m/>
    <m/>
    <s v="Tapilmadi"/>
    <n v="1"/>
    <n v="0"/>
    <m/>
    <m/>
    <n v="0"/>
    <n v="100"/>
    <n v="0"/>
    <n v="0"/>
    <n v="100"/>
    <s v="Mesaj"/>
    <s v="Mesaj"/>
    <s v="Qəbul edilib"/>
    <s v="Təhvil verilib"/>
    <s v="Hörmətli *Resad Qarazavod*  ,Sizin *06,01,2024* tarixli sifarişiniz qeydə alındı. Sifariş Məbləğı *100 AZN* , Qalıq *100 AZN* . Hörmətlə  *AlumPro*"/>
    <s v="Hörmətli *Resad Qarazavod* , sizin *06,01,2024* tarixli  sifarişiniz hazırdır . Bizi seçdiyiniz üçün minnətdarıq. Hörmətlə  *AlumPro*."/>
    <s v="Resad"/>
    <s v="Resad "/>
  </r>
  <r>
    <n v="277"/>
    <s v="*ALUMPRO277*"/>
    <s v="Nihad"/>
    <x v="23"/>
    <x v="36"/>
    <s v="994553303356"/>
    <s v="Qara 6 meter"/>
    <s v="Mətbəx L işıqsız"/>
    <m/>
    <n v="0"/>
    <n v="2"/>
    <n v="88"/>
    <m/>
    <s v="Tapilmadi"/>
    <m/>
    <m/>
    <m/>
    <s v="Tapilmadi"/>
    <n v="0"/>
    <n v="0"/>
    <m/>
    <s v="Qəhvəyi şüşə"/>
    <m/>
    <m/>
    <m/>
    <s v="Tapilmadi"/>
    <m/>
    <m/>
    <m/>
    <s v="Tapilmadi"/>
    <n v="1"/>
    <n v="0"/>
    <m/>
    <m/>
    <n v="0"/>
    <n v="88"/>
    <n v="0"/>
    <n v="0"/>
    <n v="88"/>
    <s v="Mesaj"/>
    <s v="Mesaj"/>
    <s v="Qəbul edilib"/>
    <s v="Təhvil verilib"/>
    <s v="Hörmətli *Resad Qarazavod*  ,Sizin *06,01,2024* tarixli sifarişiniz qeydə alındı. Sifariş Məbləğı *88 AZN* , Qalıq *88 AZN* . Hörmətlə  *AlumPro*"/>
    <s v="Hörmətli *Resad Qarazavod* , sizin *06,01,2024* tarixli  sifarişiniz hazırdır . Bizi seçdiyiniz üçün minnətdarıq. Hörmətlə  *AlumPro*."/>
    <s v="Resad"/>
    <s v="Resad "/>
  </r>
  <r>
    <n v="276"/>
    <s v="*ALUMPRO276*"/>
    <s v="Nihad"/>
    <x v="23"/>
    <x v="36"/>
    <s v="994553303356"/>
    <m/>
    <s v="45 qara"/>
    <m/>
    <n v="0"/>
    <n v="23"/>
    <n v="529"/>
    <s v="boy"/>
    <s v="Tapilmadi"/>
    <n v="17"/>
    <n v="442"/>
    <m/>
    <s v="Tapilmadi"/>
    <n v="0"/>
    <n v="0"/>
    <n v="120"/>
    <s v="Qəhvəyi şüşə"/>
    <m/>
    <n v="198"/>
    <m/>
    <s v="Tapilmadi"/>
    <m/>
    <n v="76"/>
    <m/>
    <s v="Tapilmadi"/>
    <n v="1"/>
    <n v="0"/>
    <n v="89"/>
    <n v="270"/>
    <n v="0"/>
    <n v="1724"/>
    <n v="0"/>
    <n v="1000"/>
    <n v="724"/>
    <s v="Mesaj"/>
    <s v="Mesaj"/>
    <s v="Qəbul edilib"/>
    <s v="Təhvil verilib"/>
    <s v="Hörmətli *Resad Qarazavod*  ,Sizin *06,01,2024* tarixli sifarişiniz qeydə alındı. Sifariş Məbləğı *1724 AZN* , Qalıq *724 AZN* . Hörmətlə  *AlumPro*"/>
    <s v="Hörmətli *Resad Qarazavod* , sizin *06,01,2024* tarixli  sifarişiniz hazırdır . Bizi seçdiyiniz üçün minnətdarıq. Hörmətlə  *AlumPro*."/>
    <s v="Resad"/>
    <s v="Resad "/>
  </r>
  <r>
    <n v="275"/>
    <s v="*ALUMPRO275*"/>
    <s v="Nihad"/>
    <x v="24"/>
    <x v="14"/>
    <s v="994772775177"/>
    <m/>
    <s v="45 qara"/>
    <m/>
    <n v="0"/>
    <n v="2"/>
    <n v="46"/>
    <s v="boy"/>
    <s v="Tapilmadi"/>
    <n v="1"/>
    <n v="26"/>
    <m/>
    <s v="Tapilmadi"/>
    <n v="0"/>
    <n v="0"/>
    <n v="9"/>
    <s v="Fümə şüşə"/>
    <m/>
    <n v="27"/>
    <m/>
    <s v="Tapilmadi"/>
    <m/>
    <n v="4"/>
    <m/>
    <s v="Tapilmadi"/>
    <n v="1"/>
    <n v="0"/>
    <n v="4"/>
    <n v="15"/>
    <n v="0"/>
    <n v="131"/>
    <n v="0"/>
    <n v="73"/>
    <n v="58"/>
    <s v="Mesaj"/>
    <s v="Mesaj"/>
    <s v="Qəbul edilib"/>
    <s v="Təhvil verilib"/>
    <s v="Hörmətli *Aksin Mahmudov*  ,Sizin *03,01,2025* tarixli sifarişiniz qeydə alındı. Sifariş Məbləğı *131 AZN* , Qalıq *58 AZN* . Hörmətlə  *AlumPro*"/>
    <s v="Hörmətli *Aksin Mahmudov* , sizin *03,01,2025* tarixli  sifarişiniz hazırdır . Bizi seçdiyiniz üçün minnətdarıq. Hörmətlə  *AlumPro*."/>
    <s v="Aksin"/>
    <s v="Aksin "/>
  </r>
  <r>
    <n v="274"/>
    <s v="*ALUMPRO274*"/>
    <s v="Nihad"/>
    <x v="24"/>
    <x v="37"/>
    <s v="994702454647"/>
    <m/>
    <s v="2x2 qara"/>
    <m/>
    <n v="0"/>
    <n v="7"/>
    <n v="161"/>
    <s v="boy"/>
    <s v="Tapilmadi"/>
    <n v="6"/>
    <n v="156"/>
    <s v="2x2  düz"/>
    <s v="Tapilmadi"/>
    <n v="24"/>
    <n v="96"/>
    <n v="0"/>
    <s v="Fümə şüşə"/>
    <m/>
    <n v="164"/>
    <m/>
    <s v="Tapilmadi"/>
    <m/>
    <n v="48"/>
    <m/>
    <s v="Tapilmadi"/>
    <n v="1"/>
    <n v="0"/>
    <n v="48"/>
    <n v="90"/>
    <n v="0"/>
    <n v="763"/>
    <n v="0"/>
    <n v="400"/>
    <n v="363"/>
    <s v="Mesaj"/>
    <s v="Mesaj"/>
    <s v="Qəbul edilib"/>
    <s v="Təhvil verilib"/>
    <s v="Hörmətli *Rovsen Qarazavod*  ,Sizin *03,01,2025* tarixli sifarişiniz qeydə alındı. Sifariş Məbləğı *763 AZN* , Qalıq *363 AZN* . Hörmətlə  *AlumPro*"/>
    <s v="Hörmətli *Rovsen Qarazavod* , sizin *03,01,2025* tarixli  sifarişiniz hazırdır . Bizi seçdiyiniz üçün minnətdarıq. Hörmətlə  *AlumPro*."/>
    <s v="Rovsen"/>
    <s v="Rovsen "/>
  </r>
  <r>
    <n v="273"/>
    <s v="*ALUMPRO273*"/>
    <s v="Nihad"/>
    <x v="24"/>
    <x v="38"/>
    <s v="994705137062"/>
    <m/>
    <s v="45 qara"/>
    <m/>
    <n v="0"/>
    <n v="0"/>
    <n v="82"/>
    <m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82"/>
    <n v="0"/>
    <n v="0"/>
    <n v="82"/>
    <s v="Mesaj"/>
    <s v="Mesaj"/>
    <s v="Qəbul edilib"/>
    <s v="Təhvil verilib"/>
    <s v="Hörmətli *Mecnun Sahmurov*  ,Sizin *03,01,2025* tarixli sifarişiniz qeydə alındı. Sifariş Məbləğı *82 AZN* , Qalıq *82 AZN* . Hörmətlə  *AlumPro*"/>
    <s v="Hörmətli *Mecnun Sahmurov* , sizin *03,01,2025* tarixli  sifarişiniz hazırdır . Bizi seçdiyiniz üçün minnətdarıq. Hörmətlə  *AlumPro*."/>
    <s v="Mecnun"/>
    <s v="Mecnun "/>
  </r>
  <r>
    <n v="272"/>
    <s v="*ALUMPRO272*"/>
    <s v="Nihad"/>
    <x v="25"/>
    <x v="39"/>
    <s v="994558241661"/>
    <s v="gizli qapi qara"/>
    <s v="Gizli Qapı Profili Qara"/>
    <m/>
    <n v="0"/>
    <n v="3"/>
    <n v="750"/>
    <m/>
    <s v="Tapilmadi"/>
    <n v="0"/>
    <n v="0"/>
    <s v="İtalyan standart"/>
    <s v="Tapilmadi"/>
    <n v="9"/>
    <n v="540"/>
    <n v="0"/>
    <m/>
    <m/>
    <n v="0"/>
    <m/>
    <s v="Tapilmadi"/>
    <m/>
    <n v="0"/>
    <m/>
    <s v="Tapilmadi"/>
    <n v="1"/>
    <n v="0"/>
    <n v="0"/>
    <n v="255"/>
    <n v="0"/>
    <n v="1545"/>
    <n v="0"/>
    <n v="1545"/>
    <n v="0"/>
    <s v="Mesaj"/>
    <s v="Mesaj"/>
    <s v="Qəbul edilib"/>
    <s v="Təhvil verilib"/>
    <s v="Hörmətli *Avni Aydin*  ,Sizin *1/4/2025* tarixli sifarişiniz qeydə alındı. Sifariş Məbləğı *1545 AZN* , Qalıq *0 AZN* . Hörmətlə  *AlumPro*"/>
    <s v="Hörmətli *Avni Aydin* , sizin *1/4/2025* tarixli  sifarişiniz hazırdır . Bizi seçdiyiniz üçün minnətdarıq. Hörmətlə  *AlumPro*."/>
    <s v="Avni"/>
    <s v="Avni "/>
  </r>
  <r>
    <n v="271"/>
    <s v="*ALUMPRO271*"/>
    <s v="Nihad"/>
    <x v="24"/>
    <x v="39"/>
    <s v="994558241661"/>
    <s v="2x2 antrasit vertikaı"/>
    <s v="2x2 antrasit"/>
    <m/>
    <n v="0"/>
    <n v="2"/>
    <n v="46"/>
    <s v="vertikal"/>
    <s v="Tapilmadi"/>
    <n v="1"/>
    <n v="25"/>
    <m/>
    <s v="Tapilmadi"/>
    <n v="3"/>
    <n v="12"/>
    <n v="0"/>
    <s v="Temp Fümə şüşə"/>
    <m/>
    <n v="41"/>
    <m/>
    <s v="Tapilmadi"/>
    <m/>
    <n v="8"/>
    <m/>
    <s v="Tapilmadi"/>
    <n v="1"/>
    <n v="0"/>
    <n v="6"/>
    <n v="20"/>
    <n v="3"/>
    <n v="160"/>
    <n v="0"/>
    <n v="160"/>
    <n v="0"/>
    <s v="Mesaj"/>
    <s v="Mesaj"/>
    <s v="Qəbul edilib"/>
    <s v="Təhvil verilib"/>
    <s v="Hörmətli *Avni Aydin*  ,Sizin *03,01,2025* tarixli sifarişiniz qeydə alındı. Sifariş Məbləğı *160 AZN* , Qalıq *0 AZN* . Hörmətlə  *AlumPro*"/>
    <s v="Hörmətli *Avni Aydin* , sizin *03,01,2025* tarixli  sifarişiniz hazırdır . Bizi seçdiyiniz üçün minnətdarıq. Hörmətlə  *AlumPro*."/>
    <s v="Avni"/>
    <s v="Avni "/>
  </r>
  <r>
    <n v="270"/>
    <s v="*ALUMPRO270*"/>
    <s v="Nihad"/>
    <x v="26"/>
    <x v="39"/>
    <s v="994558241661"/>
    <s v="2x2 vertikal qizili"/>
    <s v="2x2 qızılı"/>
    <m/>
    <n v="0"/>
    <n v="8"/>
    <n v="184"/>
    <s v="vertikal"/>
    <s v="Tapilmadi"/>
    <n v="3"/>
    <n v="75"/>
    <m/>
    <s v="Tapilmadi"/>
    <n v="12"/>
    <n v="48"/>
    <n v="0"/>
    <s v=" Temp Qəhvəyi şüşə"/>
    <m/>
    <n v="176"/>
    <m/>
    <s v="Tapilmadi"/>
    <m/>
    <n v="24"/>
    <m/>
    <s v="Tapilmadi"/>
    <n v="1"/>
    <n v="0"/>
    <n v="24"/>
    <n v="60"/>
    <n v="0"/>
    <n v="590"/>
    <n v="0"/>
    <n v="590"/>
    <n v="0"/>
    <s v="Mesaj"/>
    <s v="Mesaj"/>
    <s v="Qəbul edilib"/>
    <s v="Təhvil verilib"/>
    <s v="Hörmətli *Avni Aydin*  ,Sizin *28,12,2024* tarixli sifarişiniz qeydə alındı. Sifariş Məbləğı *590 AZN* , Qalıq *0 AZN* . Hörmətlə  *AlumPro*"/>
    <s v="Hörmətli *Avni Aydin* , sizin *28,12,2024* tarixli  sifarişiniz hazırdır . Bizi seçdiyiniz üçün minnətdarıq. Hörmətlə  *AlumPro*."/>
    <s v="Avni"/>
    <s v="Avni "/>
  </r>
  <r>
    <n v="269"/>
    <s v="*ALUMPRO269*"/>
    <s v="Nihad"/>
    <x v="26"/>
    <x v="40"/>
    <n v="0"/>
    <m/>
    <m/>
    <m/>
    <n v="0"/>
    <n v="0"/>
    <n v="2550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2550"/>
    <n v="0"/>
    <n v="2550"/>
    <n v="0"/>
    <s v="Mesaj"/>
    <s v="Mesaj"/>
    <s v="Qəbul edilib"/>
    <s v="Təhvil verilib"/>
    <s v="Hörmətli *Elnur Cəlal*  ,Sizin *28,12,2024* tarixli sifarişiniz qeydə alındı. Sifariş Məbləğı *2550 AZN* , Qalıq *0 AZN* . Hörmətlə  *AlumPro*"/>
    <s v="Hörmətli *Elnur Cəlal* , sizin *28,12,2024* tarixli  sifarişiniz hazırdır . Bizi seçdiyiniz üçün minnətdarıq. Hörmətlə  *AlumPro*."/>
    <s v="Elnur"/>
    <s v="Elnur "/>
  </r>
  <r>
    <n v="268"/>
    <s v="*ALUMPRO268*"/>
    <s v="Nihad"/>
    <x v="26"/>
    <x v="16"/>
    <s v="994502390343"/>
    <s v="temir"/>
    <m/>
    <m/>
    <n v="0"/>
    <n v="5"/>
    <n v="115"/>
    <n v="0"/>
    <s v="Tapilmadi"/>
    <n v="0"/>
    <n v="0"/>
    <m/>
    <s v="Tapilmadi"/>
    <n v="0"/>
    <n v="0"/>
    <n v="0"/>
    <s v="Fümə şüşə"/>
    <m/>
    <n v="370"/>
    <m/>
    <s v="Tapilmadi"/>
    <m/>
    <n v="0"/>
    <m/>
    <s v="Tapilmadi"/>
    <n v="1"/>
    <n v="0"/>
    <n v="0"/>
    <n v="360"/>
    <n v="0"/>
    <n v="845"/>
    <n v="0"/>
    <n v="0"/>
    <n v="845"/>
    <s v="Mesaj"/>
    <s v="Mesaj"/>
    <s v="Qəbul edilib"/>
    <s v="Təhvil verilib"/>
    <s v="Hörmətli *Kandar Palid*  ,Sizin *28,12,2024* tarixli sifarişiniz qeydə alındı. Sifariş Məbləğı *845 AZN* , Qalıq *845 AZN* . Hörmətlə  *AlumPro*"/>
    <s v="Hörmətli *Kandar Palid* , sizin *28,12,2024* tarixli  sifarişiniz hazırdır . Bizi seçdiyiniz üçün minnətdarıq. Hörmətlə  *AlumPro*."/>
    <s v="Kandar"/>
    <s v="Kandar "/>
  </r>
  <r>
    <n v="267"/>
    <s v="*ALUMPRO267*"/>
    <s v="Nihad"/>
    <x v="26"/>
    <x v="0"/>
    <s v="994773337525"/>
    <m/>
    <m/>
    <m/>
    <n v="0"/>
    <n v="0"/>
    <n v="576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576"/>
    <n v="0"/>
    <n v="0"/>
    <n v="576"/>
    <s v="Mesaj"/>
    <s v="Mesaj"/>
    <s v="Qəbul edilib"/>
    <s v="Təhvil verilib"/>
    <s v="Hörmətli *Fariz Faiq*  ,Sizin *28,12,2024* tarixli sifarişiniz qeydə alındı. Sifariş Məbləğı *576 AZN* , Qalıq *576 AZN* . Hörmətlə  *AlumPro*"/>
    <s v="Hörmətli *Fariz Faiq* , sizin *28,12,2024* tarixli  sifarişiniz hazırdır . Bizi seçdiyiniz üçün minnətdarıq. Hörmətlə  *AlumPro*."/>
    <s v="Fariz"/>
    <s v="Fariz "/>
  </r>
  <r>
    <n v="266"/>
    <s v="*ALUMPRO266*"/>
    <s v="Nihad"/>
    <x v="27"/>
    <x v="29"/>
    <s v="994773002223"/>
    <s v="Təmir"/>
    <m/>
    <m/>
    <n v="0"/>
    <n v="0"/>
    <n v="106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106"/>
    <n v="0"/>
    <n v="0"/>
    <n v="106"/>
    <s v="Mesaj"/>
    <s v="Mesaj"/>
    <s v="Qəbul edilib"/>
    <s v="Təhvil verilib"/>
    <s v="Hörmətli *Elsever Vusal Gedebey*  ,Sizin *1/3/2025* tarixli sifarişiniz qeydə alındı. Sifariş Məbləğı *106 AZN* , Qalıq *106 AZN* . Hörmətlə  *AlumPro*"/>
    <s v="Hörmətli *Elsever Vusal Gedebey* , sizin *1/3/2025* tarixli  sifarişiniz hazırdır . Bizi seçdiyiniz üçün minnətdarıq. Hörmətlə  *AlumPro*."/>
    <s v="Elsever"/>
    <s v="Elsever "/>
  </r>
  <r>
    <n v="265"/>
    <s v="*ALUMPRO265*"/>
    <s v="Nihad"/>
    <x v="28"/>
    <x v="41"/>
    <s v="994703251513"/>
    <m/>
    <m/>
    <m/>
    <n v="0"/>
    <n v="0"/>
    <n v="86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86"/>
    <n v="0"/>
    <n v="0"/>
    <n v="86"/>
    <s v="Mesaj"/>
    <s v="Mesaj"/>
    <s v="Qəbul edilib"/>
    <s v="Təhvil verilib"/>
    <s v="Hörmətli *Eshqin Lastella*  ,Sizin *12/29/2024* tarixli sifarişiniz qeydə alındı. Sifariş Məbləğı *86 AZN* , Qalıq *86 AZN* . Hörmətlə  *AlumPro*"/>
    <s v="Hörmətli *Eshqin Lastella* , sizin *12/29/2024* tarixli  sifarişiniz hazırdır . Bizi seçdiyiniz üçün minnətdarıq. Hörmətlə  *AlumPro*."/>
    <s v="Eshqin"/>
    <s v="Eshqin "/>
  </r>
  <r>
    <n v="264"/>
    <s v="*ALUMPRO264*"/>
    <s v="Eli"/>
    <x v="26"/>
    <x v="16"/>
    <s v="994502390343"/>
    <m/>
    <s v="2x2 qara"/>
    <m/>
    <n v="0"/>
    <n v="7"/>
    <n v="161"/>
    <s v="basac"/>
    <s v="Tapilmadi"/>
    <n v="0"/>
    <n v="0"/>
    <m/>
    <s v="Tapilmadi"/>
    <n v="0"/>
    <n v="0"/>
    <n v="0"/>
    <s v="Adi güzgü "/>
    <m/>
    <n v="192"/>
    <m/>
    <s v="Tapilmadi"/>
    <m/>
    <n v="32"/>
    <m/>
    <s v="Tapilmadi"/>
    <n v="1"/>
    <n v="0"/>
    <n v="0"/>
    <n v="55"/>
    <n v="0"/>
    <n v="440"/>
    <n v="0"/>
    <n v="0"/>
    <n v="440"/>
    <s v="Mesaj"/>
    <s v="Mesaj"/>
    <s v="Qəbul edilib"/>
    <s v="Təhvil verilib"/>
    <s v="Hörmətli *Kandar Palid*  ,Sizin *28,12,2024* tarixli sifarişiniz qeydə alındı. Sifariş Məbləğı *440 AZN* , Qalıq *440 AZN* . Hörmətlə  *AlumPro*"/>
    <s v="Hörmətli *Kandar Palid* , sizin *28,12,2024* tarixli  sifarişiniz hazırdır . Bizi seçdiyiniz üçün minnətdarıq. Hörmətlə  *AlumPro*."/>
    <s v="Kandar"/>
    <s v="Kandar "/>
  </r>
  <r>
    <n v="263"/>
    <s v="*ALUMPRO263*"/>
    <s v="Eli"/>
    <x v="26"/>
    <x v="42"/>
    <s v="994552147470"/>
    <m/>
    <s v="Gizli Qapı Profili Qara"/>
    <m/>
    <n v="0"/>
    <n v="6"/>
    <n v="1440"/>
    <m/>
    <s v="Tapilmadi"/>
    <n v="0"/>
    <n v="0"/>
    <s v="İtalyan standart"/>
    <s v="Tapilmadi"/>
    <n v="18"/>
    <n v="1170"/>
    <n v="0"/>
    <m/>
    <m/>
    <n v="0"/>
    <m/>
    <s v="Tapilmadi"/>
    <m/>
    <n v="0"/>
    <m/>
    <s v="Tapilmadi"/>
    <n v="1"/>
    <n v="0"/>
    <n v="0"/>
    <n v="420"/>
    <n v="0"/>
    <n v="3030"/>
    <n v="0"/>
    <n v="0"/>
    <n v="3030"/>
    <s v="Mesaj"/>
    <s v="Mesaj"/>
    <s v="Qəbul edilib"/>
    <s v="Təhvil verilib"/>
    <s v="Hörmətli *Cavid Kahveci*  ,Sizin *28,12,2024* tarixli sifarişiniz qeydə alındı. Sifariş Məbləğı *3030 AZN* , Qalıq *3030 AZN* . Hörmətlə  *AlumPro*"/>
    <s v="Hörmətli *Cavid Kahveci* , sizin *28,12,2024* tarixli  sifarişiniz hazırdır . Bizi seçdiyiniz üçün minnətdarıq. Hörmətlə  *AlumPro*."/>
    <s v="Cavid"/>
    <s v="Cavid "/>
  </r>
  <r>
    <n v="262"/>
    <s v="*ALUMPRO262*"/>
    <s v="Eli"/>
    <x v="26"/>
    <x v="11"/>
    <s v="994502111355"/>
    <m/>
    <m/>
    <m/>
    <n v="0"/>
    <n v="0"/>
    <n v="8242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8242"/>
    <n v="0"/>
    <n v="2000"/>
    <n v="6242"/>
    <s v="Mesaj"/>
    <s v="Mesaj"/>
    <s v="Qəbul edilib"/>
    <s v="Təhvil verilib"/>
    <s v="Hörmətli *My Concept*  ,Sizin *28,12,2024* tarixli sifarişiniz qeydə alındı. Sifariş Məbləğı *8242 AZN* , Qalıq *6242 AZN* . Hörmətlə  *AlumPro*"/>
    <s v="Hörmətli *My Concept* , sizin *28,12,2024* tarixli  sifarişiniz hazırdır . Bizi seçdiyiniz üçün minnətdarıq. Hörmətlə  *AlumPro*."/>
    <s v="My"/>
    <s v="My "/>
  </r>
  <r>
    <n v="261"/>
    <s v="*ALUMPRO261*"/>
    <s v="Eli"/>
    <x v="26"/>
    <x v="43"/>
    <s v="994554991784"/>
    <m/>
    <m/>
    <m/>
    <n v="0"/>
    <n v="0"/>
    <n v="50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50"/>
    <n v="0"/>
    <n v="50"/>
    <n v="0"/>
    <s v="Mesaj"/>
    <s v="Mesaj"/>
    <s v="Qəbul edilib"/>
    <s v="Təhvil verilib"/>
    <s v="Hörmətli *Vusal Nusalov*  ,Sizin *28,12,2024* tarixli sifarişiniz qeydə alındı. Sifariş Məbləğı *50 AZN* , Qalıq *0 AZN* . Hörmətlə  *AlumPro*"/>
    <s v="Hörmətli *Vusal Nusalov* , sizin *28,12,2024* tarixli  sifarişiniz hazırdır . Bizi seçdiyiniz üçün minnətdarıq. Hörmətlə  *AlumPro*."/>
    <s v="Vusal"/>
    <s v="Vusal "/>
  </r>
  <r>
    <n v="260"/>
    <s v="*ALUMPRO260*"/>
    <s v="Eli"/>
    <x v="26"/>
    <x v="43"/>
    <s v="994554991784"/>
    <m/>
    <m/>
    <m/>
    <n v="0"/>
    <n v="0"/>
    <n v="86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86"/>
    <n v="0"/>
    <n v="86"/>
    <n v="0"/>
    <s v="Mesaj"/>
    <s v="Mesaj"/>
    <s v="Qəbul edilib"/>
    <s v="Təhvil verilib"/>
    <s v="Hörmətli *Vusal Nusalov*  ,Sizin *28,12,2024* tarixli sifarişiniz qeydə alındı. Sifariş Məbləğı *86 AZN* , Qalıq *0 AZN* . Hörmətlə  *AlumPro*"/>
    <s v="Hörmətli *Vusal Nusalov* , sizin *28,12,2024* tarixli  sifarişiniz hazırdır . Bizi seçdiyiniz üçün minnətdarıq. Hörmətlə  *AlumPro*."/>
    <s v="Vusal"/>
    <s v="Vusal "/>
  </r>
  <r>
    <n v="259"/>
    <s v="*ALUMPRO259*"/>
    <s v="Eli"/>
    <x v="26"/>
    <x v="44"/>
    <s v="994555781314"/>
    <m/>
    <m/>
    <m/>
    <n v="0"/>
    <n v="0"/>
    <n v="170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170"/>
    <n v="0"/>
    <n v="170"/>
    <n v="0"/>
    <s v="Mesaj"/>
    <s v="Mesaj"/>
    <s v="Qəbul edilib"/>
    <s v="Təhvil verilib"/>
    <s v="Hörmətli *Cosqun Mebel Sex*  ,Sizin *28,12,2024* tarixli sifarişiniz qeydə alındı. Sifariş Məbləğı *170 AZN* , Qalıq *0 AZN* . Hörmətlə  *AlumPro*"/>
    <s v="Hörmətli *Cosqun Mebel Sex* , sizin *28,12,2024* tarixli  sifarişiniz hazırdır . Bizi seçdiyiniz üçün minnətdarıq. Hörmətlə  *AlumPro*."/>
    <s v="Cosqun"/>
    <s v="Cosqun "/>
  </r>
  <r>
    <n v="258"/>
    <s v="*ALUMPRO258*"/>
    <s v="Eli"/>
    <x v="26"/>
    <x v="44"/>
    <s v="994555781314"/>
    <m/>
    <m/>
    <m/>
    <n v="0"/>
    <n v="0"/>
    <n v="300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300"/>
    <n v="0"/>
    <n v="300"/>
    <n v="0"/>
    <s v="Mesaj"/>
    <s v="Mesaj"/>
    <s v="Qəbul edilib"/>
    <s v="Təhvil verilib"/>
    <s v="Hörmətli *Cosqun Mebel Sex*  ,Sizin *28,12,2024* tarixli sifarişiniz qeydə alındı. Sifariş Məbləğı *300 AZN* , Qalıq *0 AZN* . Hörmətlə  *AlumPro*"/>
    <s v="Hörmətli *Cosqun Mebel Sex* , sizin *28,12,2024* tarixli  sifarişiniz hazırdır . Bizi seçdiyiniz üçün minnətdarıq. Hörmətlə  *AlumPro*."/>
    <s v="Cosqun"/>
    <s v="Cosqun "/>
  </r>
  <r>
    <n v="257"/>
    <s v="*ALUMPRO257*"/>
    <s v="Eli"/>
    <x v="26"/>
    <x v="45"/>
    <n v="0"/>
    <m/>
    <m/>
    <m/>
    <n v="0"/>
    <n v="0"/>
    <n v="1610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1610"/>
    <n v="0"/>
    <n v="1000"/>
    <n v="610"/>
    <s v="Mesaj"/>
    <s v="Mesaj"/>
    <s v="Qəbul edilib"/>
    <s v="Təhvil verilib"/>
    <s v="Hörmətli *Elvin Avelina*  ,Sizin *28,12,2024* tarixli sifarişiniz qeydə alındı. Sifariş Məbləğı *1610 AZN* , Qalıq *610 AZN* . Hörmətlə  *AlumPro*"/>
    <s v="Hörmətli *Elvin Avelina* , sizin *28,12,2024* tarixli  sifarişiniz hazırdır . Bizi seçdiyiniz üçün minnətdarıq. Hörmətlə  *AlumPro*."/>
    <s v="Elvin"/>
    <s v="Elvin "/>
  </r>
  <r>
    <n v="256"/>
    <s v="*ALUMPRO256*"/>
    <s v="Eli"/>
    <x v="26"/>
    <x v="46"/>
    <s v="994503995336"/>
    <m/>
    <m/>
    <m/>
    <n v="0"/>
    <n v="0"/>
    <n v="1265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1265"/>
    <n v="0"/>
    <n v="0"/>
    <n v="1265"/>
    <s v="Mesaj"/>
    <s v="Mesaj"/>
    <s v="Qəbul edilib"/>
    <s v="Təhvil verilib"/>
    <s v="Hörmətli *Sabir Vusal*  ,Sizin *28,12,2024* tarixli sifarişiniz qeydə alındı. Sifariş Məbləğı *1265 AZN* , Qalıq *1265 AZN* . Hörmətlə  *AlumPro*"/>
    <s v="Hörmətli *Sabir Vusal* , sizin *28,12,2024* tarixli  sifarişiniz hazırdır . Bizi seçdiyiniz üçün minnətdarıq. Hörmətlə  *AlumPro*."/>
    <s v="Sabir"/>
    <s v="Sabir "/>
  </r>
  <r>
    <n v="255"/>
    <s v="*ALUMPRO255*"/>
    <s v="Eli"/>
    <x v="26"/>
    <x v="47"/>
    <s v="994508586959"/>
    <m/>
    <m/>
    <m/>
    <n v="0"/>
    <n v="0"/>
    <n v="343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343"/>
    <n v="0"/>
    <n v="200"/>
    <n v="143"/>
    <s v="Mesaj"/>
    <s v="Mesaj"/>
    <s v="Qəbul edilib"/>
    <s v="Təhvil verilib"/>
    <s v="Hörmətli *Ilqar Qara*  ,Sizin *28,12,2024* tarixli sifarişiniz qeydə alındı. Sifariş Məbləğı *343 AZN* , Qalıq *143 AZN* . Hörmətlə  *AlumPro*"/>
    <s v="Hörmətli *Ilqar Qara* , sizin *28,12,2024* tarixli  sifarişiniz hazırdır . Bizi seçdiyiniz üçün minnətdarıq. Hörmətlə  *AlumPro*."/>
    <s v="Ilqar"/>
    <s v="Ilqar "/>
  </r>
  <r>
    <n v="254"/>
    <s v="*ALUMPRO254*"/>
    <s v="Eli"/>
    <x v="26"/>
    <x v="48"/>
    <s v="994505944929"/>
    <m/>
    <m/>
    <m/>
    <n v="0"/>
    <n v="0"/>
    <n v="500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500"/>
    <n v="0"/>
    <n v="0"/>
    <n v="500"/>
    <s v="Mesaj"/>
    <s v="Mesaj"/>
    <s v="Qəbul edilib"/>
    <s v="Təhvil verilib"/>
    <s v="Hörmətli *Rufet Xasay Dayi*  ,Sizin *28,12,2024* tarixli sifarişiniz qeydə alındı. Sifariş Məbləğı *500 AZN* , Qalıq *500 AZN* . Hörmətlə  *AlumPro*"/>
    <s v="Hörmətli *Rufet Xasay Dayi* , sizin *28,12,2024* tarixli  sifarişiniz hazırdır . Bizi seçdiyiniz üçün minnətdarıq. Hörmətlə  *AlumPro*."/>
    <s v="Rufet"/>
    <s v="Rufet "/>
  </r>
  <r>
    <n v="253"/>
    <s v="*ALUMPRO253*"/>
    <s v="Eli"/>
    <x v="26"/>
    <x v="49"/>
    <s v="994503007105"/>
    <m/>
    <m/>
    <m/>
    <n v="0"/>
    <n v="0"/>
    <n v="3076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3076"/>
    <n v="0"/>
    <n v="1500"/>
    <n v="1576"/>
    <s v="Mesaj"/>
    <s v="Mesaj"/>
    <s v="Qəbul edilib"/>
    <s v="Təhvil verilib"/>
    <s v="Hörmətli *Fuad Cavansir*  ,Sizin *28,12,2024* tarixli sifarişiniz qeydə alındı. Sifariş Məbləğı *3076 AZN* , Qalıq *1576 AZN* . Hörmətlə  *AlumPro*"/>
    <s v="Hörmətli *Fuad Cavansir* , sizin *28,12,2024* tarixli  sifarişiniz hazırdır . Bizi seçdiyiniz üçün minnətdarıq. Hörmətlə  *AlumPro*."/>
    <s v="Fuad"/>
    <s v="Fuad "/>
  </r>
  <r>
    <n v="252"/>
    <s v="*ALUMPRO252*"/>
    <s v="Eli"/>
    <x v="26"/>
    <x v="9"/>
    <s v="994552600080"/>
    <m/>
    <m/>
    <m/>
    <n v="0"/>
    <n v="0"/>
    <n v="703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703"/>
    <n v="0"/>
    <n v="0"/>
    <n v="703"/>
    <s v="Mesaj"/>
    <s v="Mesaj"/>
    <s v="Qəbul edilib"/>
    <s v="Təhvil verilib"/>
    <s v="Hörmətli *Ibrahim Vusal Koryan*  ,Sizin *28,12,2024* tarixli sifarişiniz qeydə alındı. Sifariş Məbləğı *703 AZN* , Qalıq *703 AZN* . Hörmətlə  *AlumPro*"/>
    <s v="Hörmətli *Ibrahim Vusal Koryan* , sizin *28,12,2024* tarixli  sifarişiniz hazırdır . Bizi seçdiyiniz üçün minnətdarıq. Hörmətlə  *AlumPro*."/>
    <s v="Ibrahim"/>
    <s v="Ibrahim "/>
  </r>
  <r>
    <n v="251"/>
    <s v="*ALUMPRO251*"/>
    <s v="Eli"/>
    <x v="26"/>
    <x v="50"/>
    <s v="994502150506"/>
    <m/>
    <m/>
    <m/>
    <n v="0"/>
    <n v="0"/>
    <n v="5452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5452"/>
    <n v="0"/>
    <n v="595"/>
    <n v="4857"/>
    <s v="Mesaj"/>
    <s v="Mesaj"/>
    <s v="Qəbul edilib"/>
    <s v="Təhvil verilib"/>
    <s v="Hörmətli *Kamran kaya desıgn*  ,Sizin *28,12,2024* tarixli sifarişiniz qeydə alındı. Sifariş Məbləğı *5452 AZN* , Qalıq *4857 AZN* . Hörmətlə  *AlumPro*"/>
    <s v="Hörmətli *Kamran kaya desıgn* , sizin *28,12,2024* tarixli  sifarişiniz hazırdır . Bizi seçdiyiniz üçün minnətdarıq. Hörmətlə  *AlumPro*."/>
    <s v="Kamran"/>
    <s v="Kamran "/>
  </r>
  <r>
    <n v="250"/>
    <s v="*ALUMPRO250*"/>
    <s v="Eli"/>
    <x v="26"/>
    <x v="13"/>
    <s v="994773691369"/>
    <m/>
    <m/>
    <m/>
    <n v="0"/>
    <n v="0"/>
    <n v="164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164"/>
    <n v="0"/>
    <n v="0"/>
    <n v="164"/>
    <s v="Mesaj"/>
    <s v="Mesaj"/>
    <s v="Qəbul edilib"/>
    <s v="Təhvil verilib"/>
    <s v="Hörmətli *Mahir MM*  ,Sizin *28,12,2024* tarixli sifarişiniz qeydə alındı. Sifariş Məbləğı *164 AZN* , Qalıq *164 AZN* . Hörmətlə  *AlumPro*"/>
    <s v="Hörmətli *Mahir MM* , sizin *28,12,2024* tarixli  sifarişiniz hazırdır . Bizi seçdiyiniz üçün minnətdarıq. Hörmətlə  *AlumPro*."/>
    <s v="Mahir"/>
    <s v="Mahir "/>
  </r>
  <r>
    <n v="249"/>
    <s v="*ALUMPRO249*"/>
    <s v="Eli"/>
    <x v="26"/>
    <x v="1"/>
    <s v="994554094045"/>
    <m/>
    <m/>
    <m/>
    <n v="0"/>
    <n v="0"/>
    <n v="8420"/>
    <s v="basac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8420"/>
    <n v="0"/>
    <n v="1000"/>
    <n v="7420"/>
    <s v="Mesaj"/>
    <s v="Mesaj"/>
    <s v="Qəbul edilib"/>
    <s v="Təhvil verilib"/>
    <s v="Hörmətli *Lux Concept*  ,Sizin *28,12,2024* tarixli sifarişiniz qeydə alındı. Sifariş Məbləğı *8420 AZN* , Qalıq *7420 AZN* . Hörmətlə  *AlumPro*"/>
    <s v="Hörmətli *Lux Concept* , sizin *28,12,2024* tarixli  sifarişiniz hazırdır . Bizi seçdiyiniz üçün minnətdarıq. Hörmətlə  *AlumPro*."/>
    <s v="Lux"/>
    <s v="Lux "/>
  </r>
  <r>
    <n v="248"/>
    <s v="*ALUMPRO248*"/>
    <s v="Eli"/>
    <x v="26"/>
    <x v="26"/>
    <s v="994502573567"/>
    <m/>
    <m/>
    <m/>
    <n v="0"/>
    <n v="0"/>
    <n v="211"/>
    <s v="basac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211"/>
    <n v="211"/>
    <n v="0"/>
    <n v="0"/>
    <s v="Mesaj"/>
    <s v="Mesaj"/>
    <s v="Qəbul edilib"/>
    <s v="Təhvil verilib"/>
    <s v="Hörmətli *Rovsen Sex Mebel*  ,Sizin *28,12,2024* tarixli sifarişiniz qeydə alındı. Sifariş Məbləğı *211 AZN* , Qalıq *0 AZN* . Hörmətlə  *AlumPro*"/>
    <s v="Hörmətli *Rovsen Sex Mebel* , sizin *28,12,2024* tarixli  sifarişiniz hazırdır . Bizi seçdiyiniz üçün minnətdarıq. Hörmətlə  *AlumPro*."/>
    <s v="Rovsen"/>
    <s v="Rovsen "/>
  </r>
  <r>
    <n v="247"/>
    <s v="*ALUMPRO247*"/>
    <s v="Eli"/>
    <x v="26"/>
    <x v="51"/>
    <s v="994702500024"/>
    <m/>
    <m/>
    <m/>
    <n v="0"/>
    <n v="0"/>
    <n v="6359"/>
    <s v="basac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6359"/>
    <n v="0"/>
    <n v="0"/>
    <n v="6359"/>
    <s v="Mesaj"/>
    <s v="Mesaj"/>
    <s v="Qəbul edilib"/>
    <s v="Təhvil verilib"/>
    <s v="Hörmətli *Gulnare White Corner*  ,Sizin *28,12,2024* tarixli sifarişiniz qeydə alındı. Sifariş Məbləğı *6359 AZN* , Qalıq *6359 AZN* . Hörmətlə  *AlumPro*"/>
    <s v="Hörmətli *Gulnare White Corner* , sizin *28,12,2024* tarixli  sifarişiniz hazırdır . Bizi seçdiyiniz üçün minnətdarıq. Hörmətlə  *AlumPro*."/>
    <s v="Gulnare"/>
    <s v="Gulnare "/>
  </r>
  <r>
    <n v="246"/>
    <s v="*ALUMPRO246*"/>
    <s v="Eli"/>
    <x v="26"/>
    <x v="52"/>
    <s v="994502406369"/>
    <m/>
    <m/>
    <m/>
    <n v="0"/>
    <n v="0"/>
    <n v="7741"/>
    <s v="basac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0"/>
    <n v="7741"/>
    <n v="0"/>
    <n v="0"/>
    <n v="7741"/>
    <s v="Mesaj"/>
    <s v="Mesaj"/>
    <s v="Qəbul edilib"/>
    <s v="Təhvil verilib"/>
    <s v="Hörmətli *Behman Elit Mebel*  ,Sizin *28,12,2024* tarixli sifarişiniz qeydə alındı. Sifariş Məbləğı *7741 AZN* , Qalıq *7741 AZN* . Hörmətlə  *AlumPro*"/>
    <s v="Hörmətli *Behman Elit Mebel* , sizin *28,12,2024* tarixli  sifarişiniz hazırdır . Bizi seçdiyiniz üçün minnətdarıq. Hörmətlə  *AlumPro*."/>
    <s v="Behman"/>
    <s v="Behman "/>
  </r>
  <r>
    <n v="245"/>
    <s v="*ALUMPRO245*"/>
    <s v="Eli"/>
    <x v="26"/>
    <x v="53"/>
    <s v="994503696745"/>
    <m/>
    <s v="45 qara"/>
    <m/>
    <n v="0"/>
    <n v="6"/>
    <n v="138"/>
    <s v="basac"/>
    <s v="Tapilmadi"/>
    <n v="0"/>
    <n v="0"/>
    <m/>
    <s v="Tapilmadi"/>
    <n v="0"/>
    <n v="0"/>
    <n v="18"/>
    <s v="Adi güzgü "/>
    <m/>
    <n v="129"/>
    <m/>
    <s v="Tapilmadi"/>
    <m/>
    <n v="16"/>
    <m/>
    <s v="Tapilmadi"/>
    <n v="1"/>
    <n v="0"/>
    <n v="0"/>
    <n v="50"/>
    <n v="0"/>
    <n v="351"/>
    <n v="0"/>
    <n v="351"/>
    <n v="0"/>
    <s v="Mesaj"/>
    <s v="Mesaj"/>
    <s v="Qəbul edilib"/>
    <s v="Təhvil verilib"/>
    <s v="Hörmətli *Soltan Klent*  ,Sizin *28,12,2024* tarixli sifarişiniz qeydə alındı. Sifariş Məbləğı *351 AZN* , Qalıq *0 AZN* . Hörmətlə  *AlumPro*"/>
    <s v="Hörmətli *Soltan Klent* , sizin *28,12,2024* tarixli  sifarişiniz hazırdır . Bizi seçdiyiniz üçün minnətdarıq. Hörmətlə  *AlumPro*."/>
    <s v="Soltan"/>
    <s v="Soltan "/>
  </r>
  <r>
    <n v="244"/>
    <s v="*ALUMPRO244*"/>
    <s v="Eli"/>
    <x v="26"/>
    <x v="54"/>
    <s v="994553233919"/>
    <m/>
    <s v="45 Türk qızılı"/>
    <m/>
    <n v="0"/>
    <n v="4"/>
    <n v="92"/>
    <s v="boy"/>
    <s v="Tapilmadi"/>
    <n v="3"/>
    <n v="78"/>
    <m/>
    <s v="Tapilmadi"/>
    <n v="0"/>
    <n v="0"/>
    <n v="0"/>
    <s v="Fümə şüşə"/>
    <m/>
    <n v="68"/>
    <m/>
    <s v="Tapilmadi"/>
    <m/>
    <n v="12"/>
    <m/>
    <s v="Tapilmadi"/>
    <n v="1"/>
    <n v="0"/>
    <n v="12"/>
    <n v="45"/>
    <n v="0"/>
    <n v="300"/>
    <n v="7"/>
    <n v="150"/>
    <n v="143"/>
    <s v="Mesaj"/>
    <s v="Mesaj"/>
    <s v="Qəbul edilib"/>
    <s v="Təhvil verilib"/>
    <s v="Hörmətli *Abdulla Abdullayev*  ,Sizin *28,12,2024* tarixli sifarişiniz qeydə alındı. Sifariş Məbləğı *300 AZN* , Qalıq *143 AZN* . Hörmətlə  *AlumPro*"/>
    <s v="Hörmətli *Abdulla Abdullayev* , sizin *28,12,2024* tarixli  sifarişiniz hazırdır . Bizi seçdiyiniz üçün minnətdarıq. Hörmətlə  *AlumPro*."/>
    <s v="Abdulla"/>
    <s v="Abdulla "/>
  </r>
  <r>
    <n v="243"/>
    <s v="*ALUMPRO243*"/>
    <s v="Eli"/>
    <x v="26"/>
    <x v="55"/>
    <s v="994503232344"/>
    <m/>
    <s v="2x2 qızılı"/>
    <m/>
    <n v="0"/>
    <n v="3"/>
    <n v="69"/>
    <s v="boy"/>
    <s v="Tapilmadi"/>
    <n v="1"/>
    <n v="26"/>
    <m/>
    <s v="Tapilmadi"/>
    <n v="4"/>
    <n v="16"/>
    <n v="0"/>
    <s v="Şəffaf şüşə"/>
    <m/>
    <n v="30"/>
    <m/>
    <s v="Tapilmadi"/>
    <m/>
    <n v="24"/>
    <m/>
    <s v="Tapilmadi"/>
    <n v="1"/>
    <n v="0"/>
    <n v="8"/>
    <n v="45"/>
    <n v="0"/>
    <n v="218"/>
    <n v="0"/>
    <n v="0"/>
    <n v="218"/>
    <s v="Mesaj"/>
    <s v="Mesaj"/>
    <s v="Qəbul edilib"/>
    <s v="Təhvil verilib"/>
    <s v="Hörmətli *Ceyhun Bmw Doz*  ,Sizin *28,12,2024* tarixli sifarişiniz qeydə alındı. Sifariş Məbləğı *218 AZN* , Qalıq *218 AZN* . Hörmətlə  *AlumPro*"/>
    <s v="Hörmətli *Ceyhun Bmw Doz* , sizin *28,12,2024* tarixli  sifarişiniz hazırdır . Bizi seçdiyiniz üçün minnətdarıq. Hörmətlə  *AlumPro*."/>
    <s v="Ceyhun"/>
    <s v="Ceyhun "/>
  </r>
  <r>
    <n v="242"/>
    <s v="*ALUMPRO242*"/>
    <s v="Eli"/>
    <x v="26"/>
    <x v="56"/>
    <s v="994505703525"/>
    <s v="Təmir"/>
    <m/>
    <m/>
    <n v="0"/>
    <n v="0"/>
    <n v="0"/>
    <n v="0"/>
    <s v="Tapilmadi"/>
    <n v="0"/>
    <n v="0"/>
    <m/>
    <s v="Tapilmadi"/>
    <n v="0"/>
    <n v="0"/>
    <n v="0"/>
    <s v="Qəhvəyi şüşə"/>
    <m/>
    <n v="422"/>
    <m/>
    <s v="Tapilmadi"/>
    <m/>
    <n v="0"/>
    <m/>
    <s v="Tapilmadi"/>
    <n v="1"/>
    <n v="0"/>
    <n v="0"/>
    <n v="195"/>
    <n v="0"/>
    <n v="617"/>
    <n v="0"/>
    <n v="0"/>
    <n v="617"/>
    <s v="Mesaj"/>
    <s v="Mesaj"/>
    <s v="Qəbul edilib"/>
    <s v="Təhvil verilib"/>
    <s v="Hörmətli *Samir Ayla Mebel*  ,Sizin *28,12,2024* tarixli sifarişiniz qeydə alındı. Sifariş Məbləğı *617 AZN* , Qalıq *617 AZN* . Hörmətlə  *AlumPro*"/>
    <s v="Hörmətli *Samir Ayla Mebel* , sizin *28,12,2024* tarixli  sifarişiniz hazırdır . Bizi seçdiyiniz üçün minnətdarıq. Hörmətlə  *AlumPro*."/>
    <s v="Samir"/>
    <s v="Samir "/>
  </r>
  <r>
    <n v="241"/>
    <s v="*ALUMPRO241*"/>
    <s v="Eli"/>
    <x v="29"/>
    <x v="25"/>
    <s v="994512063544"/>
    <s v="Kohne borcu ustune gelirem"/>
    <m/>
    <m/>
    <n v="0"/>
    <n v="0"/>
    <n v="0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0"/>
    <n v="202"/>
    <n v="202"/>
    <n v="0"/>
    <n v="0"/>
    <n v="202"/>
    <s v="Mesaj"/>
    <s v="Mesaj"/>
    <s v="Qəbul edilib"/>
    <s v="Təhvil verilib"/>
    <s v="Hörmətli *Mutfakci Maliyye*  ,Sizin *12/28/2024* tarixli sifarişiniz qeydə alındı. Sifariş Məbləğı *202 AZN* , Qalıq *202 AZN* . Hörmətlə  *AlumPro*"/>
    <s v="Hörmətli *Mutfakci Maliyye* , sizin *12/28/2024* tarixli  sifarişiniz hazırdır . Bizi seçdiyiniz üçün minnətdarıq. Hörmətlə  *AlumPro*."/>
    <s v="Mutfakci"/>
    <s v="Mutfakci "/>
  </r>
  <r>
    <n v="240"/>
    <s v="*ALUMPRO240*"/>
    <s v="Eli"/>
    <x v="30"/>
    <x v="14"/>
    <s v="994772775177"/>
    <m/>
    <s v="45 qara"/>
    <m/>
    <n v="0"/>
    <n v="2"/>
    <n v="46"/>
    <s v="boy"/>
    <s v="Tapilmadi"/>
    <n v="1"/>
    <n v="26"/>
    <m/>
    <s v="Tapilmadi"/>
    <n v="0"/>
    <n v="0"/>
    <n v="9"/>
    <s v="Fümə şüşə"/>
    <m/>
    <n v="40"/>
    <m/>
    <s v="Tapilmadi"/>
    <m/>
    <n v="4"/>
    <m/>
    <s v="Tapilmadi"/>
    <n v="1"/>
    <n v="0"/>
    <n v="5"/>
    <n v="15"/>
    <n v="0"/>
    <n v="145"/>
    <n v="0"/>
    <n v="0"/>
    <n v="145"/>
    <s v="Mesaj"/>
    <s v="Mesaj"/>
    <s v="Qəbul edilib"/>
    <s v="Təhvil verilib"/>
    <s v="Hörmətli *Aksin Mahmudov*  ,Sizin *01,11,2024* tarixli sifarişiniz qeydə alındı. Sifariş Məbləğı *145 AZN* , Qalıq *145 AZN* . Hörmətlə  *AlumPro*"/>
    <s v="Hörmətli *Aksin Mahmudov* , sizin *01,11,2024* tarixli  sifarişiniz hazırdır . Bizi seçdiyiniz üçün minnətdarıq. Hörmətlə  *AlumPro*."/>
    <s v="Aksin"/>
    <s v="Aksin "/>
  </r>
  <r>
    <n v="239"/>
    <s v="*ALUMPRO239*"/>
    <s v="Eli"/>
    <x v="30"/>
    <x v="56"/>
    <s v="994505703525"/>
    <m/>
    <s v="45 qızılı"/>
    <m/>
    <n v="0"/>
    <n v="2"/>
    <n v="46"/>
    <s v="basac"/>
    <s v="Tapilmadi"/>
    <n v="0"/>
    <n v="0"/>
    <m/>
    <s v="Tapilmadi"/>
    <n v="0"/>
    <n v="0"/>
    <n v="0"/>
    <s v="Qəhvəyi şüşə"/>
    <m/>
    <n v="22"/>
    <m/>
    <s v="Tapilmadi"/>
    <m/>
    <n v="8"/>
    <m/>
    <s v="Tapilmadi"/>
    <n v="1"/>
    <n v="0"/>
    <n v="4"/>
    <n v="20"/>
    <n v="0"/>
    <n v="224"/>
    <n v="0"/>
    <n v="224"/>
    <n v="0"/>
    <s v="Mesaj"/>
    <s v="Mesaj"/>
    <s v="Qəbul edilib"/>
    <s v="Təhvil verilib"/>
    <s v="Hörmətli *Samir Ayla Mebel*  ,Sizin *01,11,2024* tarixli sifarişiniz qeydə alındı. Sifariş Məbləğı *224 AZN* , Qalıq *0 AZN* . Hörmətlə  *AlumPro*"/>
    <s v="Hörmətli *Samir Ayla Mebel* , sizin *01,11,2024* tarixli  sifarişiniz hazırdır . Bizi seçdiyiniz üçün minnətdarıq. Hörmətlə  *AlumPro*."/>
    <s v="Samir"/>
    <s v="Samir "/>
  </r>
  <r>
    <n v="237"/>
    <s v="*ALUMPRO237*"/>
    <s v="Eli"/>
    <x v="31"/>
    <x v="56"/>
    <s v="994505703525"/>
    <m/>
    <s v="45 qızılı"/>
    <m/>
    <n v="0"/>
    <n v="6"/>
    <n v="138"/>
    <s v="boy"/>
    <s v="Tapilmadi"/>
    <n v="4"/>
    <n v="104"/>
    <m/>
    <s v="Tapilmadi"/>
    <n v="0"/>
    <n v="0"/>
    <n v="0"/>
    <s v=" Temp Qəhvəyi şüşə"/>
    <m/>
    <n v="192"/>
    <m/>
    <s v="Tapilmadi"/>
    <m/>
    <n v="16"/>
    <m/>
    <s v="Tapilmadi"/>
    <n v="1"/>
    <n v="0"/>
    <n v="20"/>
    <n v="60"/>
    <n v="0"/>
    <n v="530"/>
    <n v="0"/>
    <n v="530"/>
    <n v="0"/>
    <s v="Mesaj"/>
    <s v="Mesaj"/>
    <s v="Qəbul edilib"/>
    <s v="Təhvil verilib"/>
    <s v="Hörmətli *Samir Ayla Mebel*  ,Sizin *29,10,2024* tarixli sifarişiniz qeydə alındı. Sifariş Məbləğı *530 AZN* , Qalıq *0 AZN* . Hörmətlə  *AlumPro*"/>
    <s v="Hörmətli *Samir Ayla Mebel* , sizin *29,10,2024* tarixli  sifarişiniz hazırdır . Bizi seçdiyiniz üçün minnətdarıq. Hörmətlə  *AlumPro*."/>
    <s v="Samir"/>
    <s v="Samir "/>
  </r>
  <r>
    <n v="236"/>
    <s v="*ALUMPRO236*"/>
    <s v="Eli"/>
    <x v="32"/>
    <x v="56"/>
    <s v="994505703525"/>
    <m/>
    <s v="45 qara"/>
    <m/>
    <n v="0"/>
    <n v="6"/>
    <n v="138"/>
    <s v="boy"/>
    <s v="Tapilmadi"/>
    <n v="4"/>
    <n v="104"/>
    <m/>
    <s v="Tapilmadi"/>
    <n v="0"/>
    <n v="0"/>
    <n v="0"/>
    <s v=" Temp Qəhvəyi şüşə"/>
    <m/>
    <n v="196"/>
    <m/>
    <s v="Tapilmadi"/>
    <m/>
    <n v="16"/>
    <m/>
    <s v="Tapilmadi"/>
    <n v="1"/>
    <n v="0"/>
    <n v="20"/>
    <n v="60"/>
    <n v="0"/>
    <n v="530"/>
    <n v="4"/>
    <n v="526"/>
    <n v="0"/>
    <s v="Mesaj"/>
    <s v="Mesaj"/>
    <s v="Qəbul edilib"/>
    <s v="Təhvil verilib"/>
    <s v="Hörmətli *Samir Ayla Mebel*  ,Sizin *24,10,2024* tarixli sifarişiniz qeydə alındı. Sifariş Məbləğı *530 AZN* , Qalıq *0 AZN* . Hörmətlə  *AlumPro*"/>
    <s v="Hörmətli *Samir Ayla Mebel* , sizin *24,10,2024* tarixli  sifarişiniz hazırdır . Bizi seçdiyiniz üçün minnətdarıq. Hörmətlə  *AlumPro*."/>
    <s v="Samir"/>
    <s v="Samir "/>
  </r>
  <r>
    <n v="235"/>
    <s v="*ALUMPRO235*"/>
    <s v="Eli"/>
    <x v="32"/>
    <x v="56"/>
    <s v="994505703525"/>
    <m/>
    <s v="45 qara"/>
    <m/>
    <n v="0"/>
    <n v="2"/>
    <n v="46"/>
    <s v="boy"/>
    <s v="Tapilmadi"/>
    <n v="1"/>
    <n v="26"/>
    <m/>
    <s v="Tapilmadi"/>
    <n v="0"/>
    <n v="0"/>
    <n v="0"/>
    <s v="Fümə şüşə"/>
    <m/>
    <n v="30"/>
    <m/>
    <s v="Tapilmadi"/>
    <m/>
    <n v="8"/>
    <m/>
    <s v="Tapilmadi"/>
    <n v="1"/>
    <n v="0"/>
    <n v="4"/>
    <n v="30"/>
    <n v="0"/>
    <n v="144"/>
    <n v="0"/>
    <n v="144"/>
    <n v="0"/>
    <s v="Mesaj"/>
    <s v="Mesaj"/>
    <s v="Qəbul edilib"/>
    <s v="Təhvil verilib"/>
    <s v="Hörmətli *Samir Ayla Mebel*  ,Sizin *24,10,2024* tarixli sifarişiniz qeydə alındı. Sifariş Məbləğı *144 AZN* , Qalıq *0 AZN* . Hörmətlə  *AlumPro*"/>
    <s v="Hörmətli *Samir Ayla Mebel* , sizin *24,10,2024* tarixli  sifarişiniz hazırdır . Bizi seçdiyiniz üçün minnətdarıq. Hörmətlə  *AlumPro*."/>
    <s v="Samir"/>
    <s v="Samir "/>
  </r>
  <r>
    <n v="234"/>
    <s v="*ALUMPRO234*"/>
    <s v="Eli"/>
    <x v="33"/>
    <x v="56"/>
    <s v="994505703525"/>
    <m/>
    <s v="45 açıq antrasit"/>
    <m/>
    <n v="0"/>
    <n v="29"/>
    <n v="667"/>
    <s v="boy"/>
    <s v="Tapilmadi"/>
    <n v="18"/>
    <n v="468"/>
    <m/>
    <s v="Tapilmadi"/>
    <n v="0"/>
    <n v="0"/>
    <n v="0"/>
    <s v="Qara Zerkalni şüşə"/>
    <m/>
    <n v="775"/>
    <m/>
    <s v="Tapilmadi"/>
    <m/>
    <n v="120"/>
    <m/>
    <s v="Tapilmadi"/>
    <n v="1"/>
    <n v="0"/>
    <n v="105"/>
    <n v="375"/>
    <n v="0"/>
    <n v="2510"/>
    <m/>
    <n v="755"/>
    <n v="1755"/>
    <s v="Mesaj"/>
    <s v="Mesaj"/>
    <s v="Qəbul edilib"/>
    <s v="Təhvil verilib"/>
    <s v="Hörmətli *Samir Ayla Mebel*  ,Sizin *11,11,2024* tarixli sifarişiniz qeydə alındı. Sifariş Məbləğı *2510 AZN* , Qalıq *1755 AZN* . Hörmətlə  *AlumPro*"/>
    <s v="Hörmətli *Samir Ayla Mebel* , sizin *11,11,2024* tarixli  sifarişiniz hazırdır . Bizi seçdiyiniz üçün minnətdarıq. Hörmətlə  *AlumPro*."/>
    <s v="Samir"/>
    <s v="Samir "/>
  </r>
  <r>
    <n v="233"/>
    <s v="*ALUMPRO233*"/>
    <s v="Eli"/>
    <x v="8"/>
    <x v="57"/>
    <n v="0"/>
    <m/>
    <s v="45 qara"/>
    <m/>
    <n v="0"/>
    <n v="15"/>
    <n v="345"/>
    <s v="basac"/>
    <s v="Tapilmadi"/>
    <n v="0"/>
    <n v="0"/>
    <m/>
    <s v="Tapilmadi"/>
    <n v="0"/>
    <n v="0"/>
    <n v="45"/>
    <s v="Fümə şüşə"/>
    <m/>
    <n v="159"/>
    <m/>
    <s v="Tapilmadi"/>
    <m/>
    <n v="44"/>
    <m/>
    <s v="Tapilmadi"/>
    <n v="1"/>
    <n v="0"/>
    <n v="40"/>
    <n v="140"/>
    <n v="0"/>
    <n v="770"/>
    <n v="3"/>
    <n v="0"/>
    <n v="767"/>
    <s v="Mesaj"/>
    <s v="Mesaj"/>
    <s v="Qəbul edilib"/>
    <s v="Təhvil verilib"/>
    <s v="Hörmətli *Elsen Veliyev*  ,Sizin *26,12,2024* tarixli sifarişiniz qeydə alındı. Sifariş Məbləğı *770 AZN* , Qalıq *767 AZN* . Hörmətlə  *AlumPro*"/>
    <s v="Hörmətli *Elsen Veliyev* , sizin *26,12,2024* tarixli  sifarişiniz hazırdır . Bizi seçdiyiniz üçün minnətdarıq. Hörmətlə  *AlumPro*."/>
    <s v="Elsen"/>
    <s v="Elsen "/>
  </r>
  <r>
    <n v="232"/>
    <s v="*ALUMPRO232*"/>
    <s v="Eli"/>
    <x v="8"/>
    <x v="11"/>
    <s v="994502111355"/>
    <m/>
    <s v="Mərmər Qara"/>
    <m/>
    <n v="0"/>
    <n v="3"/>
    <n v="90"/>
    <s v="basac"/>
    <s v="Tapilmadi"/>
    <n v="0"/>
    <n v="0"/>
    <m/>
    <s v="Tapilmadi"/>
    <n v="0"/>
    <n v="0"/>
    <n v="0"/>
    <s v="Adi güzgü "/>
    <m/>
    <n v="61"/>
    <m/>
    <s v="Tapilmadi"/>
    <m/>
    <n v="4"/>
    <m/>
    <s v="Tapilmadi"/>
    <n v="1"/>
    <n v="0"/>
    <n v="5"/>
    <n v="15"/>
    <n v="0"/>
    <n v="175"/>
    <n v="0"/>
    <n v="0"/>
    <n v="175"/>
    <s v="Mesaj"/>
    <s v="Mesaj"/>
    <s v="Qəbul edilib"/>
    <s v="Təhvil verilib"/>
    <s v="Hörmətli *My Concept*  ,Sizin *26,12,2024* tarixli sifarişiniz qeydə alındı. Sifariş Məbləğı *175 AZN* , Qalıq *175 AZN* . Hörmətlə  *AlumPro*"/>
    <s v="Hörmətli *My Concept* , sizin *26,12,2024* tarixli  sifarişiniz hazırdır . Bizi seçdiyiniz üçün minnətdarıq. Hörmətlə  *AlumPro*."/>
    <s v="My"/>
    <s v="My "/>
  </r>
  <r>
    <n v="231"/>
    <s v="*ALUMPRO231*"/>
    <s v="Eli"/>
    <x v="8"/>
    <x v="58"/>
    <s v="9946498358"/>
    <m/>
    <s v="45 qızılı"/>
    <m/>
    <n v="0"/>
    <n v="5"/>
    <n v="115"/>
    <s v="basac"/>
    <s v="Tapilmadi"/>
    <n v="0"/>
    <n v="0"/>
    <m/>
    <s v="Tapilmadi"/>
    <n v="0"/>
    <n v="0"/>
    <n v="0"/>
    <s v="Adi güzgü "/>
    <m/>
    <n v="187"/>
    <m/>
    <s v="Tapilmadi"/>
    <m/>
    <n v="8"/>
    <m/>
    <s v="Tapilmadi"/>
    <n v="1"/>
    <n v="0"/>
    <n v="0"/>
    <n v="30"/>
    <n v="0"/>
    <n v="340"/>
    <n v="0"/>
    <n v="0"/>
    <n v="340"/>
    <s v="Mesaj"/>
    <s v="Mesaj"/>
    <s v="Qəbul edilib"/>
    <s v="Təhvil verilib"/>
    <s v="Hörmətli *Hikmet Qalib*  ,Sizin *26,12,2024* tarixli sifarişiniz qeydə alındı. Sifariş Məbləğı *340 AZN* , Qalıq *340 AZN* . Hörmətlə  *AlumPro*"/>
    <s v="Hörmətli *Hikmet Qalib* , sizin *26,12,2024* tarixli  sifarişiniz hazırdır . Bizi seçdiyiniz üçün minnətdarıq. Hörmətlə  *AlumPro*."/>
    <s v="Hikmet"/>
    <s v="Hikmet "/>
  </r>
  <r>
    <n v="230"/>
    <s v="*ALUMPRO230*"/>
    <s v="Eli"/>
    <x v="8"/>
    <x v="42"/>
    <s v="994552147470"/>
    <m/>
    <m/>
    <m/>
    <n v="0"/>
    <n v="0"/>
    <n v="0"/>
    <n v="0"/>
    <s v="Tapilmadi"/>
    <n v="4"/>
    <n v="0"/>
    <s v="2x2  düz"/>
    <s v="Tapilmadi"/>
    <n v="1"/>
    <n v="4"/>
    <n v="0"/>
    <s v="Qəhvəyi şüşə"/>
    <m/>
    <n v="196"/>
    <m/>
    <s v="Tapilmadi"/>
    <m/>
    <n v="0"/>
    <m/>
    <s v="Tapilmadi"/>
    <n v="1"/>
    <n v="0"/>
    <n v="0"/>
    <n v="0"/>
    <n v="0"/>
    <n v="200"/>
    <n v="0"/>
    <n v="200"/>
    <n v="0"/>
    <s v="Mesaj"/>
    <s v="Mesaj"/>
    <s v="Qəbul edilib"/>
    <s v="Təhvil verilib"/>
    <s v="Hörmətli *Cavid Kahveci*  ,Sizin *26,12,2024* tarixli sifarişiniz qeydə alındı. Sifariş Məbləğı *200 AZN* , Qalıq *0 AZN* . Hörmətlə  *AlumPro*"/>
    <s v="Hörmətli *Cavid Kahveci* , sizin *26,12,2024* tarixli  sifarişiniz hazırdır . Bizi seçdiyiniz üçün minnətdarıq. Hörmətlə  *AlumPro*."/>
    <s v="Cavid"/>
    <s v="Cavid "/>
  </r>
  <r>
    <n v="229"/>
    <s v="*ALUMPRO229*"/>
    <s v="Eli"/>
    <x v="8"/>
    <x v="59"/>
    <n v="0"/>
    <m/>
    <s v="Konus yan Qızılı"/>
    <m/>
    <n v="0"/>
    <n v="8"/>
    <n v="240"/>
    <s v="qulp konus qizili"/>
    <s v="Tapilmadi"/>
    <n v="4"/>
    <n v="100"/>
    <m/>
    <s v="Tapilmadi"/>
    <n v="0"/>
    <n v="0"/>
    <n v="0"/>
    <s v="Ağ refle şüşə"/>
    <m/>
    <n v="845"/>
    <m/>
    <s v="Tapilmadi"/>
    <m/>
    <n v="16"/>
    <m/>
    <s v="Tapilmadi"/>
    <n v="1"/>
    <n v="0"/>
    <n v="16"/>
    <n v="60"/>
    <n v="0"/>
    <n v="1277"/>
    <n v="0"/>
    <n v="1277"/>
    <n v="0"/>
    <s v="Mesaj"/>
    <s v="Mesaj"/>
    <s v="Qəbul edilib"/>
    <s v="Təhvil verilib"/>
    <s v="Hörmətli *Ibrahim Baksol*  ,Sizin *26,12,2024* tarixli sifarişiniz qeydə alındı. Sifariş Məbləğı *1277 AZN* , Qalıq *0 AZN* . Hörmətlə  *AlumPro*"/>
    <s v="Hörmətli *Ibrahim Baksol* , sizin *26,12,2024* tarixli  sifarişiniz hazırdır . Bizi seçdiyiniz üçün minnətdarıq. Hörmətlə  *AlumPro*."/>
    <s v="Ibrahim"/>
    <s v="Ibrahim "/>
  </r>
  <r>
    <n v="228"/>
    <s v="*ALUMPRO228*"/>
    <s v="Eli"/>
    <x v="9"/>
    <x v="50"/>
    <s v="994502150506"/>
    <m/>
    <s v="2x2 qızılı"/>
    <m/>
    <n v="0"/>
    <n v="5"/>
    <n v="115"/>
    <s v="basac"/>
    <s v="Tapilmadi"/>
    <n v="0"/>
    <n v="0"/>
    <s v="2x2  düz"/>
    <s v="Tapilmadi"/>
    <n v="8"/>
    <n v="32"/>
    <n v="0"/>
    <s v="Ağ refle şüşə"/>
    <m/>
    <n v="677"/>
    <m/>
    <s v="Tapilmadi"/>
    <m/>
    <n v="16"/>
    <m/>
    <s v="Tapilmadi"/>
    <n v="1"/>
    <n v="0"/>
    <n v="16"/>
    <n v="30"/>
    <n v="0"/>
    <n v="886"/>
    <n v="0"/>
    <n v="300"/>
    <n v="586"/>
    <s v="Mesaj"/>
    <s v="Mesaj"/>
    <s v="Qəbul edilib"/>
    <s v="Təhvil verilib"/>
    <s v="Hörmətli *Kamran kaya desıgn*  ,Sizin *25,12,2024* tarixli sifarişiniz qeydə alındı. Sifariş Məbləğı *886 AZN* , Qalıq *586 AZN* . Hörmətlə  *AlumPro*"/>
    <s v="Hörmətli *Kamran kaya desıgn* , sizin *25,12,2024* tarixli  sifarişiniz hazırdır . Bizi seçdiyiniz üçün minnətdarıq. Hörmətlə  *AlumPro*."/>
    <s v="Kamran"/>
    <s v="Kamran "/>
  </r>
  <r>
    <n v="227"/>
    <s v="*ALUMPRO227*"/>
    <s v="Eli"/>
    <x v="9"/>
    <x v="11"/>
    <s v="994502111355"/>
    <m/>
    <s v="2x2 qızılı"/>
    <m/>
    <n v="0"/>
    <n v="12"/>
    <n v="276"/>
    <s v="boy"/>
    <s v="Tapilmadi"/>
    <n v="8"/>
    <n v="208"/>
    <s v="2x2  düz"/>
    <s v="Tapilmadi"/>
    <n v="40"/>
    <n v="160"/>
    <n v="0"/>
    <s v="Qəhvəyi şüşə"/>
    <m/>
    <n v="332"/>
    <m/>
    <s v="Tapilmadi"/>
    <m/>
    <n v="64"/>
    <m/>
    <s v="Tapilmadi"/>
    <n v="1"/>
    <n v="0"/>
    <n v="80"/>
    <n v="120"/>
    <n v="0"/>
    <n v="1240"/>
    <n v="0"/>
    <n v="0"/>
    <n v="1240"/>
    <s v="Mesaj"/>
    <s v="Mesaj"/>
    <s v="Qəbul edilib"/>
    <s v="Təhvil verilib"/>
    <s v="Hörmətli *My Concept*  ,Sizin *25,12,2024* tarixli sifarişiniz qeydə alındı. Sifariş Məbləğı *1240 AZN* , Qalıq *1240 AZN* . Hörmətlə  *AlumPro*"/>
    <s v="Hörmətli *My Concept* , sizin *25,12,2024* tarixli  sifarişiniz hazırdır . Bizi seçdiyiniz üçün minnətdarıq. Hörmətlə  *AlumPro*."/>
    <s v="My"/>
    <s v="My "/>
  </r>
  <r>
    <n v="226"/>
    <s v="*ALUMPRO226*"/>
    <s v="Eli"/>
    <x v="9"/>
    <x v="60"/>
    <n v="0"/>
    <m/>
    <s v="2x2 qara"/>
    <m/>
    <n v="0"/>
    <n v="10"/>
    <n v="230"/>
    <s v="basac"/>
    <s v="Tapilmadi"/>
    <n v="0"/>
    <n v="0"/>
    <s v="2x2  düz"/>
    <s v="Tapilmadi"/>
    <n v="20"/>
    <n v="80"/>
    <n v="0"/>
    <s v="Fümə şüşə"/>
    <m/>
    <n v="163"/>
    <m/>
    <s v="Tapilmadi"/>
    <m/>
    <n v="32"/>
    <m/>
    <s v="Tapilmadi"/>
    <n v="1"/>
    <n v="0"/>
    <n v="40"/>
    <n v="60"/>
    <n v="0"/>
    <n v="600"/>
    <n v="5"/>
    <n v="300"/>
    <n v="295"/>
    <s v="Mesaj"/>
    <s v="Mesaj"/>
    <s v="Qəbul edilib"/>
    <s v="Təhvil verilib"/>
    <s v="Hörmətli *Elmar Amay*  ,Sizin *25,12,2024* tarixli sifarişiniz qeydə alındı. Sifariş Məbləğı *600 AZN* , Qalıq *295 AZN* . Hörmətlə  *AlumPro*"/>
    <s v="Hörmətli *Elmar Amay* , sizin *25,12,2024* tarixli  sifarişiniz hazırdır . Bizi seçdiyiniz üçün minnətdarıq. Hörmətlə  *AlumPro*."/>
    <s v="Elmar"/>
    <s v="Elmar "/>
  </r>
  <r>
    <n v="225"/>
    <s v="*ALUMPRO225*"/>
    <s v="Eli"/>
    <x v="9"/>
    <x v="56"/>
    <s v="994505703525"/>
    <m/>
    <s v="2x2 qızılı"/>
    <m/>
    <n v="0"/>
    <n v="3"/>
    <n v="69"/>
    <s v="boy"/>
    <s v="Tapilmadi"/>
    <n v="2"/>
    <n v="52"/>
    <s v="2x2  düz"/>
    <s v="Tapilmadi"/>
    <n v="6"/>
    <n v="24"/>
    <n v="0"/>
    <s v="Qəhvəyi şüşə"/>
    <m/>
    <n v="51"/>
    <m/>
    <s v="Tapilmadi"/>
    <m/>
    <n v="16"/>
    <m/>
    <s v="Tapilmadi"/>
    <n v="1"/>
    <n v="0"/>
    <n v="12"/>
    <n v="30"/>
    <n v="0"/>
    <n v="254"/>
    <m/>
    <n v="254"/>
    <n v="0"/>
    <s v="Mesaj"/>
    <s v="Mesaj"/>
    <s v="Qəbul edilib"/>
    <s v="Təhvil verilib"/>
    <s v="Hörmətli *Samir Ayla Mebel*  ,Sizin *25,12,2024* tarixli sifarişiniz qeydə alındı. Sifariş Məbləğı *254 AZN* , Qalıq *0 AZN* . Hörmətlə  *AlumPro*"/>
    <s v="Hörmətli *Samir Ayla Mebel* , sizin *25,12,2024* tarixli  sifarişiniz hazırdır . Bizi seçdiyiniz üçün minnətdarıq. Hörmətlə  *AlumPro*."/>
    <s v="Samir"/>
    <s v="Samir "/>
  </r>
  <r>
    <n v="224"/>
    <s v="*ALUMPRO224*"/>
    <s v="Eli"/>
    <x v="9"/>
    <x v="61"/>
    <n v="0"/>
    <m/>
    <s v="45 qızılı"/>
    <m/>
    <n v="0"/>
    <n v="2"/>
    <n v="46"/>
    <s v="basac"/>
    <s v="Tapilmadi"/>
    <n v="0"/>
    <n v="0"/>
    <m/>
    <s v="Tapilmadi"/>
    <n v="0"/>
    <n v="0"/>
    <n v="0"/>
    <s v="Adi güzgü "/>
    <m/>
    <n v="32"/>
    <m/>
    <s v="Tapilmadi"/>
    <m/>
    <n v="4"/>
    <m/>
    <s v="Tapilmadi"/>
    <n v="1"/>
    <n v="0"/>
    <n v="3"/>
    <n v="15"/>
    <n v="0"/>
    <n v="100"/>
    <n v="0"/>
    <n v="100"/>
    <n v="0"/>
    <s v="Mesaj"/>
    <s v="Mesaj"/>
    <s v="Qəbul edilib"/>
    <s v="Təhvil verilib"/>
    <s v="Hörmətli *Ruslan Huseynov*  ,Sizin *25,12,2024* tarixli sifarişiniz qeydə alındı. Sifariş Məbləğı *100 AZN* , Qalıq *0 AZN* . Hörmətlə  *AlumPro*"/>
    <s v="Hörmətli *Ruslan Huseynov* , sizin *25,12,2024* tarixli  sifarişiniz hazırdır . Bizi seçdiyiniz üçün minnətdarıq. Hörmətlə  *AlumPro*."/>
    <s v="Ruslan"/>
    <s v="Ruslan "/>
  </r>
  <r>
    <n v="223"/>
    <s v="*ALUMPRO223*"/>
    <s v="Eli"/>
    <x v="10"/>
    <x v="30"/>
    <s v="994703076627"/>
    <s v="Qizili"/>
    <s v="Mərmər"/>
    <m/>
    <n v="0"/>
    <n v="4"/>
    <n v="140"/>
    <n v="0"/>
    <s v="Tapilmadi"/>
    <n v="0"/>
    <n v="0"/>
    <m/>
    <s v="Tapilmadi"/>
    <n v="0"/>
    <n v="0"/>
    <n v="0"/>
    <s v="Adi güzgü "/>
    <m/>
    <n v="72"/>
    <m/>
    <s v="Tapilmadi"/>
    <m/>
    <n v="8"/>
    <m/>
    <s v="Tapilmadi"/>
    <n v="1"/>
    <n v="0"/>
    <n v="10"/>
    <n v="30"/>
    <n v="0"/>
    <n v="260"/>
    <n v="0"/>
    <n v="260"/>
    <n v="0"/>
    <s v="Mesaj"/>
    <s v="Mesaj"/>
    <s v="Qəbul edilib"/>
    <s v="Təhvil verilib"/>
    <s v="Hörmətli *Resad Mebelline *  ,Sizin *24,12,2024* tarixli sifarişiniz qeydə alındı. Sifariş Məbləğı *260 AZN* , Qalıq *0 AZN* . Hörmətlə  *AlumPro*"/>
    <s v="Hörmətli *Resad Mebelline * , sizin *24,12,2024* tarixli  sifarişiniz hazırdır . Bizi seçdiyiniz üçün minnətdarıq. Hörmətlə  *AlumPro*."/>
    <s v="Resad"/>
    <s v="Resad "/>
  </r>
  <r>
    <n v="222"/>
    <s v="*ALUMPRO222*"/>
    <s v="Eli"/>
    <x v="10"/>
    <x v="30"/>
    <s v="994703076627"/>
    <m/>
    <s v="2x2 qara"/>
    <m/>
    <n v="0"/>
    <n v="0"/>
    <n v="0"/>
    <s v="boy"/>
    <s v="Tapilmadi"/>
    <n v="1"/>
    <n v="26"/>
    <s v="2x2  düz"/>
    <s v="Tapilmadi"/>
    <n v="4"/>
    <n v="16"/>
    <n v="0"/>
    <m/>
    <m/>
    <n v="0"/>
    <m/>
    <s v="Tapilmadi"/>
    <m/>
    <n v="16"/>
    <m/>
    <s v="Tapilmadi"/>
    <n v="1"/>
    <n v="0"/>
    <n v="8"/>
    <n v="20"/>
    <n v="0"/>
    <n v="86"/>
    <n v="0"/>
    <n v="86"/>
    <n v="0"/>
    <s v="Mesaj"/>
    <s v="Mesaj"/>
    <s v="Qəbul edilib"/>
    <s v="Təhvil verilib"/>
    <s v="Hörmətli *Resad Mebelline *  ,Sizin *24,12,2024* tarixli sifarişiniz qeydə alındı. Sifariş Məbləğı *86 AZN* , Qalıq *0 AZN* . Hörmətlə  *AlumPro*"/>
    <s v="Hörmətli *Resad Mebelline * , sizin *24,12,2024* tarixli  sifarişiniz hazırdır . Bizi seçdiyiniz üçün minnətdarıq. Hörmətlə  *AlumPro*."/>
    <s v="Resad"/>
    <s v="Resad "/>
  </r>
  <r>
    <n v="221"/>
    <s v="*ALUMPRO221*"/>
    <s v="Eli"/>
    <x v="10"/>
    <x v="25"/>
    <s v="994512063544"/>
    <s v="Aqil"/>
    <s v="2x2 qızılı"/>
    <m/>
    <n v="0"/>
    <n v="3"/>
    <n v="69"/>
    <s v="boy"/>
    <s v="Tapilmadi"/>
    <n v="2"/>
    <n v="52"/>
    <s v="2x2  düz"/>
    <s v="Tapilmadi"/>
    <n v="10"/>
    <n v="40"/>
    <n v="0"/>
    <s v="Qəhvəyi şüşə"/>
    <m/>
    <n v="89"/>
    <m/>
    <s v="Tapilmadi"/>
    <m/>
    <n v="16"/>
    <m/>
    <s v="Tapilmadi"/>
    <n v="1"/>
    <n v="0"/>
    <n v="20"/>
    <n v="30"/>
    <n v="0"/>
    <n v="316"/>
    <n v="0"/>
    <n v="0"/>
    <n v="316"/>
    <s v="Mesaj"/>
    <s v="Mesaj"/>
    <s v="Qəbul edilib"/>
    <s v="Təhvil verilib"/>
    <s v="Hörmətli *Mutfakci Maliyye*  ,Sizin *24,12,2024* tarixli sifarişiniz qeydə alındı. Sifariş Məbləğı *316 AZN* , Qalıq *316 AZN* . Hörmətlə  *AlumPro*"/>
    <s v="Hörmətli *Mutfakci Maliyye* , sizin *24,12,2024* tarixli  sifarişiniz hazırdır . Bizi seçdiyiniz üçün minnətdarıq. Hörmətlə  *AlumPro*."/>
    <s v="Mutfakci"/>
    <s v="Mutfakci "/>
  </r>
  <r>
    <n v="220"/>
    <s v="*ALUMPRO220*"/>
    <s v="Eli"/>
    <x v="10"/>
    <x v="25"/>
    <s v="994512063544"/>
    <s v="Taciye"/>
    <s v="2x2 qara"/>
    <m/>
    <n v="0"/>
    <n v="2"/>
    <n v="46"/>
    <s v="boy"/>
    <s v="Tapilmadi"/>
    <n v="2"/>
    <n v="52"/>
    <s v="2x2  düz"/>
    <s v="Tapilmadi"/>
    <n v="8"/>
    <n v="32"/>
    <n v="0"/>
    <s v="Fümə şüşə"/>
    <m/>
    <n v="40"/>
    <m/>
    <s v="Tapilmadi"/>
    <m/>
    <n v="16"/>
    <m/>
    <s v="Tapilmadi"/>
    <n v="1"/>
    <n v="0"/>
    <n v="16"/>
    <n v="30"/>
    <n v="0"/>
    <n v="232"/>
    <n v="0"/>
    <n v="0"/>
    <n v="232"/>
    <s v="Mesaj"/>
    <s v="Mesaj"/>
    <s v="Qəbul edilib"/>
    <s v="Təhvil verilib"/>
    <s v="Hörmətli *Mutfakci Maliyye*  ,Sizin *24,12,2024* tarixli sifarişiniz qeydə alındı. Sifariş Məbləğı *232 AZN* , Qalıq *232 AZN* . Hörmətlə  *AlumPro*"/>
    <s v="Hörmətli *Mutfakci Maliyye* , sizin *24,12,2024* tarixli  sifarişiniz hazırdır . Bizi seçdiyiniz üçün minnətdarıq. Hörmətlə  *AlumPro*."/>
    <s v="Mutfakci"/>
    <s v="Mutfakci "/>
  </r>
  <r>
    <n v="219"/>
    <s v="*ALUMPRO219*"/>
    <s v="Eli"/>
    <x v="11"/>
    <x v="25"/>
    <s v="994512063544"/>
    <m/>
    <s v="2x2 qara"/>
    <m/>
    <n v="0"/>
    <n v="2"/>
    <n v="46"/>
    <s v="boy"/>
    <s v="Tapilmadi"/>
    <n v="1"/>
    <n v="26"/>
    <s v="2x2  düz"/>
    <s v="Tapilmadi"/>
    <n v="6"/>
    <n v="24"/>
    <n v="0"/>
    <s v="Fümə şüşə"/>
    <m/>
    <n v="31"/>
    <m/>
    <s v="Tapilmadi"/>
    <m/>
    <n v="16"/>
    <m/>
    <s v="Tapilmadi"/>
    <n v="1"/>
    <n v="0"/>
    <n v="12"/>
    <n v="30"/>
    <n v="0"/>
    <n v="185"/>
    <n v="0"/>
    <n v="0"/>
    <n v="185"/>
    <s v="Mesaj"/>
    <s v="Mesaj"/>
    <s v="Qəbul edilib"/>
    <s v="Təhvil verilib"/>
    <s v="Hörmətli *Mutfakci Maliyye*  ,Sizin *23,12,2024* tarixli sifarişiniz qeydə alındı. Sifariş Məbləğı *185 AZN* , Qalıq *185 AZN* . Hörmətlə  *AlumPro*"/>
    <s v="Hörmətli *Mutfakci Maliyye* , sizin *23,12,2024* tarixli  sifarişiniz hazırdır . Bizi seçdiyiniz üçün minnətdarıq. Hörmətlə  *AlumPro*."/>
    <s v="Mutfakci"/>
    <s v="Mutfakci "/>
  </r>
  <r>
    <n v="218"/>
    <s v="*ALUMPRO218*"/>
    <s v="Eli"/>
    <x v="11"/>
    <x v="11"/>
    <s v="994502111355"/>
    <s v="temir"/>
    <s v="45 qara"/>
    <m/>
    <n v="0"/>
    <n v="3"/>
    <n v="69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140"/>
    <n v="0"/>
    <n v="209"/>
    <n v="0"/>
    <n v="0"/>
    <n v="209"/>
    <s v="Mesaj"/>
    <s v="Mesaj"/>
    <s v="Qəbul edilib"/>
    <s v="Təhvil verilib"/>
    <s v="Hörmətli *My Concept*  ,Sizin *23,12,2024* tarixli sifarişiniz qeydə alındı. Sifariş Məbləğı *209 AZN* , Qalıq *209 AZN* . Hörmətlə  *AlumPro*"/>
    <s v="Hörmətli *My Concept* , sizin *23,12,2024* tarixli  sifarişiniz hazırdır . Bizi seçdiyiniz üçün minnətdarıq. Hörmətlə  *AlumPro*."/>
    <s v="My"/>
    <s v="My "/>
  </r>
  <r>
    <n v="217"/>
    <s v="*ALUMPRO217*"/>
    <s v="Eli"/>
    <x v="11"/>
    <x v="62"/>
    <n v="0"/>
    <m/>
    <s v="45 qara"/>
    <m/>
    <n v="0"/>
    <n v="4"/>
    <n v="92"/>
    <s v="boy"/>
    <s v="Tapilmadi"/>
    <n v="3"/>
    <n v="78"/>
    <m/>
    <s v="Tapilmadi"/>
    <n v="0"/>
    <n v="0"/>
    <n v="21"/>
    <s v="Fümə şüşə"/>
    <m/>
    <n v="88"/>
    <m/>
    <s v="Tapilmadi"/>
    <m/>
    <n v="12"/>
    <m/>
    <s v="Tapilmadi"/>
    <n v="1"/>
    <n v="0"/>
    <n v="12"/>
    <n v="45"/>
    <n v="0"/>
    <n v="348"/>
    <n v="0"/>
    <n v="348"/>
    <n v="0"/>
    <s v="Mesaj"/>
    <s v="Mesaj"/>
    <s v="Qəbul edilib"/>
    <s v="Təhvil verilib"/>
    <s v="Hörmətli *Emin Badamdar*  ,Sizin *23,12,2024* tarixli sifarişiniz qeydə alındı. Sifariş Məbləğı *348 AZN* , Qalıq *0 AZN* . Hörmətlə  *AlumPro*"/>
    <s v="Hörmətli *Emin Badamdar* , sizin *23,12,2024* tarixli  sifarişiniz hazırdır . Bizi seçdiyiniz üçün minnətdarıq. Hörmətlə  *AlumPro*."/>
    <s v="Emin"/>
    <s v="Emin "/>
  </r>
  <r>
    <n v="216"/>
    <s v="*ALUMPRO216*"/>
    <s v="Eli"/>
    <x v="11"/>
    <x v="63"/>
    <s v="994507176718"/>
    <m/>
    <s v="45 qara"/>
    <m/>
    <n v="0"/>
    <n v="4"/>
    <n v="92"/>
    <s v="basac"/>
    <s v="Tapilmadi"/>
    <n v="0"/>
    <n v="0"/>
    <m/>
    <s v="Tapilmadi"/>
    <n v="0"/>
    <n v="0"/>
    <n v="12"/>
    <s v="Ağ refle şüşə"/>
    <m/>
    <n v="337"/>
    <m/>
    <s v="Tapilmadi"/>
    <m/>
    <n v="12"/>
    <m/>
    <s v="Tapilmadi"/>
    <n v="1"/>
    <n v="0"/>
    <n v="3"/>
    <n v="45"/>
    <n v="0"/>
    <n v="510"/>
    <n v="0"/>
    <n v="0"/>
    <n v="510"/>
    <s v="Mesaj"/>
    <s v="Mesaj"/>
    <s v="Qəbul edilib"/>
    <s v="Təhvil verilib"/>
    <s v="Hörmətli *Elmar Celal*  ,Sizin *23,12,2024* tarixli sifarişiniz qeydə alındı. Sifariş Məbləğı *510 AZN* , Qalıq *510 AZN* . Hörmətlə  *AlumPro*"/>
    <s v="Hörmətli *Elmar Celal* , sizin *23,12,2024* tarixli  sifarişiniz hazırdır . Bizi seçdiyiniz üçün minnətdarıq. Hörmətlə  *AlumPro*."/>
    <s v="Elmar"/>
    <s v="Elmar "/>
  </r>
  <r>
    <n v="215"/>
    <s v="*ALUMPRO215*"/>
    <s v="Eli"/>
    <x v="11"/>
    <x v="64"/>
    <s v="994554442129"/>
    <s v="L profil 50 azn neqliyata yazilib"/>
    <s v="45 qızılı"/>
    <m/>
    <n v="0"/>
    <n v="3"/>
    <n v="69"/>
    <s v="boy"/>
    <s v="Tapilmadi"/>
    <n v="2"/>
    <n v="52"/>
    <m/>
    <s v="Tapilmadi"/>
    <n v="0"/>
    <n v="0"/>
    <n v="0"/>
    <s v="Qəhvəyi şüşə"/>
    <m/>
    <n v="37"/>
    <m/>
    <s v="Tapilmadi"/>
    <m/>
    <n v="12"/>
    <m/>
    <s v="Tapilmadi"/>
    <n v="1"/>
    <n v="0"/>
    <n v="9"/>
    <n v="45"/>
    <n v="50"/>
    <n v="274"/>
    <n v="0"/>
    <n v="0"/>
    <n v="274"/>
    <s v="Mesaj"/>
    <s v="Mesaj"/>
    <s v="Qəbul edilib"/>
    <s v="Təhvil verilib"/>
    <s v="Hörmətli *Xezer Ideal Mutfak*  ,Sizin *23,12,2024* tarixli sifarişiniz qeydə alındı. Sifariş Məbləğı *274 AZN* , Qalıq *274 AZN* . Hörmətlə  *AlumPro*"/>
    <s v="Hörmətli *Xezer Ideal Mutfak* , sizin *23,12,2024* tarixli  sifarişiniz hazırdır . Bizi seçdiyiniz üçün minnətdarıq. Hörmətlə  *AlumPro*."/>
    <s v="Xezer"/>
    <s v="Xezer "/>
  </r>
  <r>
    <n v="214"/>
    <s v="*ALUMPRO214*"/>
    <s v="Eli"/>
    <x v="11"/>
    <x v="49"/>
    <s v="994503007105"/>
    <m/>
    <s v="2x2 qara"/>
    <m/>
    <n v="0"/>
    <n v="7"/>
    <n v="161"/>
    <s v="boy"/>
    <s v="Tapilmadi"/>
    <n v="4"/>
    <n v="104"/>
    <s v="2x2  düz"/>
    <s v="Tapilmadi"/>
    <n v="22"/>
    <n v="88"/>
    <n v="0"/>
    <s v="Qəhvəyi şüşə"/>
    <m/>
    <n v="127"/>
    <m/>
    <s v="Tapilmadi"/>
    <m/>
    <n v="40"/>
    <m/>
    <s v="Tapilmadi"/>
    <n v="1"/>
    <n v="0"/>
    <n v="44"/>
    <n v="75"/>
    <n v="0"/>
    <n v="639"/>
    <n v="0"/>
    <n v="0"/>
    <n v="639"/>
    <s v="Mesaj"/>
    <s v="Mesaj"/>
    <s v="Qəbul edilib"/>
    <s v="Təhvil verilib"/>
    <s v="Hörmətli *Fuad Cavansir*  ,Sizin *23,12,2024* tarixli sifarişiniz qeydə alındı. Sifariş Məbləğı *639 AZN* , Qalıq *639 AZN* . Hörmətlə  *AlumPro*"/>
    <s v="Hörmətli *Fuad Cavansir* , sizin *23,12,2024* tarixli  sifarişiniz hazırdır . Bizi seçdiyiniz üçün minnətdarıq. Hörmətlə  *AlumPro*."/>
    <s v="Fuad"/>
    <s v="Fuad "/>
  </r>
  <r>
    <n v="213"/>
    <s v="*ALUMPRO213*"/>
    <s v="Eli"/>
    <x v="11"/>
    <x v="16"/>
    <s v="994502390343"/>
    <m/>
    <s v="2x2 qara"/>
    <m/>
    <n v="0"/>
    <n v="7"/>
    <n v="161"/>
    <s v="basac"/>
    <s v="Tapilmadi"/>
    <n v="0"/>
    <n v="0"/>
    <m/>
    <s v="Tapilmadi"/>
    <n v="0"/>
    <n v="0"/>
    <n v="9"/>
    <s v="Adi güzgü "/>
    <m/>
    <n v="192"/>
    <m/>
    <s v="Tapilmadi"/>
    <m/>
    <n v="32"/>
    <m/>
    <s v="Tapilmadi"/>
    <n v="1"/>
    <n v="0"/>
    <n v="0"/>
    <n v="55"/>
    <n v="0"/>
    <n v="440"/>
    <n v="9"/>
    <n v="431"/>
    <n v="0"/>
    <s v="Mesaj"/>
    <s v="Mesaj"/>
    <s v="Qəbul edilib"/>
    <s v="Təhvil verilib"/>
    <s v="Hörmətli *Kandar Palid*  ,Sizin *23,12,2024* tarixli sifarişiniz qeydə alındı. Sifariş Məbləğı *440 AZN* , Qalıq *0 AZN* . Hörmətlə  *AlumPro*"/>
    <s v="Hörmətli *Kandar Palid* , sizin *23,12,2024* tarixli  sifarişiniz hazırdır . Bizi seçdiyiniz üçün minnətdarıq. Hörmətlə  *AlumPro*."/>
    <s v="Kandar"/>
    <s v="Kandar "/>
  </r>
  <r>
    <n v="212"/>
    <s v="*ALUMPRO212*"/>
    <s v="Eli"/>
    <x v="34"/>
    <x v="65"/>
    <s v="994503903930"/>
    <m/>
    <s v="45 qara"/>
    <m/>
    <n v="0"/>
    <n v="2"/>
    <n v="46"/>
    <s v="boy"/>
    <s v="Tapilmadi"/>
    <n v="1"/>
    <n v="26"/>
    <m/>
    <s v="Tapilmadi"/>
    <n v="0"/>
    <n v="0"/>
    <n v="9"/>
    <s v="Fümə şüşə"/>
    <m/>
    <n v="41"/>
    <m/>
    <s v="Tapilmadi"/>
    <m/>
    <n v="4"/>
    <m/>
    <s v="Tapilmadi"/>
    <n v="1"/>
    <n v="0"/>
    <n v="5"/>
    <n v="15"/>
    <n v="0"/>
    <n v="146"/>
    <n v="0"/>
    <n v="146"/>
    <n v="0"/>
    <s v="Mesaj"/>
    <s v="Mesaj"/>
    <s v="Qəbul edilib"/>
    <s v="Təhvil verilib"/>
    <s v="Hörmətli *Rufet Musteri Bineqedi*  ,Sizin *12/27/2024* tarixli sifarişiniz qeydə alındı. Sifariş Məbləğı *146 AZN* , Qalıq *0 AZN* . Hörmətlə  *AlumPro*"/>
    <s v="Hörmətli *Rufet Musteri Bineqedi* , sizin *12/27/2024* tarixli  sifarişiniz hazırdır . Bizi seçdiyiniz üçün minnətdarıq. Hörmətlə  *AlumPro*."/>
    <s v="Rufet"/>
    <s v="Rufet "/>
  </r>
  <r>
    <n v="211"/>
    <s v="*ALUMPRO211*"/>
    <s v="Eli"/>
    <x v="11"/>
    <x v="8"/>
    <s v="994556263636"/>
    <m/>
    <s v="45 qara"/>
    <m/>
    <n v="0"/>
    <n v="2"/>
    <n v="46"/>
    <s v="boy"/>
    <s v="Tapilmadi"/>
    <n v="2"/>
    <n v="52"/>
    <m/>
    <s v="Tapilmadi"/>
    <n v="0"/>
    <n v="0"/>
    <n v="12"/>
    <s v="Fümə şüşə"/>
    <m/>
    <n v="44"/>
    <m/>
    <s v="Tapilmadi"/>
    <m/>
    <n v="8"/>
    <m/>
    <s v="Tapilmadi"/>
    <n v="1"/>
    <n v="0"/>
    <n v="8"/>
    <n v="30"/>
    <n v="0"/>
    <n v="200"/>
    <n v="0"/>
    <n v="200"/>
    <n v="0"/>
    <s v="Mesaj"/>
    <s v="Mesaj"/>
    <s v="Qəbul edilib"/>
    <s v="Təhvil verilib"/>
    <s v="Hörmətli *Samir Gold Wood*  ,Sizin *23,12,2024* tarixli sifarişiniz qeydə alındı. Sifariş Məbləğı *200 AZN* , Qalıq *0 AZN* . Hörmətlə  *AlumPro*"/>
    <s v="Hörmətli *Samir Gold Wood* , sizin *23,12,2024* tarixli  sifarişiniz hazırdır . Bizi seçdiyiniz üçün minnətdarıq. Hörmətlə  *AlumPro*."/>
    <s v="Samir"/>
    <s v="Samir "/>
  </r>
  <r>
    <n v="208"/>
    <s v="*ALUMPRO208*"/>
    <s v="Eli"/>
    <x v="11"/>
    <x v="58"/>
    <s v="9946498358"/>
    <m/>
    <s v="45 qızılı"/>
    <m/>
    <n v="0"/>
    <n v="9"/>
    <n v="207"/>
    <s v="boy"/>
    <s v="Tapilmadi"/>
    <n v="2"/>
    <n v="52"/>
    <m/>
    <s v="Tapilmadi"/>
    <n v="0"/>
    <n v="0"/>
    <n v="0"/>
    <s v="Qəhvəyi şüşə"/>
    <m/>
    <n v="133"/>
    <m/>
    <s v="Tapilmadi"/>
    <m/>
    <n v="32"/>
    <m/>
    <s v="Tapilmadi"/>
    <n v="1"/>
    <n v="0"/>
    <n v="20"/>
    <n v="90"/>
    <n v="0"/>
    <n v="520"/>
    <m/>
    <n v="500"/>
    <n v="20"/>
    <s v="Mesaj"/>
    <s v="Mesaj"/>
    <s v="Qəbul edilib"/>
    <s v="Təhvil verilib"/>
    <s v="Hörmətli *Hikmet Qalib*  ,Sizin *23,12,2024* tarixli sifarişiniz qeydə alındı. Sifariş Məbləğı *520 AZN* , Qalıq *20 AZN* . Hörmətlə  *AlumPro*"/>
    <s v="Hörmətli *Hikmet Qalib* , sizin *23,12,2024* tarixli  sifarişiniz hazırdır . Bizi seçdiyiniz üçün minnətdarıq. Hörmətlə  *AlumPro*."/>
    <s v="Hikmet"/>
    <s v="Hikmet "/>
  </r>
  <r>
    <n v="207"/>
    <s v="*ALUMPRO207*"/>
    <s v="Eli"/>
    <x v="35"/>
    <x v="66"/>
    <n v="0"/>
    <m/>
    <s v="2x2 qara"/>
    <m/>
    <n v="0"/>
    <n v="3"/>
    <n v="69"/>
    <s v="boy"/>
    <s v="Tapilmadi"/>
    <n v="2"/>
    <n v="52"/>
    <m/>
    <s v="Tapilmadi"/>
    <n v="8"/>
    <n v="32"/>
    <n v="0"/>
    <s v="Qara Zerkalni şüşə"/>
    <m/>
    <n v="68"/>
    <m/>
    <s v="Tapilmadi"/>
    <m/>
    <n v="24"/>
    <m/>
    <s v="Tapilmadi"/>
    <n v="1"/>
    <n v="0"/>
    <n v="16"/>
    <n v="45"/>
    <n v="0"/>
    <n v="266"/>
    <n v="0"/>
    <n v="266"/>
    <n v="0"/>
    <s v="Mesaj"/>
    <s v="Mesaj"/>
    <s v="Qəbul edilib"/>
    <s v="Təhvil verilib"/>
    <s v="Hörmətli *Sameddin *  ,Sizin *21,12,2024* tarixli sifarişiniz qeydə alındı. Sifariş Məbləğı *266 AZN* , Qalıq *0 AZN* . Hörmətlə  *AlumPro*"/>
    <s v="Hörmətli *Sameddin * , sizin *21,12,2024* tarixli  sifarişiniz hazırdır . Bizi seçdiyiniz üçün minnətdarıq. Hörmətlə  *AlumPro*."/>
    <s v="Sameddin"/>
    <s v="Sameddin "/>
  </r>
  <r>
    <n v="206"/>
    <s v="*ALUMPRO206*"/>
    <s v="Eli"/>
    <x v="35"/>
    <x v="67"/>
    <n v="0"/>
    <m/>
    <s v="45 qara"/>
    <m/>
    <n v="0"/>
    <n v="1"/>
    <n v="23"/>
    <s v="boy"/>
    <s v="Tapilmadi"/>
    <n v="1"/>
    <n v="26"/>
    <m/>
    <s v="Tapilmadi"/>
    <n v="0"/>
    <n v="0"/>
    <n v="0"/>
    <s v="Şəffaf şüşə"/>
    <m/>
    <n v="18"/>
    <m/>
    <s v="Tapilmadi"/>
    <m/>
    <n v="4"/>
    <m/>
    <s v="Tapilmadi"/>
    <n v="1"/>
    <n v="0"/>
    <n v="3"/>
    <n v="15"/>
    <n v="0"/>
    <n v="89"/>
    <m/>
    <n v="89"/>
    <n v="0"/>
    <s v="Mesaj"/>
    <s v="Mesaj"/>
    <s v="Qəbul edilib"/>
    <s v="Təhvil verilib"/>
    <s v="Hörmətli *Servin*  ,Sizin *21,12,2024* tarixli sifarişiniz qeydə alındı. Sifariş Məbləğı *89 AZN* , Qalıq *0 AZN* . Hörmətlə  *AlumPro*"/>
    <s v="Hörmətli *Servin* , sizin *21,12,2024* tarixli  sifarişiniz hazırdır . Bizi seçdiyiniz üçün minnətdarıq. Hörmətlə  *AlumPro*."/>
    <e v="#VALUE!"/>
    <e v="#VALUE!"/>
  </r>
  <r>
    <n v="205"/>
    <s v="*ALUMPRO205*"/>
    <s v="Eli"/>
    <x v="35"/>
    <x v="67"/>
    <n v="0"/>
    <m/>
    <s v="45 qara"/>
    <m/>
    <n v="0"/>
    <n v="1"/>
    <n v="23"/>
    <s v="boy"/>
    <s v="Tapilmadi"/>
    <n v="1"/>
    <n v="26"/>
    <m/>
    <s v="Tapilmadi"/>
    <n v="10"/>
    <n v="40"/>
    <n v="0"/>
    <s v="Qəhvəyi şüşə"/>
    <m/>
    <n v="62"/>
    <m/>
    <s v="Tapilmadi"/>
    <m/>
    <n v="16"/>
    <m/>
    <s v="Tapilmadi"/>
    <n v="1"/>
    <n v="0"/>
    <n v="20"/>
    <n v="30"/>
    <n v="0"/>
    <n v="217"/>
    <m/>
    <n v="0"/>
    <n v="217"/>
    <s v="Mesaj"/>
    <s v="Mesaj"/>
    <s v="Qəbul edilib"/>
    <s v="Təhvil verilib"/>
    <s v="Hörmətli *Servin*  ,Sizin *21,12,2024* tarixli sifarişiniz qeydə alındı. Sifariş Məbləğı *217 AZN* , Qalıq *217 AZN* . Hörmətlə  *AlumPro*"/>
    <s v="Hörmətli *Servin* , sizin *21,12,2024* tarixli  sifarişiniz hazırdır . Bizi seçdiyiniz üçün minnətdarıq. Hörmətlə  *AlumPro*."/>
    <e v="#VALUE!"/>
    <e v="#VALUE!"/>
  </r>
  <r>
    <n v="204"/>
    <s v="*ALUMPRO204*"/>
    <s v="Eli"/>
    <x v="35"/>
    <x v="68"/>
    <s v="994502104465"/>
    <m/>
    <s v="2x2 qızılı"/>
    <m/>
    <n v="0"/>
    <n v="3"/>
    <n v="69"/>
    <s v="boy"/>
    <s v="Tapilmadi"/>
    <n v="2"/>
    <n v="52"/>
    <s v="2x2  düz"/>
    <s v="Tapilmadi"/>
    <n v="10"/>
    <n v="40"/>
    <n v="0"/>
    <s v="Qəhvəyi şüşə"/>
    <m/>
    <n v="62"/>
    <m/>
    <s v="Tapilmadi"/>
    <m/>
    <n v="16"/>
    <m/>
    <s v="Tapilmadi"/>
    <n v="1"/>
    <n v="0"/>
    <n v="20"/>
    <n v="30"/>
    <n v="0"/>
    <n v="289"/>
    <m/>
    <n v="289"/>
    <n v="0"/>
    <s v="Mesaj"/>
    <s v="Mesaj"/>
    <s v="Qəbul edilib"/>
    <s v="Təhvil verilib"/>
    <s v="Hörmətli *Zaur Nehmetov*  ,Sizin *21,12,2024* tarixli sifarişiniz qeydə alındı. Sifariş Məbləğı *289 AZN* , Qalıq *0 AZN* . Hörmətlə  *AlumPro*"/>
    <s v="Hörmətli *Zaur Nehmetov* , sizin *21,12,2024* tarixli  sifarişiniz hazırdır . Bizi seçdiyiniz üçün minnətdarıq. Hörmətlə  *AlumPro*."/>
    <s v="Zaur"/>
    <s v="Zaur "/>
  </r>
  <r>
    <n v="203"/>
    <s v="*ALUMPRO203*"/>
    <s v="Eli"/>
    <x v="35"/>
    <x v="69"/>
    <n v="0"/>
    <m/>
    <s v="45 qara"/>
    <m/>
    <n v="0"/>
    <n v="3"/>
    <n v="69"/>
    <s v="boy"/>
    <s v="Tapilmadi"/>
    <n v="2"/>
    <n v="52"/>
    <m/>
    <s v="Tapilmadi"/>
    <n v="0"/>
    <n v="0"/>
    <n v="0"/>
    <s v="Şəffaf şüşə"/>
    <m/>
    <n v="33"/>
    <m/>
    <s v="Tapilmadi"/>
    <m/>
    <n v="8"/>
    <m/>
    <s v="Tapilmadi"/>
    <n v="1"/>
    <n v="0"/>
    <n v="8"/>
    <n v="30"/>
    <n v="0"/>
    <n v="200"/>
    <m/>
    <n v="200"/>
    <n v="0"/>
    <s v="Mesaj"/>
    <s v="Mesaj"/>
    <s v="Qəbul edilib"/>
    <s v="Təhvil verilib"/>
    <s v="Hörmətli *Punhan Qebele*  ,Sizin *21,12,2024* tarixli sifarişiniz qeydə alındı. Sifariş Məbləğı *200 AZN* , Qalıq *0 AZN* . Hörmətlə  *AlumPro*"/>
    <s v="Hörmətli *Punhan Qebele* , sizin *21,12,2024* tarixli  sifarişiniz hazırdır . Bizi seçdiyiniz üçün minnətdarıq. Hörmətlə  *AlumPro*."/>
    <s v="Punhan"/>
    <s v="Punhan "/>
  </r>
  <r>
    <n v="202"/>
    <s v="*ALUMPRO202*"/>
    <s v="Eli"/>
    <x v="2"/>
    <x v="70"/>
    <n v="0"/>
    <m/>
    <s v="45 qızılı"/>
    <m/>
    <n v="0"/>
    <n v="3"/>
    <n v="69"/>
    <s v="boy"/>
    <s v="Tapilmadi"/>
    <n v="2"/>
    <n v="52"/>
    <m/>
    <s v="Tapilmadi"/>
    <n v="0"/>
    <n v="0"/>
    <n v="0"/>
    <s v="Qəhvəyi şüşə"/>
    <m/>
    <n v="75"/>
    <m/>
    <s v="Tapilmadi"/>
    <m/>
    <n v="8"/>
    <m/>
    <s v="Tapilmadi"/>
    <n v="1"/>
    <n v="0"/>
    <n v="8"/>
    <n v="30"/>
    <n v="0"/>
    <n v="242"/>
    <m/>
    <n v="242"/>
    <n v="0"/>
    <s v="Mesaj"/>
    <s v="Mesaj"/>
    <s v="Qəbul edilib"/>
    <s v="Təhvil verilib"/>
    <s v="Hörmətli *Zaur Oguz*  ,Sizin *20,12,2024* tarixli sifarişiniz qeydə alındı. Sifariş Məbləğı *242 AZN* , Qalıq *0 AZN* . Hörmətlə  *AlumPro*"/>
    <s v="Hörmətli *Zaur Oguz* , sizin *20,12,2024* tarixli  sifarişiniz hazırdır . Bizi seçdiyiniz üçün minnətdarıq. Hörmətlə  *AlumPro*."/>
    <s v="Zaur"/>
    <s v="Zaur "/>
  </r>
  <r>
    <n v="201"/>
    <s v="*ALUMPRO201*"/>
    <s v="Eli"/>
    <x v="2"/>
    <x v="71"/>
    <s v="994515167423"/>
    <m/>
    <s v="3x3 oval antrasit"/>
    <m/>
    <n v="0"/>
    <n v="6"/>
    <n v="300"/>
    <s v="110 sm"/>
    <s v="Tapilmadi"/>
    <n v="4"/>
    <n v="400"/>
    <m/>
    <s v="Tapilmadi"/>
    <n v="4"/>
    <n v="400"/>
    <n v="0"/>
    <s v="Qara Zerkalni şüşə"/>
    <m/>
    <n v="237"/>
    <m/>
    <s v="Tapilmadi"/>
    <m/>
    <n v="80"/>
    <m/>
    <s v="Tapilmadi"/>
    <n v="1"/>
    <n v="0"/>
    <n v="0"/>
    <n v="200"/>
    <n v="0"/>
    <n v="1617"/>
    <m/>
    <n v="0"/>
    <n v="1617"/>
    <s v="Mesaj"/>
    <s v="Mesaj"/>
    <s v="Qəbul edilib"/>
    <s v="Təhvil verilib"/>
    <s v="Hörmətli *Royal Legno Mebel*  ,Sizin *20,12,2024* tarixli sifarişiniz qeydə alındı. Sifariş Məbləğı *1617 AZN* , Qalıq *1617 AZN* . Hörmətlə  *AlumPro*"/>
    <s v="Hörmətli *Royal Legno Mebel* , sizin *20,12,2024* tarixli  sifarişiniz hazırdır . Bizi seçdiyiniz üçün minnətdarıq. Hörmətlə  *AlumPro*."/>
    <s v="Royal"/>
    <s v="Royal "/>
  </r>
  <r>
    <n v="200"/>
    <s v="*ALUMPRO200*"/>
    <s v="Eli"/>
    <x v="2"/>
    <x v="71"/>
    <s v="994515167423"/>
    <m/>
    <s v="45 açıq antrasit"/>
    <m/>
    <n v="0"/>
    <n v="1"/>
    <n v="23"/>
    <s v="boy"/>
    <s v="Tapilmadi"/>
    <n v="1"/>
    <n v="26"/>
    <m/>
    <s v="Tapilmadi"/>
    <n v="0"/>
    <n v="0"/>
    <n v="0"/>
    <s v="Zerkalni refle şüşə"/>
    <m/>
    <n v="84"/>
    <m/>
    <s v="Tapilmadi"/>
    <m/>
    <n v="4"/>
    <m/>
    <s v="Tapilmadi"/>
    <n v="1"/>
    <n v="0"/>
    <n v="4"/>
    <n v="15"/>
    <n v="0"/>
    <n v="156"/>
    <m/>
    <n v="0"/>
    <n v="156"/>
    <s v="Mesaj"/>
    <s v="Mesaj"/>
    <s v="Qəbul edilib"/>
    <s v="Təhvil verilib"/>
    <s v="Hörmətli *Royal Legno Mebel*  ,Sizin *20,12,2024* tarixli sifarişiniz qeydə alındı. Sifariş Məbləğı *156 AZN* , Qalıq *156 AZN* . Hörmətlə  *AlumPro*"/>
    <s v="Hörmətli *Royal Legno Mebel* , sizin *20,12,2024* tarixli  sifarişiniz hazırdır . Bizi seçdiyiniz üçün minnətdarıq. Hörmətlə  *AlumPro*."/>
    <s v="Royal"/>
    <s v="Royal "/>
  </r>
  <r>
    <n v="199"/>
    <s v="*ALUMPRO199*"/>
    <s v="Eli"/>
    <x v="2"/>
    <x v="71"/>
    <s v="994515167423"/>
    <m/>
    <s v="2x2 qızılı"/>
    <m/>
    <n v="0"/>
    <n v="1"/>
    <n v="23"/>
    <s v="boy"/>
    <s v="Tapilmadi"/>
    <n v="1"/>
    <n v="26"/>
    <s v="2x2  düz"/>
    <s v="Tapilmadi"/>
    <n v="4"/>
    <n v="16"/>
    <n v="0"/>
    <s v="Zerkalni refle şüşə"/>
    <m/>
    <n v="43"/>
    <m/>
    <s v="Tapilmadi"/>
    <m/>
    <n v="8"/>
    <m/>
    <s v="Tapilmadi"/>
    <n v="1"/>
    <n v="0"/>
    <n v="8"/>
    <n v="15"/>
    <n v="0"/>
    <n v="139"/>
    <m/>
    <n v="0"/>
    <n v="139"/>
    <s v="Mesaj"/>
    <s v="Mesaj"/>
    <s v="Qəbul edilib"/>
    <s v="Təhvil verilib"/>
    <s v="Hörmətli *Royal Legno Mebel*  ,Sizin *20,12,2024* tarixli sifarişiniz qeydə alındı. Sifariş Məbləğı *139 AZN* , Qalıq *139 AZN* . Hörmətlə  *AlumPro*"/>
    <s v="Hörmətli *Royal Legno Mebel* , sizin *20,12,2024* tarixli  sifarişiniz hazırdır . Bizi seçdiyiniz üçün minnətdarıq. Hörmətlə  *AlumPro*."/>
    <s v="Royal"/>
    <s v="Royal "/>
  </r>
  <r>
    <n v="198"/>
    <s v="*ALUMPRO198*"/>
    <s v="Eli"/>
    <x v="2"/>
    <x v="71"/>
    <s v="994515167423"/>
    <m/>
    <s v="2x2 qızılı"/>
    <m/>
    <n v="0"/>
    <n v="1"/>
    <n v="23"/>
    <s v="boy"/>
    <s v="Tapilmadi"/>
    <n v="1"/>
    <n v="26"/>
    <s v="2x2  düz"/>
    <s v="Tapilmadi"/>
    <n v="2"/>
    <n v="8"/>
    <n v="0"/>
    <s v="Qəhvəyi şüşə"/>
    <m/>
    <n v="8"/>
    <m/>
    <s v="Tapilmadi"/>
    <m/>
    <n v="8"/>
    <m/>
    <s v="Tapilmadi"/>
    <n v="1"/>
    <n v="0"/>
    <n v="4"/>
    <n v="10"/>
    <n v="0"/>
    <n v="87"/>
    <m/>
    <n v="0"/>
    <n v="87"/>
    <s v="Mesaj"/>
    <s v="Mesaj"/>
    <s v="Qəbul edilib"/>
    <s v="Təhvil verilib"/>
    <s v="Hörmətli *Royal Legno Mebel*  ,Sizin *20,12,2024* tarixli sifarişiniz qeydə alındı. Sifariş Məbləğı *87 AZN* , Qalıq *87 AZN* . Hörmətlə  *AlumPro*"/>
    <s v="Hörmətli *Royal Legno Mebel* , sizin *20,12,2024* tarixli  sifarişiniz hazırdır . Bizi seçdiyiniz üçün minnətdarıq. Hörmətlə  *AlumPro*."/>
    <s v="Royal"/>
    <s v="Royal "/>
  </r>
  <r>
    <n v="197"/>
    <s v="*ALUMPRO197*"/>
    <s v="Eli"/>
    <x v="2"/>
    <x v="72"/>
    <n v="0"/>
    <m/>
    <s v="45 qara"/>
    <m/>
    <n v="0"/>
    <n v="2"/>
    <n v="46"/>
    <s v="basac"/>
    <s v="Tapilmadi"/>
    <n v="0"/>
    <n v="0"/>
    <m/>
    <s v="Tapilmadi"/>
    <n v="0"/>
    <n v="0"/>
    <n v="0"/>
    <s v="Şəffaf şüşə"/>
    <m/>
    <n v="11"/>
    <m/>
    <s v="Tapilmadi"/>
    <m/>
    <n v="4"/>
    <m/>
    <s v="Tapilmadi"/>
    <n v="1"/>
    <n v="0"/>
    <n v="4"/>
    <n v="15"/>
    <n v="0"/>
    <n v="80"/>
    <m/>
    <n v="80"/>
    <n v="0"/>
    <s v="Mesaj"/>
    <s v="Mesaj"/>
    <s v="Qəbul edilib"/>
    <s v="Təhvil verilib"/>
    <s v="Hörmətli *Turan Bayramov*  ,Sizin *20,12,2024* tarixli sifarişiniz qeydə alındı. Sifariş Məbləğı *80 AZN* , Qalıq *0 AZN* . Hörmətlə  *AlumPro*"/>
    <s v="Hörmətli *Turan Bayramov* , sizin *20,12,2024* tarixli  sifarişiniz hazırdır . Bizi seçdiyiniz üçün minnətdarıq. Hörmətlə  *AlumPro*."/>
    <s v="Turan"/>
    <s v="Turan "/>
  </r>
  <r>
    <n v="196"/>
    <s v="*ALUMPRO196*"/>
    <s v="Eli"/>
    <x v="2"/>
    <x v="73"/>
    <s v="994552332387"/>
    <m/>
    <s v="2x2 qızılı"/>
    <m/>
    <n v="0"/>
    <n v="6"/>
    <n v="138"/>
    <s v="boy"/>
    <s v="Tapilmadi"/>
    <n v="4"/>
    <n v="104"/>
    <s v="2x2  düz"/>
    <s v="Tapilmadi"/>
    <n v="20"/>
    <n v="30"/>
    <n v="0"/>
    <s v="Qəhvəyi şüşə"/>
    <m/>
    <n v="128"/>
    <m/>
    <s v="Tapilmadi"/>
    <m/>
    <n v="16"/>
    <m/>
    <s v="Tapilmadi"/>
    <n v="1"/>
    <n v="0"/>
    <n v="20"/>
    <n v="60"/>
    <n v="0"/>
    <n v="496"/>
    <m/>
    <n v="96"/>
    <n v="400"/>
    <s v="Mesaj"/>
    <s v="Mesaj"/>
    <s v="Qəbul edilib"/>
    <s v="Təhvil verilib"/>
    <s v="Hörmətli *Zakir Bmw Servis*  ,Sizin *20,12,2024* tarixli sifarişiniz qeydə alındı. Sifariş Məbləğı *496 AZN* , Qalıq *400 AZN* . Hörmətlə  *AlumPro*"/>
    <s v="Hörmətli *Zakir Bmw Servis* , sizin *20,12,2024* tarixli  sifarişiniz hazırdır . Bizi seçdiyiniz üçün minnətdarıq. Hörmətlə  *AlumPro*."/>
    <s v="Zakir"/>
    <s v="Zakir "/>
  </r>
  <r>
    <n v="195"/>
    <s v="*ALUMPRO195*"/>
    <s v="Eli"/>
    <x v="2"/>
    <x v="73"/>
    <s v="994552332387"/>
    <m/>
    <s v="2x2 qara"/>
    <m/>
    <n v="0"/>
    <n v="3"/>
    <n v="69"/>
    <s v="boy"/>
    <s v="Tapilmadi"/>
    <n v="2"/>
    <n v="52"/>
    <s v="2x2  düz"/>
    <s v="Tapilmadi"/>
    <n v="10"/>
    <n v="15"/>
    <n v="0"/>
    <s v="Fümə şüşə"/>
    <m/>
    <n v="59"/>
    <m/>
    <s v="Tapilmadi"/>
    <m/>
    <n v="8"/>
    <m/>
    <s v="Tapilmadi"/>
    <n v="1"/>
    <n v="0"/>
    <n v="10"/>
    <n v="30"/>
    <n v="0"/>
    <n v="243"/>
    <m/>
    <n v="244"/>
    <n v="-1"/>
    <s v="Mesaj"/>
    <s v="Mesaj"/>
    <s v="Qəbul edilib"/>
    <s v="Təhvil verilib"/>
    <s v="Hörmətli *Zakir Bmw Servis*  ,Sizin *20,12,2024* tarixli sifarişiniz qeydə alındı. Sifariş Məbləğı *243 AZN* , Qalıq *-1 AZN* . Hörmətlə  *AlumPro*"/>
    <s v="Hörmətli *Zakir Bmw Servis* , sizin *20,12,2024* tarixli  sifarişiniz hazırdır . Bizi seçdiyiniz üçün minnətdarıq. Hörmətlə  *AlumPro*."/>
    <s v="Zakir"/>
    <s v="Zakir "/>
  </r>
  <r>
    <n v="194"/>
    <s v="*ALUMPRO194*"/>
    <s v="Eli"/>
    <x v="36"/>
    <x v="74"/>
    <s v="994709008920"/>
    <s v="endirim 67 azn qaliq 1400"/>
    <s v="2x2 qara"/>
    <m/>
    <n v="0"/>
    <n v="14"/>
    <n v="322"/>
    <s v="boy"/>
    <s v="Tapilmadi"/>
    <n v="14"/>
    <n v="260"/>
    <s v="2x2  düz"/>
    <s v="Tapilmadi"/>
    <n v="46"/>
    <n v="184"/>
    <n v="0"/>
    <s v="Adi güzgü "/>
    <m/>
    <n v="1156"/>
    <m/>
    <s v="Tapilmadi"/>
    <m/>
    <n v="88"/>
    <m/>
    <s v="Tapilmadi"/>
    <n v="1"/>
    <n v="0"/>
    <n v="92"/>
    <n v="165"/>
    <n v="0"/>
    <n v="2267"/>
    <m/>
    <n v="2267"/>
    <n v="0"/>
    <s v="Mesaj"/>
    <s v="Mesaj"/>
    <s v="Qəbul edilib"/>
    <s v="Təhvil verilib"/>
    <s v="Hörmətli *Ismayil Ismayilov Zevna*  ,Sizin *19,12,2024* tarixli sifarişiniz qeydə alındı. Sifariş Məbləğı *2267 AZN* , Qalıq *0 AZN* . Hörmətlə  *AlumPro*"/>
    <s v="Hörmətli *Ismayil Ismayilov Zevna* , sizin *19,12,2024* tarixli  sifarişiniz hazırdır . Bizi seçdiyiniz üçün minnətdarıq. Hörmətlə  *AlumPro*."/>
    <s v="Ismayil"/>
    <s v="Ismayil "/>
  </r>
  <r>
    <n v="193"/>
    <s v="*ALUMPRO193*"/>
    <s v="Eli"/>
    <x v="36"/>
    <x v="75"/>
    <s v="070-299-02-32"/>
    <m/>
    <s v="2x2 qara"/>
    <m/>
    <n v="0"/>
    <n v="17"/>
    <n v="391"/>
    <s v="boy"/>
    <s v="Tapilmadi"/>
    <n v="11"/>
    <n v="286"/>
    <s v="2x2  düz"/>
    <s v="Tapilmadi"/>
    <n v="56"/>
    <n v="224"/>
    <n v="0"/>
    <s v=" Temp Şəffaf şüşə"/>
    <m/>
    <n v="380"/>
    <m/>
    <s v="Tapilmadi"/>
    <m/>
    <n v="128"/>
    <m/>
    <s v="Tapilmadi"/>
    <n v="1"/>
    <n v="0"/>
    <n v="112"/>
    <n v="200"/>
    <n v="0"/>
    <n v="1721"/>
    <m/>
    <n v="1000"/>
    <n v="721"/>
    <s v="Mesaj"/>
    <s v="Mesaj"/>
    <s v="Qəbul edilib"/>
    <s v="Təhvil verilib"/>
    <s v="Hörmətli *Niyameddin Bayramov*  ,Sizin *19,12,2024* tarixli sifarişiniz qeydə alındı. Sifariş Məbləğı *1721 AZN* , Qalıq *721 AZN* . Hörmətlə  *AlumPro*"/>
    <s v="Hörmətli *Niyameddin Bayramov* , sizin *19,12,2024* tarixli  sifarişiniz hazırdır . Bizi seçdiyiniz üçün minnətdarıq. Hörmətlə  *AlumPro*."/>
    <s v="Niyameddin"/>
    <s v="Niyameddin "/>
  </r>
  <r>
    <n v="192"/>
    <s v="*ALUMPRO192*"/>
    <s v="Eli"/>
    <x v="12"/>
    <x v="58"/>
    <s v="9946498358"/>
    <m/>
    <s v="45 qızılı"/>
    <m/>
    <n v="0"/>
    <n v="7"/>
    <n v="161"/>
    <s v="boy"/>
    <s v="Tapilmadi"/>
    <n v="5"/>
    <n v="130"/>
    <m/>
    <s v="Tapilmadi"/>
    <n v="0"/>
    <n v="0"/>
    <n v="0"/>
    <s v="Adi güzgü "/>
    <m/>
    <n v="273"/>
    <m/>
    <s v="Tapilmadi"/>
    <m/>
    <n v="20"/>
    <m/>
    <s v="Tapilmadi"/>
    <n v="1"/>
    <n v="0"/>
    <n v="25"/>
    <n v="75"/>
    <n v="0"/>
    <n v="684"/>
    <n v="34"/>
    <n v="650"/>
    <n v="0"/>
    <s v="Mesaj"/>
    <s v="Mesaj"/>
    <s v="Qəbul edilib"/>
    <s v="Təhvil verilib"/>
    <s v="Hörmətli *Hikmet Qalib*  ,Sizin *18,12,2024* tarixli sifarişiniz qeydə alındı. Sifariş Məbləğı *684 AZN* , Qalıq *0 AZN* . Hörmətlə  *AlumPro*"/>
    <s v="Hörmətli *Hikmet Qalib* , sizin *18,12,2024* tarixli  sifarişiniz hazırdır . Bizi seçdiyiniz üçün minnətdarıq. Hörmətlə  *AlumPro*."/>
    <s v="Hikmet"/>
    <s v="Hikmet "/>
  </r>
  <r>
    <n v="191"/>
    <s v="*ALUMPRO191*"/>
    <s v="Eli"/>
    <x v="12"/>
    <x v="76"/>
    <s v="055-515-14-48"/>
    <m/>
    <s v="45 qara"/>
    <m/>
    <n v="0"/>
    <n v="14"/>
    <n v="322"/>
    <s v="boy"/>
    <s v="Tapilmadi"/>
    <n v="10"/>
    <n v="260"/>
    <m/>
    <s v="Tapilmadi"/>
    <n v="0"/>
    <n v="0"/>
    <n v="53"/>
    <s v="Qəhvəyi şüşə"/>
    <m/>
    <n v="385"/>
    <m/>
    <s v="Tapilmadi"/>
    <m/>
    <n v="40"/>
    <m/>
    <s v="Tapilmadi"/>
    <n v="1"/>
    <n v="0"/>
    <n v="40"/>
    <n v="150"/>
    <n v="0"/>
    <n v="1250"/>
    <m/>
    <n v="1250"/>
    <n v="0"/>
    <s v="Mesaj"/>
    <s v="Mesaj"/>
    <s v="Qəbul edilib"/>
    <s v="Təhvil verilib"/>
    <s v="Hörmətli *Geray Memmedov*  ,Sizin *18,12,2024* tarixli sifarişiniz qeydə alındı. Sifariş Məbləğı *1250 AZN* , Qalıq *0 AZN* . Hörmətlə  *AlumPro*"/>
    <s v="Hörmətli *Geray Memmedov* , sizin *18,12,2024* tarixli  sifarişiniz hazırdır . Bizi seçdiyiniz üçün minnətdarıq. Hörmətlə  *AlumPro*."/>
    <s v="Geray"/>
    <s v="Geray "/>
  </r>
  <r>
    <n v="190"/>
    <s v="*ALUMPRO190*"/>
    <s v="Eli"/>
    <x v="12"/>
    <x v="62"/>
    <n v="0"/>
    <m/>
    <s v="45 qara"/>
    <m/>
    <n v="0"/>
    <n v="17"/>
    <n v="391"/>
    <s v="boy"/>
    <s v="Tapilmadi"/>
    <n v="12"/>
    <n v="312"/>
    <m/>
    <s v="Tapilmadi"/>
    <n v="0"/>
    <n v="0"/>
    <n v="87"/>
    <s v="Fümə şüşə"/>
    <m/>
    <n v="473"/>
    <m/>
    <s v="Tapilmadi"/>
    <m/>
    <n v="48"/>
    <m/>
    <s v="Tapilmadi"/>
    <n v="1"/>
    <n v="0"/>
    <n v="60"/>
    <n v="180"/>
    <n v="0"/>
    <n v="1551"/>
    <m/>
    <n v="1551"/>
    <n v="0"/>
    <s v="Mesaj"/>
    <s v="Mesaj"/>
    <s v="Qəbul edilib"/>
    <s v="Təhvil verilib"/>
    <s v="Hörmətli *Emin Badamdar*  ,Sizin *18,12,2024* tarixli sifarişiniz qeydə alındı. Sifariş Məbləğı *1551 AZN* , Qalıq *0 AZN* . Hörmətlə  *AlumPro*"/>
    <s v="Hörmətli *Emin Badamdar* , sizin *18,12,2024* tarixli  sifarişiniz hazırdır . Bizi seçdiyiniz üçün minnətdarıq. Hörmətlə  *AlumPro*."/>
    <s v="Emin"/>
    <s v="Emin "/>
  </r>
  <r>
    <n v="189"/>
    <s v="*ALUMPRO189*"/>
    <s v="Eli"/>
    <x v="37"/>
    <x v="2"/>
    <s v="994504996970"/>
    <m/>
    <s v="2x2 qara"/>
    <m/>
    <n v="0"/>
    <n v="4"/>
    <n v="92"/>
    <s v="boy"/>
    <s v="Tapilmadi"/>
    <n v="4"/>
    <n v="104"/>
    <s v="2x2  düz"/>
    <s v="Tapilmadi"/>
    <n v="8"/>
    <n v="32"/>
    <n v="0"/>
    <s v="Qəhvəyi şüşə"/>
    <m/>
    <n v="64"/>
    <m/>
    <s v="Tapilmadi"/>
    <m/>
    <n v="32"/>
    <m/>
    <s v="Tapilmadi"/>
    <n v="1"/>
    <n v="0"/>
    <n v="16"/>
    <n v="60"/>
    <n v="0"/>
    <n v="400"/>
    <m/>
    <n v="400"/>
    <n v="0"/>
    <s v="Mesaj"/>
    <s v="Mesaj"/>
    <s v="Qəbul edilib"/>
    <s v="Təhvil verilib"/>
    <s v="Hörmətli *Ehed Qorizont*  ,Sizin *17,12,2024* tarixli sifarişiniz qeydə alındı. Sifariş Məbləğı *400 AZN* , Qalıq *0 AZN* . Hörmətlə  *AlumPro*"/>
    <s v="Hörmətli *Ehed Qorizont* , sizin *17,12,2024* tarixli  sifarişiniz hazırdır . Bizi seçdiyiniz üçün minnətdarıq. Hörmətlə  *AlumPro*."/>
    <s v="Ehed"/>
    <s v="Ehed "/>
  </r>
  <r>
    <n v="188"/>
    <s v="*ALUMPRO188*"/>
    <s v="Eli"/>
    <x v="37"/>
    <x v="77"/>
    <n v="0"/>
    <s v="endirim 52 azn"/>
    <s v="2x2 qara"/>
    <m/>
    <n v="0"/>
    <n v="4"/>
    <n v="92"/>
    <s v="basac"/>
    <s v="Tapilmadi"/>
    <n v="0"/>
    <n v="0"/>
    <s v="2x2  düz"/>
    <s v="Tapilmadi"/>
    <n v="6"/>
    <n v="24"/>
    <n v="0"/>
    <s v="Ağ refle şüşə"/>
    <m/>
    <n v="378"/>
    <m/>
    <s v="Tapilmadi"/>
    <m/>
    <n v="16"/>
    <m/>
    <s v="Tapilmadi"/>
    <n v="1"/>
    <n v="0"/>
    <n v="12"/>
    <n v="30"/>
    <n v="0"/>
    <n v="552"/>
    <m/>
    <n v="552"/>
    <n v="0"/>
    <s v="Mesaj"/>
    <s v="Mesaj"/>
    <s v="Qəbul edilib"/>
    <s v="Təhvil verilib"/>
    <s v="Hörmətli *Elsen Eldizayn*  ,Sizin *17,12,2024* tarixli sifarişiniz qeydə alındı. Sifariş Məbləğı *552 AZN* , Qalıq *0 AZN* . Hörmətlə  *AlumPro*"/>
    <s v="Hörmətli *Elsen Eldizayn* , sizin *17,12,2024* tarixli  sifarişiniz hazırdır . Bizi seçdiyiniz üçün minnətdarıq. Hörmətlə  *AlumPro*."/>
    <s v="Elsen"/>
    <s v="Elsen "/>
  </r>
  <r>
    <n v="187"/>
    <s v="*ALUMPRO187*"/>
    <s v="Eli"/>
    <x v="38"/>
    <x v="78"/>
    <s v="0558993386"/>
    <m/>
    <s v="2x2 qara"/>
    <m/>
    <n v="0"/>
    <n v="2"/>
    <n v="46"/>
    <s v="basac"/>
    <s v="Tapilmadi"/>
    <n v="0"/>
    <n v="0"/>
    <s v="2x2  düz"/>
    <s v="Tapilmadi"/>
    <n v="4"/>
    <n v="16"/>
    <n v="0"/>
    <s v="Qəhvəyi zerkalni şüşə"/>
    <m/>
    <n v="68"/>
    <m/>
    <s v="Tapilmadi"/>
    <m/>
    <n v="8"/>
    <m/>
    <s v="Tapilmadi"/>
    <n v="1"/>
    <n v="0"/>
    <n v="8"/>
    <n v="15"/>
    <n v="0"/>
    <n v="161"/>
    <m/>
    <n v="161"/>
    <n v="0"/>
    <s v="Mesaj"/>
    <s v="Mesaj"/>
    <s v="Qəbul edilib"/>
    <s v="Təhvil verilib"/>
    <s v="Hörmətli *Qadir Ceferov*  ,Sizin *16,12,2024* tarixli sifarişiniz qeydə alındı. Sifariş Məbləğı *161 AZN* , Qalıq *0 AZN* . Hörmətlə  *AlumPro*"/>
    <s v="Hörmətli *Qadir Ceferov* , sizin *16,12,2024* tarixli  sifarişiniz hazırdır . Bizi seçdiyiniz üçün minnətdarıq. Hörmətlə  *AlumPro*."/>
    <s v="Qadir"/>
    <s v="Qadir "/>
  </r>
  <r>
    <n v="186"/>
    <s v="*ALUMPRO186*"/>
    <s v="Eli"/>
    <x v="38"/>
    <x v="31"/>
    <s v="994775015642"/>
    <m/>
    <s v="45 qara"/>
    <m/>
    <n v="0"/>
    <n v="5"/>
    <n v="115"/>
    <s v="boy"/>
    <s v="Tapilmadi"/>
    <n v="4"/>
    <n v="104"/>
    <m/>
    <s v="Tapilmadi"/>
    <n v="0"/>
    <n v="0"/>
    <n v="27"/>
    <s v="Fümə şüşə"/>
    <m/>
    <n v="163"/>
    <m/>
    <s v="Tapilmadi"/>
    <m/>
    <n v="16"/>
    <m/>
    <s v="Tapilmadi"/>
    <n v="1"/>
    <n v="0"/>
    <n v="20"/>
    <n v="60"/>
    <n v="0"/>
    <n v="505"/>
    <m/>
    <n v="505"/>
    <n v="0"/>
    <s v="Mesaj"/>
    <s v="Mesaj"/>
    <s v="Qəbul edilib"/>
    <s v="Təhvil verilib"/>
    <s v="Hörmətli *Muxtar Fierro*  ,Sizin *16,12,2024* tarixli sifarişiniz qeydə alındı. Sifariş Məbləğı *505 AZN* , Qalıq *0 AZN* . Hörmətlə  *AlumPro*"/>
    <s v="Hörmətli *Muxtar Fierro* , sizin *16,12,2024* tarixli  sifarişiniz hazırdır . Bizi seçdiyiniz üçün minnətdarıq. Hörmətlə  *AlumPro*."/>
    <s v="Muxtar"/>
    <s v="Muxtar "/>
  </r>
  <r>
    <n v="185"/>
    <s v="*ALUMPRO185*"/>
    <s v="Eli"/>
    <x v="38"/>
    <x v="79"/>
    <n v="0"/>
    <m/>
    <s v="45 qara"/>
    <m/>
    <n v="0"/>
    <n v="4"/>
    <n v="92"/>
    <s v="boy"/>
    <s v="Tapilmadi"/>
    <n v="3"/>
    <n v="75"/>
    <m/>
    <s v="Tapilmadi"/>
    <n v="0"/>
    <n v="0"/>
    <n v="21"/>
    <s v="Fümə şüşə"/>
    <m/>
    <n v="63"/>
    <m/>
    <s v="Tapilmadi"/>
    <m/>
    <n v="12"/>
    <m/>
    <s v="Tapilmadi"/>
    <n v="1"/>
    <n v="0"/>
    <n v="12"/>
    <n v="45"/>
    <n v="0"/>
    <n v="320"/>
    <m/>
    <n v="320"/>
    <n v="0"/>
    <s v="Mesaj"/>
    <s v="Mesaj"/>
    <s v="Qəbul edilib"/>
    <s v="Təhvil verilib"/>
    <s v="Hörmətli *Tural Punhan*  ,Sizin *16,12,2024* tarixli sifarişiniz qeydə alındı. Sifariş Məbləğı *320 AZN* , Qalıq *0 AZN* . Hörmətlə  *AlumPro*"/>
    <s v="Hörmətli *Tural Punhan* , sizin *16,12,2024* tarixli  sifarişiniz hazırdır . Bizi seçdiyiniz üçün minnətdarıq. Hörmətlə  *AlumPro*."/>
    <s v="Tural"/>
    <s v="Tural "/>
  </r>
  <r>
    <n v="184"/>
    <s v="*ALUMPRO184*"/>
    <s v="Eli"/>
    <x v="38"/>
    <x v="11"/>
    <s v="994502111355"/>
    <m/>
    <s v="45 qara"/>
    <m/>
    <n v="0"/>
    <n v="6"/>
    <n v="138"/>
    <s v="boy"/>
    <s v="Tapilmadi"/>
    <n v="4"/>
    <n v="104"/>
    <m/>
    <s v="Tapilmadi"/>
    <n v="0"/>
    <n v="0"/>
    <n v="30"/>
    <s v="Fümə şüşə"/>
    <m/>
    <n v="127"/>
    <m/>
    <s v="Tapilmadi"/>
    <m/>
    <n v="16"/>
    <m/>
    <s v="Tapilmadi"/>
    <n v="1"/>
    <n v="0"/>
    <n v="16"/>
    <n v="60"/>
    <n v="0"/>
    <n v="491"/>
    <m/>
    <n v="0"/>
    <n v="491"/>
    <s v="Mesaj"/>
    <s v="Mesaj"/>
    <s v="Qəbul edilib"/>
    <s v="Təhvil verilib"/>
    <s v="Hörmətli *My Concept*  ,Sizin *16,12,2024* tarixli sifarişiniz qeydə alındı. Sifariş Məbləğı *491 AZN* , Qalıq *491 AZN* . Hörmətlə  *AlumPro*"/>
    <s v="Hörmətli *My Concept* , sizin *16,12,2024* tarixli  sifarişiniz hazırdır . Bizi seçdiyiniz üçün minnətdarıq. Hörmətlə  *AlumPro*."/>
    <s v="My"/>
    <s v="My "/>
  </r>
  <r>
    <n v="183"/>
    <s v="*ALUMPRO183*"/>
    <s v="Eli"/>
    <x v="38"/>
    <x v="80"/>
    <s v="994558314948"/>
    <m/>
    <s v="2x2 qızılı"/>
    <m/>
    <n v="0"/>
    <n v="2"/>
    <n v="46"/>
    <s v="boy"/>
    <s v="Tapilmadi"/>
    <n v="2"/>
    <n v="52"/>
    <s v="2x2  düz"/>
    <s v="Tapilmadi"/>
    <n v="8"/>
    <n v="32"/>
    <n v="0"/>
    <s v="Şəffaf şüşə"/>
    <m/>
    <n v="31"/>
    <m/>
    <s v="Tapilmadi"/>
    <m/>
    <n v="16"/>
    <m/>
    <s v="Tapilmadi"/>
    <n v="1"/>
    <n v="0"/>
    <n v="16"/>
    <n v="30"/>
    <n v="0"/>
    <n v="223"/>
    <m/>
    <n v="223"/>
    <n v="0"/>
    <s v="Mesaj"/>
    <s v="Mesaj"/>
    <s v="Qəbul edilib"/>
    <s v="Təhvil verilib"/>
    <s v="Hörmətli *Ebulfez Qasımzade*  ,Sizin *16,12,2024* tarixli sifarişiniz qeydə alındı. Sifariş Məbləğı *223 AZN* , Qalıq *0 AZN* . Hörmətlə  *AlumPro*"/>
    <s v="Hörmətli *Ebulfez Qasımzade* , sizin *16,12,2024* tarixli  sifarişiniz hazırdır . Bizi seçdiyiniz üçün minnətdarıq. Hörmətlə  *AlumPro*."/>
    <s v="Ebulfez"/>
    <s v="Ebulfez "/>
  </r>
  <r>
    <n v="182"/>
    <s v="*ALUMPRO182*"/>
    <s v="Eli"/>
    <x v="38"/>
    <x v="81"/>
    <n v="0"/>
    <m/>
    <s v="45 qızılı"/>
    <m/>
    <n v="0"/>
    <n v="8"/>
    <n v="184"/>
    <s v="boy"/>
    <s v="Tapilmadi"/>
    <n v="4"/>
    <n v="104"/>
    <m/>
    <s v="Tapilmadi"/>
    <n v="0"/>
    <n v="0"/>
    <n v="0"/>
    <s v="Qəhvəyi şüşə"/>
    <m/>
    <n v="125"/>
    <m/>
    <s v="Tapilmadi"/>
    <m/>
    <n v="16"/>
    <m/>
    <s v="Tapilmadi"/>
    <n v="1"/>
    <n v="0"/>
    <n v="16"/>
    <n v="80"/>
    <n v="175"/>
    <n v="700"/>
    <m/>
    <n v="700"/>
    <n v="0"/>
    <s v="Mesaj"/>
    <s v="Mesaj"/>
    <s v="Qəbul edilib"/>
    <s v="Təhvil verilib"/>
    <s v="Hörmətli *Ceyhun Kaktus*  ,Sizin *16,12,2024* tarixli sifarişiniz qeydə alındı. Sifariş Məbləğı *700 AZN* , Qalıq *0 AZN* . Hörmətlə  *AlumPro*"/>
    <s v="Hörmətli *Ceyhun Kaktus* , sizin *16,12,2024* tarixli  sifarişiniz hazırdır . Bizi seçdiyiniz üçün minnətdarıq. Hörmətlə  *AlumPro*."/>
    <s v="Ceyhun"/>
    <s v="Ceyhun "/>
  </r>
  <r>
    <n v="181"/>
    <s v="*ALUMPRO181*"/>
    <s v="Eli"/>
    <x v="38"/>
    <x v="10"/>
    <n v="0"/>
    <m/>
    <s v="45 qızılı"/>
    <m/>
    <n v="0"/>
    <n v="3"/>
    <n v="69"/>
    <s v="boy"/>
    <s v="Tapilmadi"/>
    <n v="2"/>
    <n v="52"/>
    <m/>
    <s v="Tapilmadi"/>
    <n v="0"/>
    <n v="0"/>
    <n v="0"/>
    <m/>
    <m/>
    <n v="0"/>
    <m/>
    <s v="Tapilmadi"/>
    <m/>
    <n v="8"/>
    <m/>
    <s v="Tapilmadi"/>
    <n v="1"/>
    <n v="0"/>
    <n v="8"/>
    <n v="30"/>
    <n v="0"/>
    <n v="167"/>
    <m/>
    <n v="167"/>
    <n v="0"/>
    <s v="Mesaj"/>
    <s v="Mesaj"/>
    <s v="Qəbul edilib"/>
    <s v="Təhvil verilib"/>
    <s v="Hörmətli *Celal Alumpro*  ,Sizin *16,12,2024* tarixli sifarişiniz qeydə alındı. Sifariş Məbləğı *167 AZN* , Qalıq *0 AZN* . Hörmətlə  *AlumPro*"/>
    <s v="Hörmətli *Celal Alumpro* , sizin *16,12,2024* tarixli  sifarişiniz hazırdır . Bizi seçdiyiniz üçün minnətdarıq. Hörmətlə  *AlumPro*."/>
    <s v="Celal"/>
    <s v="Celal "/>
  </r>
  <r>
    <n v="180"/>
    <s v="*ALUMPRO180*"/>
    <s v="Eli"/>
    <x v="38"/>
    <x v="82"/>
    <n v="0"/>
    <m/>
    <s v="45 qara"/>
    <m/>
    <n v="0"/>
    <n v="3"/>
    <n v="69"/>
    <s v="boy"/>
    <s v="Tapilmadi"/>
    <n v="2"/>
    <n v="52"/>
    <m/>
    <s v="Tapilmadi"/>
    <n v="0"/>
    <n v="0"/>
    <n v="15"/>
    <s v="Fümə şüşə"/>
    <m/>
    <n v="45"/>
    <m/>
    <s v="Tapilmadi"/>
    <m/>
    <n v="8"/>
    <m/>
    <s v="Tapilmadi"/>
    <n v="1"/>
    <n v="0"/>
    <n v="10"/>
    <n v="30"/>
    <n v="0"/>
    <n v="229"/>
    <m/>
    <n v="230"/>
    <n v="-1"/>
    <s v="Mesaj"/>
    <s v="Mesaj"/>
    <s v="Qəbul edilib"/>
    <s v="Təhvil verilib"/>
    <s v="Hörmətli *Xeyyam Insallahoglu*  ,Sizin *16,12,2024* tarixli sifarişiniz qeydə alındı. Sifariş Məbləğı *229 AZN* , Qalıq *-1 AZN* . Hörmətlə  *AlumPro*"/>
    <s v="Hörmətli *Xeyyam Insallahoglu* , sizin *16,12,2024* tarixli  sifarişiniz hazırdır . Bizi seçdiyiniz üçün minnətdarıq. Hörmətlə  *AlumPro*."/>
    <s v="Xeyyam"/>
    <s v="Xeyyam "/>
  </r>
  <r>
    <n v="179"/>
    <s v="*ALUMPRO179*"/>
    <s v="Eli"/>
    <x v="38"/>
    <x v="14"/>
    <s v="994772775177"/>
    <m/>
    <s v="45 qara"/>
    <m/>
    <n v="0"/>
    <n v="5"/>
    <n v="115"/>
    <s v="boy"/>
    <s v="Tapilmadi"/>
    <n v="4"/>
    <n v="104"/>
    <m/>
    <s v="Tapilmadi"/>
    <n v="0"/>
    <n v="0"/>
    <n v="27"/>
    <s v="Fümə şüşə"/>
    <m/>
    <n v="114"/>
    <m/>
    <s v="Tapilmadi"/>
    <m/>
    <n v="16"/>
    <m/>
    <s v="Tapilmadi"/>
    <n v="1"/>
    <n v="0"/>
    <n v="16"/>
    <n v="60"/>
    <n v="0"/>
    <n v="452"/>
    <n v="2"/>
    <n v="450"/>
    <n v="0"/>
    <s v="Mesaj"/>
    <s v="Mesaj"/>
    <s v="Qəbul edilib"/>
    <s v="Təhvil verilib"/>
    <s v="Hörmətli *Aksin Mahmudov*  ,Sizin *16,12,2024* tarixli sifarişiniz qeydə alındı. Sifariş Məbləğı *452 AZN* , Qalıq *0 AZN* . Hörmətlə  *AlumPro*"/>
    <s v="Hörmətli *Aksin Mahmudov* , sizin *16,12,2024* tarixli  sifarişiniz hazırdır . Bizi seçdiyiniz üçün minnətdarıq. Hörmətlə  *AlumPro*."/>
    <s v="Aksin"/>
    <s v="Aksin "/>
  </r>
  <r>
    <n v="178"/>
    <s v="*ALUMPRO178*"/>
    <s v="Eli"/>
    <x v="38"/>
    <x v="83"/>
    <s v="994555072361"/>
    <m/>
    <s v="2x2 qara"/>
    <m/>
    <n v="0"/>
    <n v="2"/>
    <n v="46"/>
    <s v="boy"/>
    <s v="Tapilmadi"/>
    <n v="2"/>
    <n v="52"/>
    <s v="2x2  düz"/>
    <s v="Tapilmadi"/>
    <n v="6"/>
    <n v="24"/>
    <n v="0"/>
    <s v="Qara Zerkalni şüşə"/>
    <m/>
    <n v="65"/>
    <m/>
    <s v="Tapilmadi"/>
    <m/>
    <n v="16"/>
    <m/>
    <s v="Tapilmadi"/>
    <n v="1"/>
    <n v="0"/>
    <n v="12"/>
    <n v="30"/>
    <n v="0"/>
    <n v="245"/>
    <m/>
    <n v="245"/>
    <n v="0"/>
    <s v="Mesaj"/>
    <s v="Mesaj"/>
    <s v="Qəbul edilib"/>
    <s v="Təhvil verilib"/>
    <s v="Hörmətli *Aksin Hesenov*  ,Sizin *16,12,2024* tarixli sifarişiniz qeydə alındı. Sifariş Məbləğı *245 AZN* , Qalıq *0 AZN* . Hörmətlə  *AlumPro*"/>
    <s v="Hörmətli *Aksin Hesenov* , sizin *16,12,2024* tarixli  sifarişiniz hazırdır . Bizi seçdiyiniz üçün minnətdarıq. Hörmətlə  *AlumPro*."/>
    <s v="Aksin"/>
    <s v="Aksin "/>
  </r>
  <r>
    <n v="177"/>
    <s v="*ALUMPRO177*"/>
    <s v="Eli"/>
    <x v="38"/>
    <x v="24"/>
    <s v="994554895908"/>
    <m/>
    <s v="45 qara"/>
    <m/>
    <n v="0"/>
    <n v="2"/>
    <n v="46"/>
    <s v="basac"/>
    <s v="Tapilmadi"/>
    <n v="0"/>
    <n v="0"/>
    <m/>
    <s v="Tapilmadi"/>
    <n v="0"/>
    <n v="0"/>
    <n v="6"/>
    <s v="Fümə şüşə"/>
    <m/>
    <n v="15"/>
    <m/>
    <s v="Tapilmadi"/>
    <m/>
    <n v="8"/>
    <m/>
    <s v="Tapilmadi"/>
    <n v="1"/>
    <n v="0"/>
    <n v="4"/>
    <n v="20"/>
    <n v="0"/>
    <n v="99"/>
    <m/>
    <n v="100"/>
    <n v="-1"/>
    <s v="Mesaj"/>
    <s v="Mesaj"/>
    <s v="Qəbul edilib"/>
    <s v="Təhvil verilib"/>
    <s v="Hörmətli *Mansur Aliyev*  ,Sizin *16,12,2024* tarixli sifarişiniz qeydə alındı. Sifariş Məbləğı *99 AZN* , Qalıq *-1 AZN* . Hörmətlə  *AlumPro*"/>
    <s v="Hörmətli *Mansur Aliyev* , sizin *16,12,2024* tarixli  sifarişiniz hazırdır . Bizi seçdiyiniz üçün minnətdarıq. Hörmətlə  *AlumPro*."/>
    <s v="Mansur"/>
    <s v="Mansur "/>
  </r>
  <r>
    <n v="176"/>
    <s v="*ALUMPRO176*"/>
    <s v="Eli"/>
    <x v="38"/>
    <x v="24"/>
    <s v="994554895908"/>
    <m/>
    <s v="45 qara"/>
    <m/>
    <n v="0"/>
    <n v="2"/>
    <n v="46"/>
    <s v="basac"/>
    <s v="Tapilmadi"/>
    <n v="0"/>
    <n v="0"/>
    <m/>
    <s v="Tapilmadi"/>
    <n v="0"/>
    <n v="0"/>
    <n v="6"/>
    <s v="Fümə şüşə"/>
    <m/>
    <n v="15"/>
    <m/>
    <s v="Tapilmadi"/>
    <m/>
    <n v="8"/>
    <m/>
    <s v="Tapilmadi"/>
    <n v="1"/>
    <n v="0"/>
    <n v="4"/>
    <n v="20"/>
    <n v="0"/>
    <n v="99"/>
    <m/>
    <n v="100"/>
    <n v="-1"/>
    <s v="Mesaj"/>
    <s v="Mesaj"/>
    <s v="Qəbul edilib"/>
    <s v="Təhvil verilib"/>
    <s v="Hörmətli *Mansur Aliyev*  ,Sizin *16,12,2024* tarixli sifarişiniz qeydə alındı. Sifariş Məbləğı *99 AZN* , Qalıq *-1 AZN* . Hörmətlə  *AlumPro*"/>
    <s v="Hörmətli *Mansur Aliyev* , sizin *16,12,2024* tarixli  sifarişiniz hazırdır . Bizi seçdiyiniz üçün minnətdarıq. Hörmətlə  *AlumPro*."/>
    <s v="Mansur"/>
    <s v="Mansur "/>
  </r>
  <r>
    <n v="175"/>
    <s v="*ALUMPRO175*"/>
    <s v="Eli"/>
    <x v="39"/>
    <x v="84"/>
    <n v="0"/>
    <m/>
    <s v="45 açıq antrasit"/>
    <m/>
    <n v="0"/>
    <n v="3"/>
    <n v="69"/>
    <s v="boy"/>
    <s v="Tapilmadi"/>
    <n v="2"/>
    <n v="52"/>
    <m/>
    <s v="Tapilmadi"/>
    <n v="0"/>
    <n v="0"/>
    <n v="0"/>
    <s v="Fümə şüşə"/>
    <m/>
    <n v="41"/>
    <m/>
    <s v="Tapilmadi"/>
    <m/>
    <n v="20"/>
    <m/>
    <s v="Tapilmadi"/>
    <n v="1"/>
    <n v="0"/>
    <n v="10"/>
    <n v="50"/>
    <n v="0"/>
    <n v="242"/>
    <n v="2"/>
    <n v="240"/>
    <n v="0"/>
    <s v="Mesaj"/>
    <s v="Mesaj"/>
    <s v="Qəbul edilib"/>
    <s v="Təhvil verilib"/>
    <s v="Hörmətli *Perviz Bine*  ,Sizin *14,12,2024* tarixli sifarişiniz qeydə alındı. Sifariş Məbləğı *242 AZN* , Qalıq *0 AZN* . Hörmətlə  *AlumPro*"/>
    <s v="Hörmətli *Perviz Bine* , sizin *14,12,2024* tarixli  sifarişiniz hazırdır . Bizi seçdiyiniz üçün minnətdarıq. Hörmətlə  *AlumPro*."/>
    <s v="Perviz"/>
    <s v="Perviz "/>
  </r>
  <r>
    <n v="174"/>
    <s v="*ALUMPRO174*"/>
    <s v="Eli"/>
    <x v="39"/>
    <x v="85"/>
    <s v="994773332377"/>
    <m/>
    <s v="45 qara"/>
    <m/>
    <n v="0"/>
    <n v="15"/>
    <n v="345"/>
    <s v="boy"/>
    <s v="Tapilmadi"/>
    <n v="7"/>
    <n v="182"/>
    <m/>
    <s v="Tapilmadi"/>
    <n v="0"/>
    <n v="0"/>
    <n v="60"/>
    <s v="Fümə şüşə"/>
    <m/>
    <n v="241"/>
    <m/>
    <s v="Tapilmadi"/>
    <m/>
    <n v="68"/>
    <m/>
    <s v="Tapilmadi"/>
    <n v="1"/>
    <n v="0"/>
    <n v="40"/>
    <n v="265"/>
    <n v="0"/>
    <n v="1201"/>
    <n v="1"/>
    <n v="1200"/>
    <n v="0"/>
    <s v="Mesaj"/>
    <s v="Mesaj"/>
    <s v="Qəbul edilib"/>
    <s v="Təhvil verilib"/>
    <s v="Hörmətli *Vuqar Abdullazade*  ,Sizin *14,12,2024* tarixli sifarişiniz qeydə alındı. Sifariş Məbləğı *1201 AZN* , Qalıq *0 AZN* . Hörmətlə  *AlumPro*"/>
    <s v="Hörmətli *Vuqar Abdullazade* , sizin *14,12,2024* tarixli  sifarişiniz hazırdır . Bizi seçdiyiniz üçün minnətdarıq. Hörmətlə  *AlumPro*."/>
    <s v="Vuqar"/>
    <s v="Vuqar "/>
  </r>
  <r>
    <n v="173"/>
    <s v="*ALUMPRO173*"/>
    <s v="Eli"/>
    <x v="40"/>
    <x v="86"/>
    <s v="994557466563"/>
    <m/>
    <s v="45 açıq antrasit"/>
    <m/>
    <n v="0"/>
    <n v="19"/>
    <n v="437"/>
    <s v="boy"/>
    <s v="Tapilmadi"/>
    <n v="16"/>
    <n v="416"/>
    <m/>
    <s v="Tapilmadi"/>
    <n v="0"/>
    <n v="0"/>
    <n v="30"/>
    <s v="Qəhvəyi şüşə"/>
    <m/>
    <n v="339"/>
    <m/>
    <s v="Tapilmadi"/>
    <m/>
    <n v="64"/>
    <m/>
    <s v="Tapilmadi"/>
    <n v="1"/>
    <n v="0"/>
    <n v="64"/>
    <n v="240"/>
    <n v="0"/>
    <n v="1590"/>
    <m/>
    <n v="1590"/>
    <n v="0"/>
    <s v="Mesaj"/>
    <s v="Mesaj"/>
    <s v="Qəbul edilib"/>
    <s v="Təhvil verilib"/>
    <s v="Hörmətli *Natiq Nesirov*  ,Sizin *13,12,2024* tarixli sifarişiniz qeydə alındı. Sifariş Məbləğı *1590 AZN* , Qalıq *0 AZN* . Hörmətlə  *AlumPro*"/>
    <s v="Hörmətli *Natiq Nesirov* , sizin *13,12,2024* tarixli  sifarişiniz hazırdır . Bizi seçdiyiniz üçün minnətdarıq. Hörmətlə  *AlumPro*."/>
    <s v="Natiq"/>
    <s v="Natiq "/>
  </r>
  <r>
    <n v="172"/>
    <s v="*ALUMPRO172*"/>
    <s v="Eli"/>
    <x v="40"/>
    <x v="86"/>
    <s v="994557466563"/>
    <m/>
    <s v="45 qara"/>
    <m/>
    <n v="0"/>
    <n v="6"/>
    <n v="138"/>
    <s v="boy"/>
    <s v="Tapilmadi"/>
    <n v="4"/>
    <n v="104"/>
    <m/>
    <s v="Tapilmadi"/>
    <n v="0"/>
    <n v="0"/>
    <n v="30"/>
    <s v="Fümə şüşə"/>
    <m/>
    <n v="123"/>
    <m/>
    <s v="Tapilmadi"/>
    <m/>
    <n v="24"/>
    <m/>
    <s v="Tapilmadi"/>
    <n v="1"/>
    <n v="0"/>
    <n v="21"/>
    <n v="75"/>
    <n v="0"/>
    <n v="515"/>
    <m/>
    <n v="515"/>
    <n v="0"/>
    <s v="Mesaj"/>
    <s v="Mesaj"/>
    <s v="Qəbul edilib"/>
    <s v="Təhvil verilib"/>
    <s v="Hörmətli *Natiq Nesirov*  ,Sizin *13,12,2024* tarixli sifarişiniz qeydə alındı. Sifariş Məbləğı *515 AZN* , Qalıq *0 AZN* . Hörmətlə  *AlumPro*"/>
    <s v="Hörmətli *Natiq Nesirov* , sizin *13,12,2024* tarixli  sifarişiniz hazırdır . Bizi seçdiyiniz üçün minnətdarıq. Hörmətlə  *AlumPro*."/>
    <s v="Natiq"/>
    <s v="Natiq "/>
  </r>
  <r>
    <n v="171"/>
    <s v="*ALUMPRO171*"/>
    <s v="Eli"/>
    <x v="40"/>
    <x v="73"/>
    <s v="994552332387"/>
    <m/>
    <s v="45 qızılı"/>
    <m/>
    <n v="0"/>
    <n v="2"/>
    <n v="46"/>
    <s v="boy"/>
    <s v="Tapilmadi"/>
    <n v="1"/>
    <n v="26"/>
    <m/>
    <s v="Tapilmadi"/>
    <n v="0"/>
    <n v="0"/>
    <n v="0"/>
    <s v="Adi güzgü "/>
    <m/>
    <n v="48"/>
    <m/>
    <s v="Tapilmadi"/>
    <m/>
    <n v="4"/>
    <m/>
    <s v="Tapilmadi"/>
    <n v="1"/>
    <n v="0"/>
    <n v="5"/>
    <n v="15"/>
    <n v="0"/>
    <n v="144"/>
    <m/>
    <n v="144"/>
    <n v="0"/>
    <s v="Mesaj"/>
    <s v="Mesaj"/>
    <s v="Qəbul edilib"/>
    <s v="Təhvil verilib"/>
    <s v="Hörmətli *Zakir Bmw Servis*  ,Sizin *13,12,2024* tarixli sifarişiniz qeydə alındı. Sifariş Məbləğı *144 AZN* , Qalıq *0 AZN* . Hörmətlə  *AlumPro*"/>
    <s v="Hörmətli *Zakir Bmw Servis* , sizin *13,12,2024* tarixli  sifarişiniz hazırdır . Bizi seçdiyiniz üçün minnətdarıq. Hörmətlə  *AlumPro*."/>
    <s v="Zakir"/>
    <s v="Zakir "/>
  </r>
  <r>
    <n v="170"/>
    <s v="*ALUMPRO170*"/>
    <s v="Eli"/>
    <x v="40"/>
    <x v="62"/>
    <n v="0"/>
    <m/>
    <s v="45 qara"/>
    <m/>
    <n v="0"/>
    <n v="2"/>
    <n v="46"/>
    <s v="basac"/>
    <s v="Tapilmadi"/>
    <n v="0"/>
    <n v="0"/>
    <m/>
    <s v="Tapilmadi"/>
    <n v="0"/>
    <n v="0"/>
    <n v="6"/>
    <s v="Şəffaf şüşə"/>
    <m/>
    <n v="28"/>
    <m/>
    <s v="Tapilmadi"/>
    <m/>
    <n v="4"/>
    <m/>
    <s v="Tapilmadi"/>
    <n v="1"/>
    <n v="0"/>
    <n v="4"/>
    <n v="15"/>
    <n v="0"/>
    <n v="103"/>
    <m/>
    <n v="103"/>
    <n v="0"/>
    <s v="Mesaj"/>
    <s v="Mesaj"/>
    <s v="Qəbul edilib"/>
    <s v="Təhvil verilib"/>
    <s v="Hörmətli *Emin Badamdar*  ,Sizin *13,12,2024* tarixli sifarişiniz qeydə alındı. Sifariş Məbləğı *103 AZN* , Qalıq *0 AZN* . Hörmətlə  *AlumPro*"/>
    <s v="Hörmətli *Emin Badamdar* , sizin *13,12,2024* tarixli  sifarişiniz hazırdır . Bizi seçdiyiniz üçün minnətdarıq. Hörmətlə  *AlumPro*."/>
    <s v="Emin"/>
    <s v="Emin "/>
  </r>
  <r>
    <n v="169"/>
    <s v="*ALUMPRO169*"/>
    <s v="Eli"/>
    <x v="40"/>
    <x v="87"/>
    <n v="0"/>
    <s v="endirim 20"/>
    <s v="45 qara"/>
    <m/>
    <n v="0"/>
    <n v="2"/>
    <n v="46"/>
    <s v="boy"/>
    <s v="Tapilmadi"/>
    <n v="1"/>
    <n v="26"/>
    <m/>
    <s v="Tapilmadi"/>
    <n v="0"/>
    <n v="0"/>
    <n v="9"/>
    <s v="Fümə şüşə"/>
    <m/>
    <n v="26"/>
    <m/>
    <s v="Tapilmadi"/>
    <m/>
    <n v="12"/>
    <m/>
    <s v="Tapilmadi"/>
    <n v="1"/>
    <n v="0"/>
    <n v="6"/>
    <n v="25"/>
    <n v="0"/>
    <n v="150"/>
    <m/>
    <n v="150"/>
    <n v="0"/>
    <s v="Mesaj"/>
    <s v="Mesaj"/>
    <s v="Qəbul edilib"/>
    <s v="Təhvil verilib"/>
    <s v="Hörmətli *Rufet Salyan*  ,Sizin *13,12,2024* tarixli sifarişiniz qeydə alındı. Sifariş Məbləğı *150 AZN* , Qalıq *0 AZN* . Hörmətlə  *AlumPro*"/>
    <s v="Hörmətli *Rufet Salyan* , sizin *13,12,2024* tarixli  sifarişiniz hazırdır . Bizi seçdiyiniz üçün minnətdarıq. Hörmətlə  *AlumPro*."/>
    <s v="Rufet"/>
    <s v="Rufet "/>
  </r>
  <r>
    <n v="168"/>
    <s v="*ALUMPRO168*"/>
    <s v="Eli"/>
    <x v="40"/>
    <x v="30"/>
    <s v="994703076627"/>
    <s v="Qizili"/>
    <s v="Mərmər"/>
    <m/>
    <n v="0"/>
    <n v="8"/>
    <n v="280"/>
    <s v="basac"/>
    <s v="Tapilmadi"/>
    <n v="0"/>
    <n v="0"/>
    <m/>
    <s v="Tapilmadi"/>
    <n v="0"/>
    <n v="0"/>
    <n v="0"/>
    <s v="Adi güzgü "/>
    <m/>
    <n v="153"/>
    <m/>
    <s v="Tapilmadi"/>
    <m/>
    <n v="16"/>
    <m/>
    <s v="Tapilmadi"/>
    <n v="1"/>
    <n v="0"/>
    <n v="20"/>
    <n v="80"/>
    <n v="0"/>
    <n v="549"/>
    <m/>
    <n v="549"/>
    <n v="0"/>
    <s v="Mesaj"/>
    <s v="Mesaj"/>
    <s v="Qəbul edilib"/>
    <s v="Təhvil verilib"/>
    <s v="Hörmətli *Resad Mebelline *  ,Sizin *13,12,2024* tarixli sifarişiniz qeydə alındı. Sifariş Məbləğı *549 AZN* , Qalıq *0 AZN* . Hörmətlə  *AlumPro*"/>
    <s v="Hörmətli *Resad Mebelline * , sizin *13,12,2024* tarixli  sifarişiniz hazırdır . Bizi seçdiyiniz üçün minnətdarıq. Hörmətlə  *AlumPro*."/>
    <s v="Resad"/>
    <s v="Resad "/>
  </r>
  <r>
    <n v="167"/>
    <s v="*ALUMPRO167*"/>
    <s v="Eli"/>
    <x v="40"/>
    <x v="30"/>
    <s v="994703076627"/>
    <m/>
    <s v="Mərmər"/>
    <m/>
    <n v="0"/>
    <n v="2"/>
    <n v="70"/>
    <s v="basac"/>
    <s v="Tapilmadi"/>
    <n v="0"/>
    <n v="0"/>
    <m/>
    <s v="Tapilmadi"/>
    <n v="0"/>
    <n v="0"/>
    <n v="0"/>
    <s v="Fümə şüşə"/>
    <m/>
    <n v="72"/>
    <m/>
    <s v="Tapilmadi"/>
    <m/>
    <n v="4"/>
    <m/>
    <s v="Tapilmadi"/>
    <n v="1"/>
    <n v="0"/>
    <n v="0"/>
    <n v="15"/>
    <n v="0"/>
    <n v="161"/>
    <n v="1"/>
    <n v="160"/>
    <n v="0"/>
    <s v="Mesaj"/>
    <s v="Mesaj"/>
    <s v="Qəbul edilib"/>
    <s v="Təhvil verilib"/>
    <s v="Hörmətli *Resad Mebelline *  ,Sizin *13,12,2024* tarixli sifarişiniz qeydə alındı. Sifariş Məbləğı *161 AZN* , Qalıq *0 AZN* . Hörmətlə  *AlumPro*"/>
    <s v="Hörmətli *Resad Mebelline * , sizin *13,12,2024* tarixli  sifarişiniz hazırdır . Bizi seçdiyiniz üçün minnətdarıq. Hörmətlə  *AlumPro*."/>
    <s v="Resad"/>
    <s v="Resad "/>
  </r>
  <r>
    <n v="166"/>
    <s v="*ALUMPRO166*"/>
    <s v="Eli"/>
    <x v="41"/>
    <x v="30"/>
    <s v="994703076627"/>
    <m/>
    <s v="2x2 qara"/>
    <m/>
    <n v="0"/>
    <n v="24"/>
    <n v="552"/>
    <s v="basac"/>
    <s v="Tapilmadi"/>
    <n v="0"/>
    <n v="0"/>
    <m/>
    <s v="Tapilmadi"/>
    <n v="0"/>
    <n v="0"/>
    <n v="0"/>
    <s v="Fümə şüşə"/>
    <m/>
    <n v="208"/>
    <m/>
    <s v="Tapilmadi"/>
    <m/>
    <n v="96"/>
    <m/>
    <s v="Tapilmadi"/>
    <n v="1"/>
    <n v="0"/>
    <n v="0"/>
    <n v="180"/>
    <n v="0"/>
    <n v="1036"/>
    <m/>
    <n v="1036"/>
    <n v="0"/>
    <s v="Mesaj"/>
    <s v="Mesaj"/>
    <s v="Qəbul edilib"/>
    <s v="Təhvil verilib"/>
    <s v="Hörmətli *Resad Mebelline *  ,Sizin *12,12,2024* tarixli sifarişiniz qeydə alındı. Sifariş Məbləğı *1036 AZN* , Qalıq *0 AZN* . Hörmətlə  *AlumPro*"/>
    <s v="Hörmətli *Resad Mebelline * , sizin *12,12,2024* tarixli  sifarişiniz hazırdır . Bizi seçdiyiniz üçün minnətdarıq. Hörmətlə  *AlumPro*."/>
    <s v="Resad"/>
    <s v="Resad "/>
  </r>
  <r>
    <n v="165"/>
    <s v="*ALUMPRO165*"/>
    <s v="Eli"/>
    <x v="41"/>
    <x v="73"/>
    <s v="994552332387"/>
    <s v="36 m endirim"/>
    <s v="2x2 qara"/>
    <m/>
    <n v="0"/>
    <n v="5"/>
    <n v="115"/>
    <s v="boy"/>
    <s v="Tapilmadi"/>
    <n v="4"/>
    <n v="104"/>
    <s v="2x2  düz"/>
    <s v="Tapilmadi"/>
    <n v="20"/>
    <n v="30"/>
    <n v="0"/>
    <s v="Fümə şüşə"/>
    <m/>
    <n v="113"/>
    <m/>
    <s v="Tapilmadi"/>
    <m/>
    <n v="32"/>
    <m/>
    <s v="Tapilmadi"/>
    <n v="1"/>
    <n v="0"/>
    <n v="40"/>
    <n v="60"/>
    <n v="0"/>
    <n v="494"/>
    <m/>
    <n v="458"/>
    <n v="36"/>
    <s v="Mesaj"/>
    <s v="Mesaj"/>
    <s v="Qəbul edilib"/>
    <s v="Təhvil verilib"/>
    <s v="Hörmətli *Zakir Bmw Servis*  ,Sizin *12,12,2024* tarixli sifarişiniz qeydə alındı. Sifariş Məbləğı *494 AZN* , Qalıq *36 AZN* . Hörmətlə  *AlumPro*"/>
    <s v="Hörmətli *Zakir Bmw Servis* , sizin *12,12,2024* tarixli  sifarişiniz hazırdır . Bizi seçdiyiniz üçün minnətdarıq. Hörmətlə  *AlumPro*."/>
    <s v="Zakir"/>
    <s v="Zakir "/>
  </r>
  <r>
    <n v="164"/>
    <s v="*ALUMPRO164*"/>
    <s v="Eli"/>
    <x v="41"/>
    <x v="88"/>
    <s v="994706060666"/>
    <m/>
    <s v="2x2 qara"/>
    <m/>
    <n v="0"/>
    <n v="1"/>
    <n v="23"/>
    <s v="boy"/>
    <s v="Tapilmadi"/>
    <n v="1"/>
    <n v="26"/>
    <s v="2x2  düz"/>
    <s v="Tapilmadi"/>
    <n v="3"/>
    <n v="12"/>
    <n v="0"/>
    <s v="Qəhvəyi şüşə"/>
    <m/>
    <n v="16"/>
    <m/>
    <s v="Tapilmadi"/>
    <m/>
    <n v="8"/>
    <m/>
    <s v="Tapilmadi"/>
    <n v="1"/>
    <n v="0"/>
    <n v="6"/>
    <n v="15"/>
    <n v="0"/>
    <n v="106"/>
    <m/>
    <n v="106"/>
    <n v="0"/>
    <s v="Mesaj"/>
    <s v="Mesaj"/>
    <s v="Qəbul edilib"/>
    <s v="Təhvil verilib"/>
    <s v="Hörmətli *Faiq Enso*  ,Sizin *12,12,2024* tarixli sifarişiniz qeydə alındı. Sifariş Məbləğı *106 AZN* , Qalıq *0 AZN* . Hörmətlə  *AlumPro*"/>
    <s v="Hörmətli *Faiq Enso* , sizin *12,12,2024* tarixli  sifarişiniz hazırdır . Bizi seçdiyiniz üçün minnətdarıq. Hörmətlə  *AlumPro*."/>
    <s v="Faiq"/>
    <s v="Faiq "/>
  </r>
  <r>
    <n v="162"/>
    <s v="*ALUMPRO162*"/>
    <s v="Eli"/>
    <x v="41"/>
    <x v="31"/>
    <s v="994775015642"/>
    <s v="turk"/>
    <s v="45 qızılı"/>
    <m/>
    <n v="0"/>
    <n v="5"/>
    <n v="115"/>
    <s v="boy"/>
    <s v="Tapilmadi"/>
    <n v="3"/>
    <n v="78"/>
    <m/>
    <s v="Tapilmadi"/>
    <n v="0"/>
    <n v="0"/>
    <n v="15"/>
    <s v="Qəhvəyi şüşə"/>
    <m/>
    <n v="125"/>
    <m/>
    <s v="Tapilmadi"/>
    <m/>
    <n v="16"/>
    <m/>
    <s v="Tapilmadi"/>
    <n v="1"/>
    <n v="0"/>
    <n v="8"/>
    <n v="60"/>
    <n v="0"/>
    <n v="417"/>
    <m/>
    <n v="417"/>
    <n v="0"/>
    <s v="Mesaj"/>
    <s v="Mesaj"/>
    <s v="Qəbul edilib"/>
    <s v="Təhvil verilib"/>
    <s v="Hörmətli *Muxtar Fierro*  ,Sizin *12,12,2024* tarixli sifarişiniz qeydə alındı. Sifariş Məbləğı *417 AZN* , Qalıq *0 AZN* . Hörmətlə  *AlumPro*"/>
    <s v="Hörmətli *Muxtar Fierro* , sizin *12,12,2024* tarixli  sifarişiniz hazırdır . Bizi seçdiyiniz üçün minnətdarıq. Hörmətlə  *AlumPro*."/>
    <s v="Muxtar"/>
    <s v="Muxtar "/>
  </r>
  <r>
    <n v="161"/>
    <s v="*ALUMPRO161*"/>
    <s v="Eli"/>
    <x v="41"/>
    <x v="89"/>
    <n v="0"/>
    <m/>
    <s v="45 qızılı"/>
    <m/>
    <n v="0"/>
    <n v="2"/>
    <n v="46"/>
    <s v="boy"/>
    <s v="Tapilmadi"/>
    <n v="1"/>
    <n v="26"/>
    <m/>
    <s v="Tapilmadi"/>
    <n v="0"/>
    <n v="0"/>
    <n v="0"/>
    <s v="Qəhvəyi şüşə"/>
    <m/>
    <n v="47"/>
    <m/>
    <s v="Tapilmadi"/>
    <m/>
    <n v="8"/>
    <m/>
    <s v="Tapilmadi"/>
    <n v="1"/>
    <n v="0"/>
    <n v="6"/>
    <n v="30"/>
    <n v="0"/>
    <n v="163"/>
    <m/>
    <n v="163"/>
    <n v="0"/>
    <s v="Mesaj"/>
    <s v="Mesaj"/>
    <s v="Qəbul edilib"/>
    <s v="Təhvil verilib"/>
    <s v="Hörmətli *Eflatun Suse*  ,Sizin *12,12,2024* tarixli sifarişiniz qeydə alındı. Sifariş Məbləğı *163 AZN* , Qalıq *0 AZN* . Hörmətlə  *AlumPro*"/>
    <s v="Hörmətli *Eflatun Suse* , sizin *12,12,2024* tarixli  sifarişiniz hazırdır . Bizi seçdiyiniz üçün minnətdarıq. Hörmətlə  *AlumPro*."/>
    <s v="Eflatun"/>
    <s v="Eflatun "/>
  </r>
  <r>
    <n v="160"/>
    <s v="*ALUMPRO160*"/>
    <s v="Eli"/>
    <x v="41"/>
    <x v="62"/>
    <n v="0"/>
    <m/>
    <s v="Mərmər"/>
    <m/>
    <n v="0"/>
    <n v="4"/>
    <n v="120"/>
    <n v="0"/>
    <s v="Tapilmadi"/>
    <n v="0"/>
    <n v="0"/>
    <m/>
    <s v="Tapilmadi"/>
    <n v="0"/>
    <n v="0"/>
    <n v="0"/>
    <m/>
    <m/>
    <n v="0"/>
    <m/>
    <s v="Tapilmadi"/>
    <m/>
    <n v="8"/>
    <m/>
    <s v="Tapilmadi"/>
    <n v="1"/>
    <n v="0"/>
    <n v="8"/>
    <n v="20"/>
    <n v="0"/>
    <n v="156"/>
    <m/>
    <n v="156"/>
    <n v="0"/>
    <s v="Mesaj"/>
    <s v="Mesaj"/>
    <s v="Qəbul edilib"/>
    <s v="Təhvil verilib"/>
    <s v="Hörmətli *Emin Badamdar*  ,Sizin *12,12,2024* tarixli sifarişiniz qeydə alındı. Sifariş Məbləğı *156 AZN* , Qalıq *0 AZN* . Hörmətlə  *AlumPro*"/>
    <s v="Hörmətli *Emin Badamdar* , sizin *12,12,2024* tarixli  sifarişiniz hazırdır . Bizi seçdiyiniz üçün minnətdarıq. Hörmətlə  *AlumPro*."/>
    <s v="Emin"/>
    <s v="Emin "/>
  </r>
  <r>
    <n v="159"/>
    <s v="*ALUMPRO159*"/>
    <s v="Eli"/>
    <x v="41"/>
    <x v="55"/>
    <s v="994503232344"/>
    <m/>
    <s v="2x2 qara"/>
    <m/>
    <n v="0"/>
    <n v="7"/>
    <n v="161"/>
    <s v="boy"/>
    <s v="Tapilmadi"/>
    <n v="6"/>
    <n v="156"/>
    <s v="2x2  düz"/>
    <s v="Tapilmadi"/>
    <n v="24"/>
    <n v="96"/>
    <n v="0"/>
    <s v="Fümə şüşə"/>
    <m/>
    <n v="206"/>
    <m/>
    <s v="Tapilmadi"/>
    <m/>
    <n v="48"/>
    <m/>
    <s v="Tapilmadi"/>
    <n v="1"/>
    <n v="0"/>
    <n v="48"/>
    <n v="90"/>
    <n v="0"/>
    <n v="805"/>
    <m/>
    <n v="720"/>
    <n v="85"/>
    <s v="Mesaj"/>
    <s v="Mesaj"/>
    <s v="Qəbul edilib"/>
    <s v="Təhvil verilib"/>
    <s v="Hörmətli *Ceyhun Bmw Doz*  ,Sizin *12,12,2024* tarixli sifarişiniz qeydə alındı. Sifariş Məbləğı *805 AZN* , Qalıq *85 AZN* . Hörmətlə  *AlumPro*"/>
    <s v="Hörmətli *Ceyhun Bmw Doz* , sizin *12,12,2024* tarixli  sifarişiniz hazırdır . Bizi seçdiyiniz üçün minnətdarıq. Hörmətlə  *AlumPro*."/>
    <s v="Ceyhun"/>
    <s v="Ceyhun "/>
  </r>
  <r>
    <n v="158"/>
    <s v="*ALUMPRO158*"/>
    <s v="Eli"/>
    <x v="42"/>
    <x v="11"/>
    <s v="994502111355"/>
    <m/>
    <s v="45 qara"/>
    <m/>
    <n v="0"/>
    <n v="6"/>
    <n v="138"/>
    <s v="boy"/>
    <s v="Tapilmadi"/>
    <n v="4"/>
    <n v="104"/>
    <m/>
    <s v="Tapilmadi"/>
    <n v="0"/>
    <n v="0"/>
    <n v="30"/>
    <s v="Fümə şüşə"/>
    <m/>
    <n v="117"/>
    <m/>
    <s v="Tapilmadi"/>
    <m/>
    <n v="16"/>
    <m/>
    <s v="Tapilmadi"/>
    <n v="1"/>
    <n v="0"/>
    <n v="20"/>
    <n v="60"/>
    <n v="0"/>
    <n v="485"/>
    <m/>
    <n v="0"/>
    <n v="485"/>
    <s v="Mesaj"/>
    <s v="Mesaj"/>
    <s v="Qəbul edilib"/>
    <s v="Təhvil verilib"/>
    <s v="Hörmətli *My Concept*  ,Sizin *11,12,2024* tarixli sifarişiniz qeydə alındı. Sifariş Məbləğı *485 AZN* , Qalıq *485 AZN* . Hörmətlə  *AlumPro*"/>
    <s v="Hörmətli *My Concept* , sizin *11,12,2024* tarixli  sifarişiniz hazırdır . Bizi seçdiyiniz üçün minnətdarıq. Hörmətlə  *AlumPro*."/>
    <s v="My"/>
    <s v="My "/>
  </r>
  <r>
    <n v="157"/>
    <s v="*ALUMPRO157*"/>
    <s v="Eli"/>
    <x v="42"/>
    <x v="65"/>
    <s v="994503903930"/>
    <m/>
    <s v="45 qara"/>
    <m/>
    <n v="0"/>
    <n v="4"/>
    <n v="92"/>
    <s v="boy"/>
    <s v="Tapilmadi"/>
    <n v="2"/>
    <n v="52"/>
    <m/>
    <s v="Tapilmadi"/>
    <n v="0"/>
    <n v="0"/>
    <n v="18"/>
    <s v="Fümə şüşə"/>
    <m/>
    <n v="46"/>
    <m/>
    <s v="Tapilmadi"/>
    <m/>
    <n v="28"/>
    <m/>
    <s v="Tapilmadi"/>
    <n v="1"/>
    <n v="0"/>
    <n v="14"/>
    <n v="70"/>
    <n v="0"/>
    <n v="320"/>
    <n v="20"/>
    <n v="300"/>
    <n v="0"/>
    <s v="Mesaj"/>
    <s v="Mesaj"/>
    <s v="Qəbul edilib"/>
    <s v="Təhvil verilib"/>
    <s v="Hörmətli *Rufet Musteri Bineqedi*  ,Sizin *11,12,2024* tarixli sifarişiniz qeydə alındı. Sifariş Məbləğı *320 AZN* , Qalıq *0 AZN* . Hörmətlə  *AlumPro*"/>
    <s v="Hörmətli *Rufet Musteri Bineqedi* , sizin *11,12,2024* tarixli  sifarişiniz hazırdır . Bizi seçdiyiniz üçün minnətdarıq. Hörmətlə  *AlumPro*."/>
    <s v="Rufet"/>
    <s v="Rufet "/>
  </r>
  <r>
    <n v="156"/>
    <s v="*ALUMPRO156*"/>
    <s v="Eli"/>
    <x v="42"/>
    <x v="31"/>
    <s v="994775015642"/>
    <m/>
    <s v="45 qızılı"/>
    <m/>
    <n v="0"/>
    <n v="5"/>
    <n v="115"/>
    <s v="boy"/>
    <s v="Tapilmadi"/>
    <n v="3"/>
    <n v="78"/>
    <m/>
    <s v="Tapilmadi"/>
    <n v="0"/>
    <n v="0"/>
    <n v="15"/>
    <s v="Şəffaf şüşə"/>
    <m/>
    <n v="123"/>
    <m/>
    <s v="Tapilmadi"/>
    <m/>
    <n v="16"/>
    <m/>
    <s v="Tapilmadi"/>
    <n v="1"/>
    <n v="0"/>
    <n v="8"/>
    <n v="60"/>
    <n v="0"/>
    <n v="415"/>
    <m/>
    <n v="415"/>
    <n v="0"/>
    <s v="Mesaj"/>
    <s v="Mesaj"/>
    <s v="Qəbul edilib"/>
    <s v="Təhvil verilib"/>
    <s v="Hörmətli *Muxtar Fierro*  ,Sizin *11,12,2024* tarixli sifarişiniz qeydə alındı. Sifariş Məbləğı *415 AZN* , Qalıq *0 AZN* . Hörmətlə  *AlumPro*"/>
    <s v="Hörmətli *Muxtar Fierro* , sizin *11,12,2024* tarixli  sifarişiniz hazırdır . Bizi seçdiyiniz üçün minnətdarıq. Hörmətlə  *AlumPro*."/>
    <s v="Muxtar"/>
    <s v="Muxtar "/>
  </r>
  <r>
    <n v="155"/>
    <s v="*ALUMPRO155*"/>
    <s v="Eli"/>
    <x v="42"/>
    <x v="90"/>
    <s v="994773377773"/>
    <m/>
    <s v="45 qara"/>
    <m/>
    <n v="0"/>
    <n v="10"/>
    <n v="230"/>
    <s v="boy"/>
    <s v="Tapilmadi"/>
    <n v="10"/>
    <n v="260"/>
    <m/>
    <s v="Tapilmadi"/>
    <n v="0"/>
    <n v="0"/>
    <n v="0"/>
    <s v="Fümə şüşə"/>
    <m/>
    <n v="180"/>
    <m/>
    <s v="Tapilmadi"/>
    <m/>
    <n v="40"/>
    <m/>
    <s v="Tapilmadi"/>
    <n v="1"/>
    <n v="0"/>
    <n v="40"/>
    <n v="100"/>
    <n v="0"/>
    <n v="850"/>
    <m/>
    <n v="850"/>
    <n v="0"/>
    <s v="Mesaj"/>
    <s v="Mesaj"/>
    <s v="Qəbul edilib"/>
    <s v="Təhvil verilib"/>
    <s v="Hörmətli *Eli Asbella*  ,Sizin *11,12,2024* tarixli sifarişiniz qeydə alındı. Sifariş Məbləğı *850 AZN* , Qalıq *0 AZN* . Hörmətlə  *AlumPro*"/>
    <s v="Hörmətli *Eli Asbella* , sizin *11,12,2024* tarixli  sifarişiniz hazırdır . Bizi seçdiyiniz üçün minnətdarıq. Hörmətlə  *AlumPro*."/>
    <s v="Eli"/>
    <s v="Eli "/>
  </r>
  <r>
    <n v="154"/>
    <s v="*ALUMPRO154*"/>
    <s v="Eli"/>
    <x v="42"/>
    <x v="91"/>
    <s v="994558102435"/>
    <m/>
    <s v="45 qara"/>
    <m/>
    <n v="0"/>
    <n v="3"/>
    <n v="69"/>
    <s v="boy"/>
    <s v="Tapilmadi"/>
    <n v="2"/>
    <n v="52"/>
    <m/>
    <s v="Tapilmadi"/>
    <n v="0"/>
    <n v="0"/>
    <n v="0"/>
    <s v="Fümə şüşə"/>
    <m/>
    <n v="53"/>
    <m/>
    <s v="Tapilmadi"/>
    <m/>
    <n v="8"/>
    <m/>
    <s v="Tapilmadi"/>
    <n v="1"/>
    <n v="0"/>
    <n v="8"/>
    <n v="30"/>
    <n v="0"/>
    <n v="220"/>
    <m/>
    <n v="220"/>
    <n v="0"/>
    <s v="Mesaj"/>
    <s v="Mesaj"/>
    <s v="Qəbul edilib"/>
    <s v="Təhvil verilib"/>
    <s v="Hörmətli *Babek Bey*  ,Sizin *11,12,2024* tarixli sifarişiniz qeydə alındı. Sifariş Məbləğı *220 AZN* , Qalıq *0 AZN* . Hörmətlə  *AlumPro*"/>
    <s v="Hörmətli *Babek Bey* , sizin *11,12,2024* tarixli  sifarişiniz hazırdır . Bizi seçdiyiniz üçün minnətdarıq. Hörmətlə  *AlumPro*."/>
    <s v="Babek"/>
    <s v="Babek "/>
  </r>
  <r>
    <n v="153"/>
    <s v="*ALUMPRO153*"/>
    <s v="Eli"/>
    <x v="13"/>
    <x v="92"/>
    <s v="994507551076"/>
    <m/>
    <s v="2x2 qara"/>
    <m/>
    <n v="0"/>
    <n v="8"/>
    <n v="184"/>
    <s v="basac"/>
    <s v="Tapilmadi"/>
    <n v="0"/>
    <n v="0"/>
    <s v="2x2  düz"/>
    <s v="Tapilmadi"/>
    <n v="15"/>
    <n v="60"/>
    <n v="0"/>
    <s v="Fümə şüşə"/>
    <m/>
    <n v="162"/>
    <m/>
    <s v="Tapilmadi"/>
    <m/>
    <n v="24"/>
    <m/>
    <s v="Tapilmadi"/>
    <n v="1"/>
    <n v="0"/>
    <n v="30"/>
    <n v="45"/>
    <n v="0"/>
    <n v="505"/>
    <m/>
    <n v="505"/>
    <n v="0"/>
    <s v="Mesaj"/>
    <s v="Mesaj"/>
    <s v="Qəbul edilib"/>
    <s v="Təhvil verilib"/>
    <s v="Hörmətli *Qamma Murad*  ,Sizin *10,12,2024* tarixli sifarişiniz qeydə alındı. Sifariş Məbləğı *505 AZN* , Qalıq *0 AZN* . Hörmətlə  *AlumPro*"/>
    <s v="Hörmətli *Qamma Murad* , sizin *10,12,2024* tarixli  sifarişiniz hazırdır . Bizi seçdiyiniz üçün minnətdarıq. Hörmətlə  *AlumPro*."/>
    <s v="Qamma"/>
    <s v="Qamma "/>
  </r>
  <r>
    <n v="152"/>
    <s v="*ALUMPRO152*"/>
    <s v="Eli"/>
    <x v="13"/>
    <x v="93"/>
    <s v="994558408053"/>
    <m/>
    <s v="45 qara"/>
    <m/>
    <n v="0"/>
    <n v="2"/>
    <n v="46"/>
    <s v="boy"/>
    <s v="Tapilmadi"/>
    <n v="1"/>
    <n v="26"/>
    <m/>
    <s v="Tapilmadi"/>
    <n v="0"/>
    <n v="0"/>
    <n v="9"/>
    <s v="Fümə şüşə"/>
    <m/>
    <n v="24"/>
    <m/>
    <s v="Tapilmadi"/>
    <m/>
    <n v="8"/>
    <m/>
    <s v="Tapilmadi"/>
    <n v="1"/>
    <n v="0"/>
    <n v="6"/>
    <n v="30"/>
    <n v="0"/>
    <n v="149"/>
    <m/>
    <n v="149"/>
    <n v="0"/>
    <s v="Mesaj"/>
    <s v="Mesaj"/>
    <s v="Qəbul edilib"/>
    <s v="Təhvil verilib"/>
    <s v="Hörmətli *Ruslan Celal*  ,Sizin *10,12,2024* tarixli sifarişiniz qeydə alındı. Sifariş Məbləğı *149 AZN* , Qalıq *0 AZN* . Hörmətlə  *AlumPro*"/>
    <s v="Hörmətli *Ruslan Celal* , sizin *10,12,2024* tarixli  sifarişiniz hazırdır . Bizi seçdiyiniz üçün minnətdarıq. Hörmətlə  *AlumPro*."/>
    <s v="Ruslan"/>
    <s v="Ruslan "/>
  </r>
  <r>
    <n v="151"/>
    <s v="*ALUMPRO151*"/>
    <s v="Eli"/>
    <x v="13"/>
    <x v="73"/>
    <s v="994552332387"/>
    <m/>
    <s v="2x2 qara"/>
    <m/>
    <n v="0"/>
    <n v="1"/>
    <n v="23"/>
    <s v="boy"/>
    <s v="Tapilmadi"/>
    <n v="1"/>
    <n v="26"/>
    <s v="2x2  düz"/>
    <s v="Tapilmadi"/>
    <n v="5"/>
    <n v="8"/>
    <n v="0"/>
    <s v="Fümə şüşə"/>
    <m/>
    <n v="32"/>
    <m/>
    <s v="Tapilmadi"/>
    <m/>
    <n v="4"/>
    <m/>
    <s v="Tapilmadi"/>
    <n v="1"/>
    <n v="0"/>
    <n v="5"/>
    <n v="15"/>
    <n v="0"/>
    <n v="113"/>
    <m/>
    <n v="113"/>
    <n v="0"/>
    <s v="Mesaj"/>
    <s v="Mesaj"/>
    <s v="Qəbul edilib"/>
    <s v="Təhvil verilib"/>
    <s v="Hörmətli *Zakir Bmw Servis*  ,Sizin *10,12,2024* tarixli sifarişiniz qeydə alındı. Sifariş Məbləğı *113 AZN* , Qalıq *0 AZN* . Hörmətlə  *AlumPro*"/>
    <s v="Hörmətli *Zakir Bmw Servis* , sizin *10,12,2024* tarixli  sifarişiniz hazırdır . Bizi seçdiyiniz üçün minnətdarıq. Hörmətlə  *AlumPro*."/>
    <s v="Zakir"/>
    <s v="Zakir "/>
  </r>
  <r>
    <n v="150"/>
    <s v="*ALUMPRO150*"/>
    <s v="Eli"/>
    <x v="43"/>
    <x v="94"/>
    <s v="994552293110"/>
    <m/>
    <s v="2x2 qara"/>
    <m/>
    <n v="0"/>
    <n v="4"/>
    <n v="92"/>
    <s v="boy"/>
    <s v="Tapilmadi"/>
    <n v="3"/>
    <n v="78"/>
    <s v="2x2  düz"/>
    <s v="Tapilmadi"/>
    <n v="15"/>
    <n v="60"/>
    <n v="0"/>
    <s v="Fümə şüşə"/>
    <m/>
    <n v="61"/>
    <m/>
    <s v="Tapilmadi"/>
    <m/>
    <n v="32"/>
    <m/>
    <s v="Tapilmadi"/>
    <n v="1"/>
    <n v="0"/>
    <n v="30"/>
    <n v="55"/>
    <n v="0"/>
    <n v="408"/>
    <m/>
    <n v="408"/>
    <n v="0"/>
    <s v="Mesaj"/>
    <s v="Mesaj"/>
    <s v="Qəbul edilib"/>
    <s v="Təhvil verilib"/>
    <s v="Hörmətli *Behruz Trend*  ,Sizin *09,12,2024* tarixli sifarişiniz qeydə alındı. Sifariş Məbləğı *408 AZN* , Qalıq *0 AZN* . Hörmətlə  *AlumPro*"/>
    <s v="Hörmətli *Behruz Trend* , sizin *09,12,2024* tarixli  sifarişiniz hazırdır . Bizi seçdiyiniz üçün minnətdarıq. Hörmətlə  *AlumPro*."/>
    <s v="Behruz"/>
    <s v="Behruz "/>
  </r>
  <r>
    <n v="149"/>
    <s v="*ALUMPRO149*"/>
    <s v="Eli"/>
    <x v="43"/>
    <x v="95"/>
    <s v="994503010061"/>
    <s v="konus antrasit temir"/>
    <s v="Konus qulp"/>
    <m/>
    <n v="0"/>
    <n v="6"/>
    <n v="180"/>
    <n v="0"/>
    <s v="Tapilmadi"/>
    <n v="0"/>
    <n v="0"/>
    <m/>
    <s v="Tapilmadi"/>
    <n v="0"/>
    <n v="0"/>
    <n v="0"/>
    <m/>
    <m/>
    <n v="0"/>
    <m/>
    <s v="Tapilmadi"/>
    <m/>
    <n v="0"/>
    <m/>
    <s v="Tapilmadi"/>
    <n v="1"/>
    <n v="0"/>
    <n v="0"/>
    <n v="50"/>
    <n v="0"/>
    <n v="230"/>
    <m/>
    <n v="230"/>
    <n v="0"/>
    <s v="Mesaj"/>
    <s v="Mesaj"/>
    <s v="Qəbul edilib"/>
    <s v="Təhvil verilib"/>
    <s v="Hörmətli *Sasha Amix*  ,Sizin *09,12,2024* tarixli sifarişiniz qeydə alındı. Sifariş Məbləğı *230 AZN* , Qalıq *0 AZN* . Hörmətlə  *AlumPro*"/>
    <s v="Hörmətli *Sasha Amix* , sizin *09,12,2024* tarixli  sifarişiniz hazırdır . Bizi seçdiyiniz üçün minnətdarıq. Hörmətlə  *AlumPro*."/>
    <s v="Sasha"/>
    <s v="Sasha "/>
  </r>
  <r>
    <n v="148"/>
    <s v="*ALUMPRO148*"/>
    <s v="Eli"/>
    <x v="43"/>
    <x v="31"/>
    <s v="994775015642"/>
    <m/>
    <s v="45 qara"/>
    <m/>
    <n v="0"/>
    <n v="2"/>
    <n v="46"/>
    <s v="boy"/>
    <s v="Tapilmadi"/>
    <n v="1"/>
    <n v="26"/>
    <m/>
    <s v="Tapilmadi"/>
    <n v="0"/>
    <n v="0"/>
    <n v="9"/>
    <s v="Qəhvəyi şüşə"/>
    <m/>
    <n v="20"/>
    <m/>
    <s v="Tapilmadi"/>
    <m/>
    <n v="8"/>
    <m/>
    <s v="Tapilmadi"/>
    <n v="1"/>
    <n v="0"/>
    <n v="4"/>
    <n v="30"/>
    <n v="0"/>
    <n v="143"/>
    <m/>
    <n v="144"/>
    <n v="-1"/>
    <s v="Mesaj"/>
    <s v="Mesaj"/>
    <s v="Qəbul edilib"/>
    <s v="Təhvil verilib"/>
    <s v="Hörmətli *Muxtar Fierro*  ,Sizin *09,12,2024* tarixli sifarişiniz qeydə alındı. Sifariş Məbləğı *143 AZN* , Qalıq *-1 AZN* . Hörmətlə  *AlumPro*"/>
    <s v="Hörmətli *Muxtar Fierro* , sizin *09,12,2024* tarixli  sifarişiniz hazırdır . Bizi seçdiyiniz üçün minnətdarıq. Hörmətlə  *AlumPro*."/>
    <s v="Muxtar"/>
    <s v="Muxtar "/>
  </r>
  <r>
    <n v="147"/>
    <s v="*ALUMPRO147*"/>
    <s v="Eli"/>
    <x v="43"/>
    <x v="42"/>
    <s v="994552147470"/>
    <m/>
    <s v="2x2 qızılı"/>
    <m/>
    <n v="0"/>
    <n v="3"/>
    <n v="69"/>
    <s v="boy"/>
    <s v="Tapilmadi"/>
    <n v="2"/>
    <n v="52"/>
    <s v="2x2  düz"/>
    <s v="Tapilmadi"/>
    <n v="8"/>
    <n v="32"/>
    <n v="0"/>
    <s v="Qəhvəyi şüşə"/>
    <m/>
    <n v="61"/>
    <m/>
    <s v="Tapilmadi"/>
    <m/>
    <n v="16"/>
    <m/>
    <s v="Tapilmadi"/>
    <n v="1"/>
    <n v="0"/>
    <n v="16"/>
    <n v="30"/>
    <n v="0"/>
    <n v="276"/>
    <m/>
    <n v="276"/>
    <n v="0"/>
    <s v="Mesaj"/>
    <s v="Mesaj"/>
    <s v="Qəbul edilib"/>
    <s v="Təhvil verilib"/>
    <s v="Hörmətli *Cavid Kahveci*  ,Sizin *09,12,2024* tarixli sifarişiniz qeydə alındı. Sifariş Məbləğı *276 AZN* , Qalıq *0 AZN* . Hörmətlə  *AlumPro*"/>
    <s v="Hörmətli *Cavid Kahveci* , sizin *09,12,2024* tarixli  sifarişiniz hazırdır . Bizi seçdiyiniz üçün minnətdarıq. Hörmətlə  *AlumPro*."/>
    <s v="Cavid"/>
    <s v="Cavid "/>
  </r>
  <r>
    <n v="146"/>
    <s v="*ALUMPRO146*"/>
    <s v="Eli"/>
    <x v="44"/>
    <x v="42"/>
    <s v="994552147470"/>
    <s v="qizili vega"/>
    <s v="Vega yan profil"/>
    <m/>
    <n v="0"/>
    <n v="4"/>
    <n v="600"/>
    <s v="boy"/>
    <s v="Tapilmadi"/>
    <n v="0"/>
    <n v="0"/>
    <m/>
    <s v="Tapilmadi"/>
    <n v="0"/>
    <n v="0"/>
    <n v="0"/>
    <s v="Fümə şüşə"/>
    <m/>
    <n v="0"/>
    <m/>
    <s v="Tapilmadi"/>
    <m/>
    <n v="0"/>
    <m/>
    <s v="Tapilmadi"/>
    <n v="1"/>
    <n v="360"/>
    <n v="0"/>
    <n v="140"/>
    <n v="0"/>
    <n v="1100"/>
    <m/>
    <n v="1000"/>
    <n v="100"/>
    <s v="Mesaj"/>
    <s v="Mesaj"/>
    <s v="Qəbul edilib"/>
    <s v="Təhvil verilib"/>
    <s v="Hörmətli *Cavid Kahveci*  ,Sizin *07,12,2024* tarixli sifarişiniz qeydə alındı. Sifariş Məbləğı *1100 AZN* , Qalıq *100 AZN* . Hörmətlə  *AlumPro*"/>
    <s v="Hörmətli *Cavid Kahveci* , sizin *07,12,2024* tarixli  sifarişiniz hazırdır . Bizi seçdiyiniz üçün minnətdarıq. Hörmətlə  *AlumPro*."/>
    <s v="Cavid"/>
    <s v="Cavid "/>
  </r>
  <r>
    <n v="145"/>
    <s v="*ALUMPRO145*"/>
    <s v="Eli"/>
    <x v="44"/>
    <x v="14"/>
    <s v="994772775177"/>
    <m/>
    <s v="45 qara"/>
    <m/>
    <n v="0"/>
    <n v="7"/>
    <n v="165"/>
    <s v="boy"/>
    <s v="Tapilmadi"/>
    <n v="5"/>
    <n v="130"/>
    <m/>
    <s v="Tapilmadi"/>
    <n v="0"/>
    <n v="0"/>
    <n v="36"/>
    <s v="Fümə şüşə"/>
    <m/>
    <n v="154"/>
    <m/>
    <s v="Tapilmadi"/>
    <m/>
    <n v="20"/>
    <m/>
    <s v="Tapilmadi"/>
    <n v="1"/>
    <n v="0"/>
    <n v="25"/>
    <n v="75"/>
    <n v="0"/>
    <n v="605"/>
    <m/>
    <n v="600"/>
    <n v="5"/>
    <s v="Mesaj"/>
    <s v="Mesaj"/>
    <s v="Qəbul edilib"/>
    <s v="Təhvil verilib"/>
    <s v="Hörmətli *Aksin Mahmudov*  ,Sizin *07,12,2024* tarixli sifarişiniz qeydə alındı. Sifariş Məbləğı *605 AZN* , Qalıq *5 AZN* . Hörmətlə  *AlumPro*"/>
    <s v="Hörmətli *Aksin Mahmudov* , sizin *07,12,2024* tarixli  sifarişiniz hazırdır . Bizi seçdiyiniz üçün minnətdarıq. Hörmətlə  *AlumPro*."/>
    <s v="Aksin"/>
    <s v="Aksin "/>
  </r>
  <r>
    <n v="144"/>
    <s v="*ALUMPRO144*"/>
    <s v="Eli"/>
    <x v="44"/>
    <x v="96"/>
    <n v="0"/>
    <m/>
    <s v="45 qara"/>
    <m/>
    <n v="0"/>
    <n v="3"/>
    <n v="69"/>
    <s v="boy"/>
    <s v="Tapilmadi"/>
    <n v="2"/>
    <n v="52"/>
    <m/>
    <s v="Tapilmadi"/>
    <n v="0"/>
    <n v="0"/>
    <n v="15"/>
    <s v="Fümə şüşə"/>
    <m/>
    <n v="51"/>
    <m/>
    <s v="Tapilmadi"/>
    <m/>
    <n v="8"/>
    <m/>
    <s v="Tapilmadi"/>
    <n v="1"/>
    <n v="0"/>
    <n v="8"/>
    <n v="30"/>
    <n v="0"/>
    <n v="233"/>
    <m/>
    <n v="240"/>
    <n v="-7"/>
    <s v="Mesaj"/>
    <s v="Mesaj"/>
    <s v="Qəbul edilib"/>
    <s v="Təhvil verilib"/>
    <s v="Hörmətli *Meftun Murselov*  ,Sizin *07,12,2024* tarixli sifarişiniz qeydə alındı. Sifariş Məbləğı *233 AZN* , Qalıq *-7 AZN* . Hörmətlə  *AlumPro*"/>
    <s v="Hörmətli *Meftun Murselov* , sizin *07,12,2024* tarixli  sifarişiniz hazırdır . Bizi seçdiyiniz üçün minnətdarıq. Hörmətlə  *AlumPro*."/>
    <s v="Meftun"/>
    <s v="Meftun "/>
  </r>
  <r>
    <n v="143"/>
    <s v="*ALUMPRO143*"/>
    <s v="Eli"/>
    <x v="44"/>
    <x v="50"/>
    <s v="994502150506"/>
    <m/>
    <s v="2x2 qızılı"/>
    <m/>
    <n v="0"/>
    <n v="3"/>
    <n v="69"/>
    <s v="basac"/>
    <s v="Tapilmadi"/>
    <n v="0"/>
    <n v="0"/>
    <s v="2x2  düz"/>
    <s v="Tapilmadi"/>
    <n v="6"/>
    <n v="24"/>
    <n v="0"/>
    <s v="Qəhvəyi şüşə"/>
    <m/>
    <n v="25"/>
    <m/>
    <s v="Tapilmadi"/>
    <m/>
    <n v="16"/>
    <m/>
    <s v="Tapilmadi"/>
    <n v="1"/>
    <n v="0"/>
    <n v="12"/>
    <n v="20"/>
    <n v="0"/>
    <n v="166"/>
    <m/>
    <n v="0"/>
    <n v="166"/>
    <s v="Mesaj"/>
    <s v="Mesaj"/>
    <s v="Qəbul edilib"/>
    <s v="Təhvil verilib"/>
    <s v="Hörmətli *Kamran kaya desıgn*  ,Sizin *07,12,2024* tarixli sifarişiniz qeydə alındı. Sifariş Məbləğı *166 AZN* , Qalıq *166 AZN* . Hörmətlə  *AlumPro*"/>
    <s v="Hörmətli *Kamran kaya desıgn* , sizin *07,12,2024* tarixli  sifarişiniz hazırdır . Bizi seçdiyiniz üçün minnətdarıq. Hörmətlə  *AlumPro*."/>
    <s v="Kamran"/>
    <s v="Kamran "/>
  </r>
  <r>
    <n v="142"/>
    <s v="*ALUMPRO142*"/>
    <s v="Eli"/>
    <x v="44"/>
    <x v="55"/>
    <s v="994503232344"/>
    <m/>
    <s v="2x2 qızılı"/>
    <m/>
    <n v="0"/>
    <n v="2"/>
    <n v="46"/>
    <s v="boy"/>
    <s v="Tapilmadi"/>
    <n v="1"/>
    <n v="26"/>
    <s v="2x2  düz"/>
    <s v="Tapilmadi"/>
    <n v="4"/>
    <n v="16"/>
    <n v="0"/>
    <s v="Qəhvəyi şüşə"/>
    <m/>
    <n v="36"/>
    <m/>
    <s v="Tapilmadi"/>
    <m/>
    <n v="8"/>
    <m/>
    <s v="Tapilmadi"/>
    <n v="1"/>
    <n v="0"/>
    <n v="8"/>
    <n v="15"/>
    <n v="0"/>
    <n v="155"/>
    <m/>
    <n v="0"/>
    <n v="155"/>
    <s v="Mesaj"/>
    <s v="Mesaj"/>
    <s v="Qəbul edilib"/>
    <s v="Təhvil verilib"/>
    <s v="Hörmətli *Ceyhun Bmw Doz*  ,Sizin *07,12,2024* tarixli sifarişiniz qeydə alındı. Sifariş Məbləğı *155 AZN* , Qalıq *155 AZN* . Hörmətlə  *AlumPro*"/>
    <s v="Hörmətli *Ceyhun Bmw Doz* , sizin *07,12,2024* tarixli  sifarişiniz hazırdır . Bizi seçdiyiniz üçün minnətdarıq. Hörmətlə  *AlumPro*."/>
    <s v="Ceyhun"/>
    <s v="Ceyhun "/>
  </r>
  <r>
    <n v="141"/>
    <s v="*ALUMPRO141*"/>
    <s v="Eli"/>
    <x v="44"/>
    <x v="90"/>
    <s v="994773377773"/>
    <m/>
    <s v="45 qara"/>
    <m/>
    <n v="0"/>
    <n v="10"/>
    <n v="230"/>
    <s v="boy"/>
    <s v="Tapilmadi"/>
    <n v="26"/>
    <n v="260"/>
    <m/>
    <s v="Tapilmadi"/>
    <n v="0"/>
    <n v="0"/>
    <n v="0"/>
    <s v="Fümə şüşə"/>
    <m/>
    <n v="184"/>
    <m/>
    <s v="Tapilmadi"/>
    <m/>
    <n v="40"/>
    <m/>
    <s v="Tapilmadi"/>
    <n v="1"/>
    <n v="0"/>
    <n v="40"/>
    <n v="100"/>
    <n v="0"/>
    <n v="854"/>
    <m/>
    <n v="854"/>
    <n v="0"/>
    <s v="Mesaj"/>
    <s v="Mesaj"/>
    <s v="Qəbul edilib"/>
    <s v="Təhvil verilib"/>
    <s v="Hörmətli *Eli Asbella*  ,Sizin *07,12,2024* tarixli sifarişiniz qeydə alındı. Sifariş Məbləğı *854 AZN* , Qalıq *0 AZN* . Hörmətlə  *AlumPro*"/>
    <s v="Hörmətli *Eli Asbella* , sizin *07,12,2024* tarixli  sifarişiniz hazırdır . Bizi seçdiyiniz üçün minnətdarıq. Hörmətlə  *AlumPro*."/>
    <s v="Eli"/>
    <s v="Eli "/>
  </r>
  <r>
    <n v="140"/>
    <s v="*ALUMPRO140*"/>
    <s v="Eli"/>
    <x v="44"/>
    <x v="84"/>
    <n v="0"/>
    <s v="Turk profili parlaq"/>
    <s v="45 qızılı"/>
    <m/>
    <n v="0"/>
    <n v="23"/>
    <n v="529"/>
    <s v="boy"/>
    <s v="Tapilmadi"/>
    <n v="2623"/>
    <n v="416"/>
    <m/>
    <s v="Tapilmadi"/>
    <n v="0"/>
    <n v="0"/>
    <n v="0"/>
    <s v="Temp Fümə şüşə"/>
    <m/>
    <n v="604"/>
    <m/>
    <s v="Tapilmadi"/>
    <m/>
    <n v="68"/>
    <m/>
    <s v="Tapilmadi"/>
    <n v="1"/>
    <n v="0"/>
    <n v="90"/>
    <n v="255"/>
    <n v="117"/>
    <n v="2079"/>
    <m/>
    <n v="2079"/>
    <n v="0"/>
    <s v="Mesaj"/>
    <s v="Mesaj"/>
    <s v="Qəbul edilib"/>
    <s v="Təhvil verilib"/>
    <s v="Hörmətli *Perviz Bine*  ,Sizin *07,12,2024* tarixli sifarişiniz qeydə alındı. Sifariş Məbləğı *2079 AZN* , Qalıq *0 AZN* . Hörmətlə  *AlumPro*"/>
    <s v="Hörmətli *Perviz Bine* , sizin *07,12,2024* tarixli  sifarişiniz hazırdır . Bizi seçdiyiniz üçün minnətdarıq. Hörmətlə  *AlumPro*."/>
    <s v="Perviz"/>
    <s v="Perviz "/>
  </r>
  <r>
    <n v="139"/>
    <s v="*ALUMPRO139*"/>
    <s v="Eli"/>
    <x v="44"/>
    <x v="0"/>
    <s v="994773337525"/>
    <m/>
    <s v="2x2 qara"/>
    <m/>
    <n v="0"/>
    <n v="9"/>
    <n v="207"/>
    <s v="boy"/>
    <s v="Tapilmadi"/>
    <n v="6"/>
    <n v="156"/>
    <s v="2x2  düz"/>
    <s v="Tapilmadi"/>
    <n v="30"/>
    <n v="120"/>
    <n v="0"/>
    <s v="Temp Fümə şüşə"/>
    <m/>
    <n v="194"/>
    <m/>
    <s v="Tapilmadi"/>
    <m/>
    <n v="88"/>
    <m/>
    <s v="Tapilmadi"/>
    <n v="1"/>
    <n v="0"/>
    <n v="60"/>
    <n v="130"/>
    <n v="0"/>
    <n v="955"/>
    <m/>
    <n v="955"/>
    <n v="0"/>
    <s v="Mesaj"/>
    <s v="Mesaj"/>
    <s v="Qəbul edilib"/>
    <s v="Təhvil verilib"/>
    <s v="Hörmətli *Fariz Faiq*  ,Sizin *07,12,2024* tarixli sifarişiniz qeydə alındı. Sifariş Məbləğı *955 AZN* , Qalıq *0 AZN* . Hörmətlə  *AlumPro*"/>
    <s v="Hörmətli *Fariz Faiq* , sizin *07,12,2024* tarixli  sifarişiniz hazırdır . Bizi seçdiyiniz üçün minnətdarıq. Hörmətlə  *AlumPro*."/>
    <s v="Fariz"/>
    <s v="Fariz "/>
  </r>
  <r>
    <n v="138"/>
    <s v="*ALUMPRO138*"/>
    <s v="Eli"/>
    <x v="44"/>
    <x v="1"/>
    <s v="994554094045"/>
    <m/>
    <s v="2x2 antrasit"/>
    <m/>
    <n v="0"/>
    <n v="8"/>
    <n v="184"/>
    <s v="boy"/>
    <s v="Tapilmadi"/>
    <n v="6"/>
    <n v="156"/>
    <m/>
    <s v="Tapilmadi"/>
    <m/>
    <n v="0"/>
    <n v="0"/>
    <s v="Fümə şüşə"/>
    <m/>
    <n v="217"/>
    <m/>
    <s v="Tapilmadi"/>
    <m/>
    <n v="48"/>
    <m/>
    <s v="Tapilmadi"/>
    <n v="1"/>
    <n v="0"/>
    <n v="60"/>
    <n v="90"/>
    <n v="0"/>
    <n v="755"/>
    <m/>
    <n v="755"/>
    <n v="0"/>
    <s v="Mesaj"/>
    <s v="Mesaj"/>
    <s v="Qəbul edilib"/>
    <s v="Təhvil verilib"/>
    <s v="Hörmətli *Lux Concept*  ,Sizin *07,12,2024* tarixli sifarişiniz qeydə alındı. Sifariş Məbləğı *755 AZN* , Qalıq *0 AZN* . Hörmətlə  *AlumPro*"/>
    <s v="Hörmətli *Lux Concept* , sizin *07,12,2024* tarixli  sifarişiniz hazırdır . Bizi seçdiyiniz üçün minnətdarıq. Hörmətlə  *AlumPro*."/>
    <s v="Lux"/>
    <s v="Lux "/>
  </r>
  <r>
    <n v="137"/>
    <s v="*ALUMPRO137*"/>
    <s v="Eli"/>
    <x v="44"/>
    <x v="1"/>
    <s v="994554094045"/>
    <m/>
    <s v="2x2 antrasit"/>
    <m/>
    <n v="0"/>
    <n v="7"/>
    <n v="161"/>
    <s v="boy"/>
    <s v="Tapilmadi"/>
    <n v="5"/>
    <n v="130"/>
    <m/>
    <s v="Tapilmadi"/>
    <m/>
    <n v="0"/>
    <n v="0"/>
    <s v="Qəhvəyi şüşə"/>
    <m/>
    <n v="28"/>
    <m/>
    <s v="Tapilmadi"/>
    <m/>
    <n v="48"/>
    <m/>
    <s v="Tapilmadi"/>
    <n v="1"/>
    <n v="0"/>
    <n v="50"/>
    <n v="90"/>
    <n v="0"/>
    <n v="507"/>
    <m/>
    <n v="507"/>
    <n v="0"/>
    <s v="Mesaj"/>
    <s v="Mesaj"/>
    <s v="Qəbul edilib"/>
    <s v="Təhvil verilib"/>
    <s v="Hörmətli *Lux Concept*  ,Sizin *07,12,2024* tarixli sifarişiniz qeydə alındı. Sifariş Məbləğı *507 AZN* , Qalıq *0 AZN* . Hörmətlə  *AlumPro*"/>
    <s v="Hörmətli *Lux Concept* , sizin *07,12,2024* tarixli  sifarişiniz hazırdır . Bizi seçdiyiniz üçün minnətdarıq. Hörmətlə  *AlumPro*."/>
    <s v="Lux"/>
    <s v="Lux "/>
  </r>
  <r>
    <n v="136"/>
    <s v="*ALUMPRO136*"/>
    <s v="Eli"/>
    <x v="44"/>
    <x v="97"/>
    <n v="0"/>
    <m/>
    <s v="45 qara"/>
    <m/>
    <n v="0"/>
    <n v="2"/>
    <n v="46"/>
    <s v="boy"/>
    <s v="Tapilmadi"/>
    <n v="1"/>
    <n v="26"/>
    <m/>
    <s v="Tapilmadi"/>
    <m/>
    <n v="0"/>
    <n v="9"/>
    <s v="Fümə şüşə"/>
    <m/>
    <n v="25"/>
    <m/>
    <s v="Tapilmadi"/>
    <m/>
    <n v="8"/>
    <m/>
    <s v="Tapilmadi"/>
    <n v="1"/>
    <n v="0"/>
    <n v="4"/>
    <n v="20"/>
    <n v="0"/>
    <n v="138"/>
    <m/>
    <n v="140"/>
    <n v="-2"/>
    <s v="Mesaj"/>
    <s v="Mesaj"/>
    <s v="Qəbul edilib"/>
    <s v="Təhvil verilib"/>
    <s v="Hörmətli *İbrahim Turk*  ,Sizin *07,12,2024* tarixli sifarişiniz qeydə alındı. Sifariş Məbləğı *138 AZN* , Qalıq *-2 AZN* . Hörmətlə  *AlumPro*"/>
    <s v="Hörmətli *İbrahim Turk* , sizin *07,12,2024* tarixli  sifarişiniz hazırdır . Bizi seçdiyiniz üçün minnətdarıq. Hörmətlə  *AlumPro*."/>
    <s v="İbrahim"/>
    <s v="İbrahim "/>
  </r>
  <r>
    <n v="135"/>
    <s v="*ALUMPRO135*"/>
    <s v="Eli"/>
    <x v="45"/>
    <x v="98"/>
    <n v="0"/>
    <m/>
    <s v="2x2 qara"/>
    <m/>
    <n v="0"/>
    <n v="1"/>
    <n v="23"/>
    <s v="boy"/>
    <s v="Tapilmadi"/>
    <n v="1"/>
    <n v="26"/>
    <s v="2x2  düz"/>
    <s v="Tapilmadi"/>
    <m/>
    <n v="6"/>
    <n v="0"/>
    <s v="Fümə şüşə"/>
    <m/>
    <n v="10"/>
    <m/>
    <s v="Tapilmadi"/>
    <m/>
    <n v="8"/>
    <m/>
    <s v="Tapilmadi"/>
    <n v="1"/>
    <n v="0"/>
    <n v="6"/>
    <n v="10"/>
    <n v="0"/>
    <n v="89"/>
    <m/>
    <n v="90"/>
    <n v="-1"/>
    <s v="Mesaj"/>
    <s v="Mesaj"/>
    <s v="Qəbul edilib"/>
    <s v="Təhvil verilib"/>
    <s v="Hörmətli *Camal Qəribov*  ,Sizin *05,12,2024* tarixli sifarişiniz qeydə alındı. Sifariş Məbləğı *89 AZN* , Qalıq *-1 AZN* . Hörmətlə  *AlumPro*"/>
    <s v="Hörmətli *Camal Qəribov* , sizin *05,12,2024* tarixli  sifarişiniz hazırdır . Bizi seçdiyiniz üçün minnətdarıq. Hörmətlə  *AlumPro*."/>
    <s v="Camal"/>
    <s v="Camal "/>
  </r>
  <r>
    <n v="134"/>
    <s v="*ALUMPRO134*"/>
    <s v="Eli"/>
    <x v="45"/>
    <x v="88"/>
    <s v="994706060666"/>
    <m/>
    <s v="45 qara"/>
    <m/>
    <n v="0"/>
    <n v="3"/>
    <n v="69"/>
    <s v="boy"/>
    <s v="Tapilmadi"/>
    <n v="2"/>
    <n v="52"/>
    <m/>
    <s v="Tapilmadi"/>
    <n v="0"/>
    <n v="0"/>
    <n v="15"/>
    <s v="Adi güzgü "/>
    <m/>
    <n v="76"/>
    <m/>
    <s v="Tapilmadi"/>
    <m/>
    <n v="8"/>
    <m/>
    <s v="Tapilmadi"/>
    <n v="1"/>
    <n v="0"/>
    <n v="8"/>
    <n v="30"/>
    <n v="0"/>
    <n v="258"/>
    <m/>
    <n v="258"/>
    <n v="0"/>
    <s v="Mesaj"/>
    <s v="Mesaj"/>
    <s v="Qəbul edilib"/>
    <s v="Təhvil verilib"/>
    <s v="Hörmətli *Faiq Enso*  ,Sizin *05,12,2024* tarixli sifarişiniz qeydə alındı. Sifariş Məbləğı *258 AZN* , Qalıq *0 AZN* . Hörmətlə  *AlumPro*"/>
    <s v="Hörmətli *Faiq Enso* , sizin *05,12,2024* tarixli  sifarişiniz hazırdır . Bizi seçdiyiniz üçün minnətdarıq. Hörmətlə  *AlumPro*."/>
    <s v="Faiq"/>
    <s v="Faiq "/>
  </r>
  <r>
    <n v="133"/>
    <s v="*ALUMPRO133*"/>
    <s v="Eli"/>
    <x v="45"/>
    <x v="10"/>
    <n v="0"/>
    <m/>
    <s v="2x2 qara"/>
    <m/>
    <n v="0"/>
    <n v="2"/>
    <n v="46"/>
    <s v="basac"/>
    <s v="Tapilmadi"/>
    <n v="0"/>
    <n v="0"/>
    <s v="2x2  düz"/>
    <s v="Tapilmadi"/>
    <n v="4"/>
    <n v="16"/>
    <n v="0"/>
    <s v="Fümə şüşə"/>
    <m/>
    <n v="14"/>
    <m/>
    <s v="Tapilmadi"/>
    <m/>
    <n v="16"/>
    <m/>
    <s v="Tapilmadi"/>
    <n v="1"/>
    <n v="0"/>
    <n v="8"/>
    <n v="20"/>
    <n v="0"/>
    <n v="120"/>
    <m/>
    <n v="120"/>
    <n v="0"/>
    <s v="Mesaj"/>
    <s v="Mesaj"/>
    <s v="Qəbul edilib"/>
    <s v="Təhvil verilib"/>
    <s v="Hörmətli *Celal Alumpro*  ,Sizin *05,12,2024* tarixli sifarişiniz qeydə alındı. Sifariş Məbləğı *120 AZN* , Qalıq *0 AZN* . Hörmətlə  *AlumPro*"/>
    <s v="Hörmətli *Celal Alumpro* , sizin *05,12,2024* tarixli  sifarişiniz hazırdır . Bizi seçdiyiniz üçün minnətdarıq. Hörmətlə  *AlumPro*."/>
    <s v="Celal"/>
    <s v="Celal "/>
  </r>
  <r>
    <n v="132"/>
    <s v="*ALUMPRO132*"/>
    <s v="Eli"/>
    <x v="45"/>
    <x v="38"/>
    <s v="994705137062"/>
    <m/>
    <s v="45 qızılı"/>
    <m/>
    <n v="0"/>
    <n v="8"/>
    <n v="184"/>
    <s v="boy"/>
    <s v="Tapilmadi"/>
    <n v="2"/>
    <n v="52"/>
    <m/>
    <s v="Tapilmadi"/>
    <n v="0"/>
    <n v="0"/>
    <n v="0"/>
    <s v="Qəhvəyi şüşə"/>
    <m/>
    <n v="112"/>
    <m/>
    <s v="Tapilmadi"/>
    <m/>
    <n v="16"/>
    <m/>
    <s v="Tapilmadi"/>
    <n v="1"/>
    <n v="0"/>
    <n v="16"/>
    <n v="60"/>
    <n v="0"/>
    <n v="440"/>
    <m/>
    <n v="440"/>
    <n v="0"/>
    <s v="Mesaj"/>
    <s v="Mesaj"/>
    <s v="Qəbul edilib"/>
    <s v="Təhvil verilib"/>
    <s v="Hörmətli *Mecnun Sahmurov*  ,Sizin *05,12,2024* tarixli sifarişiniz qeydə alındı. Sifariş Məbləğı *440 AZN* , Qalıq *0 AZN* . Hörmətlə  *AlumPro*"/>
    <s v="Hörmətli *Mecnun Sahmurov* , sizin *05,12,2024* tarixli  sifarişiniz hazırdır . Bizi seçdiyiniz üçün minnətdarıq. Hörmətlə  *AlumPro*."/>
    <s v="Mecnun"/>
    <s v="Mecnun "/>
  </r>
  <r>
    <n v="131"/>
    <s v="*ALUMPRO131*"/>
    <s v="Eli"/>
    <x v="45"/>
    <x v="10"/>
    <n v="0"/>
    <m/>
    <s v="45 qızılı"/>
    <m/>
    <n v="0"/>
    <n v="2"/>
    <n v="46"/>
    <s v="boy"/>
    <s v="Tapilmadi"/>
    <n v="1"/>
    <n v="26"/>
    <m/>
    <s v="Tapilmadi"/>
    <n v="0"/>
    <n v="0"/>
    <n v="0"/>
    <s v="Qara Zerkalni şüşə"/>
    <m/>
    <n v="0"/>
    <m/>
    <s v="Tapilmadi"/>
    <m/>
    <n v="4"/>
    <m/>
    <s v="Tapilmadi"/>
    <n v="1"/>
    <n v="0"/>
    <n v="4"/>
    <n v="15"/>
    <n v="0"/>
    <n v="95"/>
    <m/>
    <n v="95"/>
    <n v="0"/>
    <s v="Mesaj"/>
    <s v="Mesaj"/>
    <s v="Qəbul edilib"/>
    <s v="Təhvil verilib"/>
    <s v="Hörmətli *Celal Alumpro*  ,Sizin *05,12,2024* tarixli sifarişiniz qeydə alındı. Sifariş Məbləğı *95 AZN* , Qalıq *0 AZN* . Hörmətlə  *AlumPro*"/>
    <s v="Hörmətli *Celal Alumpro* , sizin *05,12,2024* tarixli  sifarişiniz hazırdır . Bizi seçdiyiniz üçün minnətdarıq. Hörmətlə  *AlumPro*."/>
    <s v="Celal"/>
    <s v="Celal "/>
  </r>
  <r>
    <n v="130"/>
    <s v="*ALUMPRO130*"/>
    <s v="Eli"/>
    <x v="45"/>
    <x v="99"/>
    <s v="994553333144"/>
    <m/>
    <s v="45 qara"/>
    <m/>
    <n v="0"/>
    <n v="7"/>
    <n v="161"/>
    <s v="boy"/>
    <s v="Tapilmadi"/>
    <n v="2"/>
    <n v="52"/>
    <m/>
    <s v="Tapilmadi"/>
    <n v="0"/>
    <n v="0"/>
    <n v="27"/>
    <s v="Qara Zerkalni şüşə"/>
    <m/>
    <n v="141"/>
    <m/>
    <s v="Tapilmadi"/>
    <m/>
    <n v="20"/>
    <m/>
    <s v="Tapilmadi"/>
    <n v="1"/>
    <n v="0"/>
    <n v="16"/>
    <n v="70"/>
    <n v="0"/>
    <n v="487"/>
    <m/>
    <n v="0"/>
    <n v="487"/>
    <s v="Mesaj"/>
    <s v="Mesaj"/>
    <s v="Qəbul edilib"/>
    <s v="Təhvil verilib"/>
    <s v="Hörmətli *Resid Kaya Dizayn*  ,Sizin *05,12,2024* tarixli sifarişiniz qeydə alındı. Sifariş Məbləğı *487 AZN* , Qalıq *487 AZN* . Hörmətlə  *AlumPro*"/>
    <s v="Hörmətli *Resid Kaya Dizayn* , sizin *05,12,2024* tarixli  sifarişiniz hazırdır . Bizi seçdiyiniz üçün minnətdarıq. Hörmətlə  *AlumPro*."/>
    <s v="Resid"/>
    <s v="Resid "/>
  </r>
  <r>
    <n v="129"/>
    <s v="*ALUMPRO129*"/>
    <s v="Eli"/>
    <x v="45"/>
    <x v="99"/>
    <s v="994553333144"/>
    <m/>
    <s v="45 qızılı"/>
    <m/>
    <n v="0"/>
    <n v="7"/>
    <n v="161"/>
    <s v="boy"/>
    <s v="Tapilmadi"/>
    <n v="5"/>
    <n v="130"/>
    <m/>
    <s v="Tapilmadi"/>
    <n v="0"/>
    <n v="0"/>
    <n v="0"/>
    <s v="Qəhvəyi zerkalni şüşə"/>
    <m/>
    <n v="221"/>
    <m/>
    <s v="Tapilmadi"/>
    <m/>
    <n v="20"/>
    <m/>
    <s v="Tapilmadi"/>
    <n v="1"/>
    <n v="0"/>
    <n v="25"/>
    <n v="75"/>
    <n v="0"/>
    <n v="632"/>
    <m/>
    <n v="619"/>
    <n v="13"/>
    <s v="Mesaj"/>
    <s v="Mesaj"/>
    <s v="Qəbul edilib"/>
    <s v="Təhvil verilib"/>
    <s v="Hörmətli *Resid Kaya Dizayn*  ,Sizin *05,12,2024* tarixli sifarişiniz qeydə alındı. Sifariş Məbləğı *632 AZN* , Qalıq *13 AZN* . Hörmətlə  *AlumPro*"/>
    <s v="Hörmətli *Resid Kaya Dizayn* , sizin *05,12,2024* tarixli  sifarişiniz hazırdır . Bizi seçdiyiniz üçün minnətdarıq. Hörmətlə  *AlumPro*."/>
    <s v="Resid"/>
    <s v="Resid "/>
  </r>
  <r>
    <n v="128"/>
    <s v="*ALUMPRO128*"/>
    <s v="Eli"/>
    <x v="45"/>
    <x v="100"/>
    <s v="994559074443"/>
    <s v="konus 4 teref qizili"/>
    <s v="Konus qulp"/>
    <m/>
    <n v="0"/>
    <n v="6"/>
    <n v="180"/>
    <s v="20 sm gomme"/>
    <s v="Tapilmadi"/>
    <n v="4"/>
    <n v="100"/>
    <m/>
    <s v="Tapilmadi"/>
    <n v="0"/>
    <n v="0"/>
    <n v="0"/>
    <s v="Qəhvəyi refle şüşə"/>
    <m/>
    <n v="970"/>
    <m/>
    <s v="Tapilmadi"/>
    <m/>
    <n v="16"/>
    <m/>
    <s v="Tapilmadi"/>
    <n v="1"/>
    <n v="0"/>
    <n v="11"/>
    <n v="60"/>
    <n v="0"/>
    <n v="1337"/>
    <m/>
    <n v="1337"/>
    <n v="0"/>
    <s v="Mesaj"/>
    <s v="Mesaj"/>
    <s v="Qəbul edilib"/>
    <s v="Təhvil verilib"/>
    <s v="Hörmətli *Heyder Tehmasib*  ,Sizin *05,12,2024* tarixli sifarişiniz qeydə alındı. Sifariş Məbləğı *1337 AZN* , Qalıq *0 AZN* . Hörmətlə  *AlumPro*"/>
    <s v="Hörmətli *Heyder Tehmasib* , sizin *05,12,2024* tarixli  sifarişiniz hazırdır . Bizi seçdiyiniz üçün minnətdarıq. Hörmətlə  *AlumPro*."/>
    <s v="Heyder"/>
    <s v="Heyder "/>
  </r>
  <r>
    <n v="127"/>
    <s v="*ALUMPRO127*"/>
    <s v="Eli"/>
    <x v="45"/>
    <x v="101"/>
    <s v="994552308880"/>
    <m/>
    <s v="45 qara"/>
    <m/>
    <n v="0"/>
    <n v="2"/>
    <n v="46"/>
    <s v="qaligi var"/>
    <s v="Tapilmadi"/>
    <n v="0"/>
    <n v="0"/>
    <m/>
    <s v="Tapilmadi"/>
    <n v="0"/>
    <n v="0"/>
    <n v="6"/>
    <s v="Fümə şüşə"/>
    <m/>
    <n v="25"/>
    <m/>
    <s v="Tapilmadi"/>
    <m/>
    <n v="6"/>
    <m/>
    <s v="Tapilmadi"/>
    <n v="1"/>
    <n v="0"/>
    <n v="8"/>
    <n v="40"/>
    <n v="0"/>
    <n v="131"/>
    <m/>
    <n v="131"/>
    <n v="0"/>
    <s v="Mesaj"/>
    <s v="Mesaj"/>
    <s v="Qəbul edilib"/>
    <s v="Təhvil verilib"/>
    <s v="Hörmətli *Abbas Cermet*  ,Sizin *05,12,2024* tarixli sifarişiniz qeydə alındı. Sifariş Məbləğı *131 AZN* , Qalıq *0 AZN* . Hörmətlə  *AlumPro*"/>
    <s v="Hörmətli *Abbas Cermet* , sizin *05,12,2024* tarixli  sifarişiniz hazırdır . Bizi seçdiyiniz üçün minnətdarıq. Hörmətlə  *AlumPro*."/>
    <s v="Abbas"/>
    <s v="Abbas "/>
  </r>
  <r>
    <n v="126"/>
    <s v="*ALUMPRO126*"/>
    <s v="Eli"/>
    <x v="45"/>
    <x v="41"/>
    <s v="994703251513"/>
    <m/>
    <s v="45 qara"/>
    <m/>
    <n v="0"/>
    <n v="1"/>
    <n v="23"/>
    <s v="boy"/>
    <s v="Tapilmadi"/>
    <n v="1"/>
    <n v="26"/>
    <m/>
    <s v="Tapilmadi"/>
    <n v="0"/>
    <n v="0"/>
    <n v="6"/>
    <s v="Fümə şüşə"/>
    <m/>
    <n v="13"/>
    <m/>
    <s v="Tapilmadi"/>
    <m/>
    <n v="8"/>
    <m/>
    <s v="Tapilmadi"/>
    <n v="1"/>
    <n v="0"/>
    <n v="4"/>
    <n v="20"/>
    <n v="0"/>
    <n v="100"/>
    <m/>
    <n v="100"/>
    <n v="0"/>
    <s v="Mesaj"/>
    <s v="Mesaj"/>
    <s v="Qəbul edilib"/>
    <s v="Təhvil verilib"/>
    <s v="Hörmətli *Eshqin Lastella*  ,Sizin *05,12,2024* tarixli sifarişiniz qeydə alındı. Sifariş Məbləğı *100 AZN* , Qalıq *0 AZN* . Hörmətlə  *AlumPro*"/>
    <s v="Hörmətli *Eshqin Lastella* , sizin *05,12,2024* tarixli  sifarişiniz hazırdır . Bizi seçdiyiniz üçün minnətdarıq. Hörmətlə  *AlumPro*."/>
    <s v="Eshqin"/>
    <s v="Eshqin "/>
  </r>
  <r>
    <n v="125"/>
    <s v="*ALUMPRO125*"/>
    <s v="Eli"/>
    <x v="45"/>
    <x v="29"/>
    <s v="994773002223"/>
    <m/>
    <s v="2x2 qara"/>
    <m/>
    <n v="0"/>
    <n v="3"/>
    <n v="69"/>
    <s v="boy"/>
    <s v="Tapilmadi"/>
    <n v="3"/>
    <n v="78"/>
    <s v="2x2  düz"/>
    <s v="Tapilmadi"/>
    <n v="8"/>
    <n v="32"/>
    <n v="0"/>
    <s v="Şəffaf şüşə"/>
    <m/>
    <n v="45"/>
    <m/>
    <s v="Tapilmadi"/>
    <m/>
    <n v="24"/>
    <m/>
    <s v="Tapilmadi"/>
    <n v="1"/>
    <n v="0"/>
    <n v="16"/>
    <n v="45"/>
    <n v="0"/>
    <n v="309"/>
    <m/>
    <n v="309"/>
    <n v="0"/>
    <s v="Mesaj"/>
    <s v="Mesaj"/>
    <s v="Qəbul edilib"/>
    <s v="Təhvil verilib"/>
    <s v="Hörmətli *Elsever Vusal Gedebey*  ,Sizin *05,12,2024* tarixli sifarişiniz qeydə alındı. Sifariş Məbləğı *309 AZN* , Qalıq *0 AZN* . Hörmətlə  *AlumPro*"/>
    <s v="Hörmətli *Elsever Vusal Gedebey* , sizin *05,12,2024* tarixli  sifarişiniz hazırdır . Bizi seçdiyiniz üçün minnətdarıq. Hörmətlə  *AlumPro*."/>
    <s v="Elsever"/>
    <s v="Elsever "/>
  </r>
  <r>
    <n v="124"/>
    <s v="*ALUMPRO124*"/>
    <s v="Eli"/>
    <x v="45"/>
    <x v="29"/>
    <s v="994773002223"/>
    <m/>
    <s v="45 qızılı"/>
    <m/>
    <n v="0"/>
    <n v="4"/>
    <n v="92"/>
    <s v="boy"/>
    <s v="Tapilmadi"/>
    <n v="3"/>
    <n v="78"/>
    <m/>
    <s v="Tapilmadi"/>
    <n v="0"/>
    <n v="0"/>
    <n v="0"/>
    <s v="Qəhvəyi zerkalni şüşə"/>
    <m/>
    <n v="106"/>
    <m/>
    <s v="Tapilmadi"/>
    <m/>
    <n v="12"/>
    <m/>
    <s v="Tapilmadi"/>
    <n v="1"/>
    <n v="0"/>
    <n v="15"/>
    <n v="45"/>
    <n v="2"/>
    <n v="350"/>
    <m/>
    <n v="350"/>
    <n v="0"/>
    <s v="Mesaj"/>
    <s v="Mesaj"/>
    <s v="Qəbul edilib"/>
    <s v="Təhvil verilib"/>
    <s v="Hörmətli *Elsever Vusal Gedebey*  ,Sizin *05,12,2024* tarixli sifarişiniz qeydə alındı. Sifariş Məbləğı *350 AZN* , Qalıq *0 AZN* . Hörmətlə  *AlumPro*"/>
    <s v="Hörmətli *Elsever Vusal Gedebey* , sizin *05,12,2024* tarixli  sifarişiniz hazırdır . Bizi seçdiyiniz üçün minnətdarıq. Hörmətlə  *AlumPro*."/>
    <s v="Elsever"/>
    <s v="Elsever "/>
  </r>
  <r>
    <n v="123"/>
    <s v="*ALUMPRO123*"/>
    <s v="Eli"/>
    <x v="45"/>
    <x v="81"/>
    <n v="0"/>
    <m/>
    <s v="45 qızılı"/>
    <m/>
    <n v="0"/>
    <n v="2"/>
    <n v="46"/>
    <s v="boy"/>
    <s v="Tapilmadi"/>
    <n v="2"/>
    <n v="52"/>
    <m/>
    <s v="Tapilmadi"/>
    <n v="0"/>
    <n v="0"/>
    <n v="0"/>
    <s v="Fümə şüşə"/>
    <m/>
    <n v="35"/>
    <m/>
    <s v="Tapilmadi"/>
    <m/>
    <n v="8"/>
    <m/>
    <s v="Tapilmadi"/>
    <n v="1"/>
    <n v="0"/>
    <n v="8"/>
    <n v="30"/>
    <n v="51"/>
    <n v="230"/>
    <m/>
    <n v="230"/>
    <n v="0"/>
    <s v="Mesaj"/>
    <s v="Mesaj"/>
    <s v="Qəbul edilib"/>
    <s v="Təhvil verilib"/>
    <s v="Hörmətli *Ceyhun Kaktus*  ,Sizin *05,12,2024* tarixli sifarişiniz qeydə alındı. Sifariş Məbləğı *230 AZN* , Qalıq *0 AZN* . Hörmətlə  *AlumPro*"/>
    <s v="Hörmətli *Ceyhun Kaktus* , sizin *05,12,2024* tarixli  sifarişiniz hazırdır . Bizi seçdiyiniz üçün minnətdarıq. Hörmətlə  *AlumPro*."/>
    <s v="Ceyhun"/>
    <s v="Ceyhun "/>
  </r>
  <r>
    <n v="122"/>
    <s v="*ALUMPRO122*"/>
    <s v="Eli"/>
    <x v="45"/>
    <x v="41"/>
    <s v="994703251513"/>
    <m/>
    <s v="45 qara"/>
    <m/>
    <n v="0"/>
    <n v="10"/>
    <n v="230"/>
    <s v="boy"/>
    <s v="Tapilmadi"/>
    <n v="8"/>
    <n v="208"/>
    <m/>
    <s v="Tapilmadi"/>
    <n v="0"/>
    <n v="0"/>
    <n v="54"/>
    <s v="Fümə şüşə"/>
    <m/>
    <n v="238"/>
    <m/>
    <s v="Tapilmadi"/>
    <m/>
    <n v="32"/>
    <m/>
    <s v="Tapilmadi"/>
    <n v="1"/>
    <n v="0"/>
    <n v="32"/>
    <n v="120"/>
    <n v="0"/>
    <n v="914"/>
    <m/>
    <n v="914"/>
    <n v="0"/>
    <s v="Mesaj"/>
    <s v="Mesaj"/>
    <s v="Qəbul edilib"/>
    <s v="Təhvil verilib"/>
    <s v="Hörmətli *Eshqin Lastella*  ,Sizin *05,12,2024* tarixli sifarişiniz qeydə alındı. Sifariş Məbləğı *914 AZN* , Qalıq *0 AZN* . Hörmətlə  *AlumPro*"/>
    <s v="Hörmətli *Eshqin Lastella* , sizin *05,12,2024* tarixli  sifarişiniz hazırdır . Bizi seçdiyiniz üçün minnətdarıq. Hörmətlə  *AlumPro*."/>
    <s v="Eshqin"/>
    <s v="Eshqin "/>
  </r>
  <r>
    <n v="121"/>
    <s v="*ALUMPRO121*"/>
    <s v="Eli"/>
    <x v="46"/>
    <x v="102"/>
    <s v="994518162431"/>
    <s v="Qızılı"/>
    <s v="Mərmər"/>
    <m/>
    <n v="0"/>
    <n v="6"/>
    <n v="180"/>
    <n v="0"/>
    <s v="Tapilmadi"/>
    <n v="0"/>
    <n v="0"/>
    <m/>
    <s v="Tapilmadi"/>
    <n v="0"/>
    <n v="0"/>
    <n v="0"/>
    <s v="Adi güzgü "/>
    <m/>
    <n v="103"/>
    <m/>
    <s v="Tapilmadi"/>
    <m/>
    <n v="16"/>
    <m/>
    <s v="Tapilmadi"/>
    <n v="1"/>
    <n v="0"/>
    <n v="8"/>
    <n v="60"/>
    <n v="0"/>
    <n v="367"/>
    <m/>
    <n v="370"/>
    <n v="-3"/>
    <s v="Mesaj"/>
    <s v="Mesaj"/>
    <s v="Qəbul edilib"/>
    <s v="Təhvil verilib"/>
    <s v="Hörmətli *Hakim Klyent*  ,Sizin *04,12,2024* tarixli sifarişiniz qeydə alındı. Sifariş Məbləğı *367 AZN* , Qalıq *-3 AZN* . Hörmətlə  *AlumPro*"/>
    <s v="Hörmətli *Hakim Klyent* , sizin *04,12,2024* tarixli  sifarişiniz hazırdır . Bizi seçdiyiniz üçün minnətdarıq. Hörmətlə  *AlumPro*."/>
    <s v="Hakim"/>
    <s v="Hakim "/>
  </r>
  <r>
    <n v="120"/>
    <s v="*ALUMPRO120*"/>
    <s v="Eli"/>
    <x v="46"/>
    <x v="88"/>
    <s v="994706060666"/>
    <m/>
    <s v="2x2 qara"/>
    <m/>
    <n v="0"/>
    <n v="8"/>
    <n v="184"/>
    <s v="boy"/>
    <s v="Tapilmadi"/>
    <n v="4"/>
    <n v="104"/>
    <s v="2x2  düz"/>
    <s v="Tapilmadi"/>
    <n v="24"/>
    <n v="96"/>
    <n v="0"/>
    <s v="Qəhvəyi şüşə"/>
    <m/>
    <n v="176"/>
    <m/>
    <s v="Tapilmadi"/>
    <m/>
    <n v="72"/>
    <m/>
    <s v="Tapilmadi"/>
    <n v="1"/>
    <n v="0"/>
    <n v="48"/>
    <n v="105"/>
    <n v="65"/>
    <n v="850"/>
    <m/>
    <n v="850"/>
    <n v="0"/>
    <s v="Mesaj"/>
    <s v="Mesaj"/>
    <s v="Qəbul edilib"/>
    <s v="Təhvil verilib"/>
    <s v="Hörmətli *Faiq Enso*  ,Sizin *04,12,2024* tarixli sifarişiniz qeydə alındı. Sifariş Məbləğı *850 AZN* , Qalıq *0 AZN* . Hörmətlə  *AlumPro*"/>
    <s v="Hörmətli *Faiq Enso* , sizin *04,12,2024* tarixli  sifarişiniz hazırdır . Bizi seçdiyiniz üçün minnətdarıq. Hörmətlə  *AlumPro*."/>
    <s v="Faiq"/>
    <s v="Faiq "/>
  </r>
  <r>
    <n v="119"/>
    <s v="*ALUMPRO119*"/>
    <s v="Eli"/>
    <x v="46"/>
    <x v="43"/>
    <s v="994554991784"/>
    <m/>
    <s v="2x2 qara"/>
    <m/>
    <n v="0"/>
    <n v="3"/>
    <n v="69"/>
    <s v="boy"/>
    <s v="Tapilmadi"/>
    <n v="2"/>
    <n v="52"/>
    <s v="2x2  düz"/>
    <s v="Tapilmadi"/>
    <n v="10"/>
    <n v="40"/>
    <n v="0"/>
    <s v="Adi güzgü "/>
    <m/>
    <n v="110"/>
    <m/>
    <s v="Tapilmadi"/>
    <m/>
    <n v="16"/>
    <m/>
    <s v="Tapilmadi"/>
    <n v="1"/>
    <n v="0"/>
    <n v="20"/>
    <n v="30"/>
    <n v="0"/>
    <n v="337"/>
    <m/>
    <n v="337"/>
    <n v="0"/>
    <s v="Mesaj"/>
    <s v="Mesaj"/>
    <s v="Qəbul edilib"/>
    <s v="Təhvil verilib"/>
    <s v="Hörmətli *Vusal Nusalov*  ,Sizin *04,12,2024* tarixli sifarişiniz qeydə alındı. Sifariş Məbləğı *337 AZN* , Qalıq *0 AZN* . Hörmətlə  *AlumPro*"/>
    <s v="Hörmətli *Vusal Nusalov* , sizin *04,12,2024* tarixli  sifarişiniz hazırdır . Bizi seçdiyiniz üçün minnətdarıq. Hörmətlə  *AlumPro*."/>
    <s v="Vusal"/>
    <s v="Vusal "/>
  </r>
  <r>
    <n v="118"/>
    <s v="*ALUMPRO118*"/>
    <s v="Eli"/>
    <x v="46"/>
    <x v="103"/>
    <s v="994557303626"/>
    <m/>
    <s v="45 qara"/>
    <m/>
    <n v="0"/>
    <n v="1"/>
    <n v="23"/>
    <s v="boy"/>
    <s v="Tapilmadi"/>
    <n v="1"/>
    <n v="26"/>
    <m/>
    <s v="Tapilmadi"/>
    <n v="0"/>
    <n v="0"/>
    <n v="0"/>
    <s v="Fümə şüşə"/>
    <m/>
    <n v="11"/>
    <m/>
    <s v="Tapilmadi"/>
    <m/>
    <n v="4"/>
    <m/>
    <s v="Tapilmadi"/>
    <n v="1"/>
    <n v="0"/>
    <n v="4"/>
    <n v="30"/>
    <n v="0"/>
    <n v="98"/>
    <m/>
    <n v="98"/>
    <n v="0"/>
    <s v="Mesaj"/>
    <s v="Mesaj"/>
    <s v="Qəbul edilib"/>
    <s v="Təhvil verilib"/>
    <s v="Hörmətli *Soltan Musteri*  ,Sizin *04,12,2024* tarixli sifarişiniz qeydə alındı. Sifariş Məbləğı *98 AZN* , Qalıq *0 AZN* . Hörmətlə  *AlumPro*"/>
    <s v="Hörmətli *Soltan Musteri* , sizin *04,12,2024* tarixli  sifarişiniz hazırdır . Bizi seçdiyiniz üçün minnətdarıq. Hörmətlə  *AlumPro*."/>
    <s v="Soltan"/>
    <s v="Soltan "/>
  </r>
  <r>
    <n v="117"/>
    <s v="*ALUMPRO117*"/>
    <s v="Eli"/>
    <x v="46"/>
    <x v="103"/>
    <s v="994557303626"/>
    <m/>
    <s v="45 qara"/>
    <m/>
    <n v="0"/>
    <n v="5"/>
    <n v="115"/>
    <s v="basac"/>
    <s v="Tapilmadi"/>
    <n v="0"/>
    <n v="0"/>
    <m/>
    <s v="Tapilmadi"/>
    <n v="0"/>
    <n v="0"/>
    <n v="15"/>
    <s v="Fümə şüşə"/>
    <m/>
    <n v="45"/>
    <m/>
    <s v="Tapilmadi"/>
    <m/>
    <n v="24"/>
    <m/>
    <s v="Tapilmadi"/>
    <n v="1"/>
    <n v="0"/>
    <n v="12"/>
    <n v="60"/>
    <n v="0"/>
    <n v="271"/>
    <m/>
    <n v="271"/>
    <n v="0"/>
    <s v="Mesaj"/>
    <s v="Mesaj"/>
    <s v="Qəbul edilib"/>
    <s v="Təhvil verilib"/>
    <s v="Hörmətli *Soltan Musteri*  ,Sizin *04,12,2024* tarixli sifarişiniz qeydə alındı. Sifariş Məbləğı *271 AZN* , Qalıq *0 AZN* . Hörmətlə  *AlumPro*"/>
    <s v="Hörmətli *Soltan Musteri* , sizin *04,12,2024* tarixli  sifarişiniz hazırdır . Bizi seçdiyiniz üçün minnətdarıq. Hörmətlə  *AlumPro*."/>
    <s v="Soltan"/>
    <s v="Soltan "/>
  </r>
  <r>
    <n v="116"/>
    <s v="*ALUMPRO116*"/>
    <s v="Eli"/>
    <x v="46"/>
    <x v="103"/>
    <s v="994557303626"/>
    <m/>
    <s v="45 qızılı"/>
    <m/>
    <n v="0"/>
    <n v="2"/>
    <n v="46"/>
    <s v="boy"/>
    <s v="Tapilmadi"/>
    <n v="1"/>
    <n v="26"/>
    <m/>
    <s v="Tapilmadi"/>
    <n v="0"/>
    <n v="0"/>
    <n v="0"/>
    <s v="Qəhvəyi şüşə"/>
    <m/>
    <n v="25"/>
    <m/>
    <s v="Tapilmadi"/>
    <m/>
    <n v="6"/>
    <m/>
    <s v="Tapilmadi"/>
    <n v="1"/>
    <n v="0"/>
    <n v="6"/>
    <n v="30"/>
    <n v="0"/>
    <n v="139"/>
    <m/>
    <n v="139"/>
    <n v="0"/>
    <s v="Mesaj"/>
    <s v="Mesaj"/>
    <s v="Qəbul edilib"/>
    <s v="Təhvil verilib"/>
    <s v="Hörmətli *Soltan Musteri*  ,Sizin *04,12,2024* tarixli sifarişiniz qeydə alındı. Sifariş Məbləğı *139 AZN* , Qalıq *0 AZN* . Hörmətlə  *AlumPro*"/>
    <s v="Hörmətli *Soltan Musteri* , sizin *04,12,2024* tarixli  sifarişiniz hazırdır . Bizi seçdiyiniz üçün minnətdarıq. Hörmətlə  *AlumPro*."/>
    <s v="Soltan"/>
    <s v="Soltan "/>
  </r>
  <r>
    <n v="115"/>
    <s v="*ALUMPRO115*"/>
    <s v="Eli"/>
    <x v="47"/>
    <x v="1"/>
    <s v="994554094045"/>
    <m/>
    <s v="2x2 qara"/>
    <m/>
    <n v="0"/>
    <n v="2"/>
    <n v="46"/>
    <s v="basac"/>
    <s v="Tapilmadi"/>
    <n v="0"/>
    <n v="0"/>
    <s v="2x2  düz"/>
    <s v="Tapilmadi"/>
    <n v="4"/>
    <n v="16"/>
    <n v="0"/>
    <s v="Fümə şüşə"/>
    <m/>
    <n v="20"/>
    <m/>
    <s v="Tapilmadi"/>
    <m/>
    <n v="8"/>
    <m/>
    <s v="Tapilmadi"/>
    <n v="1"/>
    <n v="0"/>
    <n v="8"/>
    <n v="15"/>
    <n v="0"/>
    <n v="113"/>
    <m/>
    <n v="113"/>
    <n v="0"/>
    <s v="Mesaj"/>
    <s v="Mesaj"/>
    <s v="Qəbul edilib"/>
    <s v="Təhvil verilib"/>
    <s v="Hörmətli *Lux Concept*  ,Sizin *03,12,2024* tarixli sifarişiniz qeydə alındı. Sifariş Məbləğı *113 AZN* , Qalıq *0 AZN* . Hörmətlə  *AlumPro*"/>
    <s v="Hörmətli *Lux Concept* , sizin *03,12,2024* tarixli  sifarişiniz hazırdır . Bizi seçdiyiniz üçün minnətdarıq. Hörmətlə  *AlumPro*."/>
    <s v="Lux"/>
    <s v="Lux "/>
  </r>
  <r>
    <n v="114"/>
    <s v="*ALUMPRO114*"/>
    <s v="Eli"/>
    <x v="47"/>
    <x v="5"/>
    <s v="994506218984"/>
    <m/>
    <s v="45 qara"/>
    <m/>
    <n v="0"/>
    <n v="3"/>
    <n v="69"/>
    <s v="boy"/>
    <s v="Tapilmadi"/>
    <n v="2"/>
    <n v="52"/>
    <m/>
    <s v="Tapilmadi"/>
    <n v="0"/>
    <n v="0"/>
    <n v="15"/>
    <s v="Temp Fümə şüşə"/>
    <m/>
    <n v="67"/>
    <m/>
    <s v="Tapilmadi"/>
    <m/>
    <n v="8"/>
    <m/>
    <s v="Tapilmadi"/>
    <n v="1"/>
    <n v="0"/>
    <n v="8"/>
    <n v="30"/>
    <n v="0"/>
    <n v="249"/>
    <m/>
    <n v="250"/>
    <n v="-1"/>
    <s v="Mesaj"/>
    <s v="Mesaj"/>
    <s v="Qəbul edilib"/>
    <s v="Təhvil verilib"/>
    <s v="Hörmətli *Omer Isazade*  ,Sizin *03,12,2024* tarixli sifarişiniz qeydə alındı. Sifariş Məbləğı *249 AZN* , Qalıq *-1 AZN* . Hörmətlə  *AlumPro*"/>
    <s v="Hörmətli *Omer Isazade* , sizin *03,12,2024* tarixli  sifarişiniz hazırdır . Bizi seçdiyiniz üçün minnətdarıq. Hörmətlə  *AlumPro*."/>
    <s v="Omer"/>
    <s v="Omer "/>
  </r>
  <r>
    <n v="113"/>
    <s v="*ALUMPRO113*"/>
    <s v="Eli"/>
    <x v="47"/>
    <x v="26"/>
    <s v="994502573567"/>
    <m/>
    <s v="2x2 qızılı"/>
    <m/>
    <n v="0"/>
    <n v="3"/>
    <n v="69"/>
    <s v="boy"/>
    <s v="Tapilmadi"/>
    <n v="2"/>
    <n v="52"/>
    <s v="2x2  düz"/>
    <s v="Tapilmadi"/>
    <n v="8"/>
    <n v="32"/>
    <n v="0"/>
    <s v="Adi güzgü "/>
    <m/>
    <n v="119"/>
    <m/>
    <s v="Tapilmadi"/>
    <m/>
    <n v="16"/>
    <m/>
    <s v="Tapilmadi"/>
    <n v="1"/>
    <n v="0"/>
    <n v="16"/>
    <n v="30"/>
    <n v="0"/>
    <n v="334"/>
    <m/>
    <n v="334"/>
    <n v="0"/>
    <s v="Mesaj"/>
    <s v="Mesaj"/>
    <s v="Qəbul edilib"/>
    <s v="Təhvil verilib"/>
    <s v="Hörmətli *Rovsen Sex Mebel*  ,Sizin *03,12,2024* tarixli sifarişiniz qeydə alındı. Sifariş Məbləğı *334 AZN* , Qalıq *0 AZN* . Hörmətlə  *AlumPro*"/>
    <s v="Hörmətli *Rovsen Sex Mebel* , sizin *03,12,2024* tarixli  sifarişiniz hazırdır . Bizi seçdiyiniz üçün minnətdarıq. Hörmətlə  *AlumPro*."/>
    <s v="Rovsen"/>
    <s v="Rovsen "/>
  </r>
  <r>
    <n v="112"/>
    <s v="*ALUMPRO112*"/>
    <s v="Eli"/>
    <x v="47"/>
    <x v="104"/>
    <s v="994503135243"/>
    <m/>
    <s v="45 qızılı"/>
    <m/>
    <n v="0"/>
    <n v="3"/>
    <n v="69"/>
    <s v="boy"/>
    <s v="Tapilmadi"/>
    <n v="2"/>
    <n v="52"/>
    <m/>
    <s v="Tapilmadi"/>
    <n v="0"/>
    <n v="0"/>
    <n v="0"/>
    <s v="Qəhvəyi şüşə"/>
    <m/>
    <n v="73"/>
    <m/>
    <s v="Tapilmadi"/>
    <m/>
    <n v="8"/>
    <m/>
    <s v="Tapilmadi"/>
    <n v="1"/>
    <n v="0"/>
    <n v="8"/>
    <n v="30"/>
    <n v="0"/>
    <n v="240"/>
    <m/>
    <n v="240"/>
    <n v="0"/>
    <s v="Mesaj"/>
    <s v="Mesaj"/>
    <s v="Qəbul edilib"/>
    <s v="Təhvil verilib"/>
    <s v="Hörmətli *Natiq Emrahov*  ,Sizin *03,12,2024* tarixli sifarişiniz qeydə alındı. Sifariş Məbləğı *240 AZN* , Qalıq *0 AZN* . Hörmətlə  *AlumPro*"/>
    <s v="Hörmətli *Natiq Emrahov* , sizin *03,12,2024* tarixli  sifarişiniz hazırdır . Bizi seçdiyiniz üçün minnətdarıq. Hörmətlə  *AlumPro*."/>
    <s v="Natiq"/>
    <s v="Natiq "/>
  </r>
  <r>
    <n v="111"/>
    <s v="*ALUMPRO111*"/>
    <s v="Eli"/>
    <x v="47"/>
    <x v="105"/>
    <s v="994512908667"/>
    <m/>
    <s v="45 qara"/>
    <m/>
    <n v="0"/>
    <n v="2"/>
    <n v="46"/>
    <s v="basac"/>
    <s v="Tapilmadi"/>
    <n v="0"/>
    <n v="0"/>
    <m/>
    <s v="Tapilmadi"/>
    <n v="0"/>
    <n v="0"/>
    <n v="6"/>
    <s v="Fümə şüşə"/>
    <m/>
    <n v="26"/>
    <m/>
    <s v="Tapilmadi"/>
    <m/>
    <n v="4"/>
    <m/>
    <s v="Tapilmadi"/>
    <n v="1"/>
    <n v="0"/>
    <n v="4"/>
    <n v="15"/>
    <n v="0"/>
    <n v="101"/>
    <n v="1"/>
    <n v="100"/>
    <n v="0"/>
    <s v="Mesaj"/>
    <s v="Mesaj"/>
    <s v="Qəbul edilib"/>
    <s v="Təhvil verilib"/>
    <s v="Hörmətli *Emin Abdullayev*  ,Sizin *03,12,2024* tarixli sifarişiniz qeydə alındı. Sifariş Məbləğı *101 AZN* , Qalıq *0 AZN* . Hörmətlə  *AlumPro*"/>
    <s v="Hörmətli *Emin Abdullayev* , sizin *03,12,2024* tarixli  sifarişiniz hazırdır . Bizi seçdiyiniz üçün minnətdarıq. Hörmətlə  *AlumPro*."/>
    <s v="Emin"/>
    <s v="Emin "/>
  </r>
  <r>
    <n v="110"/>
    <s v="*ALUMPRO110*"/>
    <s v="Eli"/>
    <x v="48"/>
    <x v="11"/>
    <s v="994502111355"/>
    <m/>
    <s v="2x2 qara"/>
    <m/>
    <n v="0"/>
    <n v="4"/>
    <n v="92"/>
    <s v="basac"/>
    <s v="Tapilmadi"/>
    <n v="0"/>
    <n v="0"/>
    <s v="2x2  düz"/>
    <s v="Tapilmadi"/>
    <n v="12"/>
    <n v="48"/>
    <n v="0"/>
    <s v="Fümə şüşə"/>
    <m/>
    <n v="28"/>
    <m/>
    <s v="Tapilmadi"/>
    <m/>
    <n v="48"/>
    <m/>
    <s v="Tapilmadi"/>
    <n v="1"/>
    <n v="0"/>
    <n v="24"/>
    <n v="60"/>
    <n v="0"/>
    <n v="300"/>
    <m/>
    <n v="0"/>
    <n v="300"/>
    <s v="Mesaj"/>
    <s v="Mesaj"/>
    <s v="Qəbul edilib"/>
    <s v="Təhvil verilib"/>
    <s v="Hörmətli *My Concept*  ,Sizin *02,12,2024* tarixli sifarişiniz qeydə alındı. Sifariş Məbləğı *300 AZN* , Qalıq *300 AZN* . Hörmətlə  *AlumPro*"/>
    <s v="Hörmətli *My Concept* , sizin *02,12,2024* tarixli  sifarişiniz hazırdır . Bizi seçdiyiniz üçün minnətdarıq. Hörmətlə  *AlumPro*."/>
    <s v="My"/>
    <s v="My "/>
  </r>
  <r>
    <n v="109"/>
    <s v="*ALUMPRO109*"/>
    <s v="Eli"/>
    <x v="48"/>
    <x v="11"/>
    <s v="994502111355"/>
    <m/>
    <s v="2x2 qara"/>
    <m/>
    <n v="0"/>
    <n v="2"/>
    <n v="46"/>
    <s v="basac"/>
    <s v="Tapilmadi"/>
    <n v="0"/>
    <n v="0"/>
    <s v="2x2  düz"/>
    <s v="Tapilmadi"/>
    <n v="4"/>
    <n v="16"/>
    <n v="0"/>
    <s v="Fümə şüşə"/>
    <m/>
    <n v="17"/>
    <m/>
    <s v="Tapilmadi"/>
    <m/>
    <n v="16"/>
    <m/>
    <s v="Tapilmadi"/>
    <n v="1"/>
    <n v="0"/>
    <n v="8"/>
    <n v="30"/>
    <n v="0"/>
    <n v="133"/>
    <m/>
    <n v="0"/>
    <n v="133"/>
    <s v="Mesaj"/>
    <s v="Mesaj"/>
    <s v="Qəbul edilib"/>
    <s v="Təhvil verilib"/>
    <s v="Hörmətli *My Concept*  ,Sizin *02,12,2024* tarixli sifarişiniz qeydə alındı. Sifariş Məbləğı *133 AZN* , Qalıq *133 AZN* . Hörmətlə  *AlumPro*"/>
    <s v="Hörmətli *My Concept* , sizin *02,12,2024* tarixli  sifarişiniz hazırdır . Bizi seçdiyiniz üçün minnətdarıq. Hörmətlə  *AlumPro*."/>
    <s v="My"/>
    <s v="My "/>
  </r>
  <r>
    <n v="108"/>
    <s v="*ALUMPRO108*"/>
    <s v="Eli"/>
    <x v="48"/>
    <x v="11"/>
    <s v="994502111355"/>
    <m/>
    <s v="2x2 qara"/>
    <m/>
    <n v="0"/>
    <n v="4"/>
    <n v="92"/>
    <s v="boy"/>
    <s v="Tapilmadi"/>
    <n v="2"/>
    <n v="52"/>
    <s v="2x2  düz"/>
    <s v="Tapilmadi"/>
    <n v="8"/>
    <n v="32"/>
    <n v="0"/>
    <s v="Fümə şüşə"/>
    <m/>
    <n v="51"/>
    <m/>
    <s v="Tapilmadi"/>
    <m/>
    <n v="16"/>
    <m/>
    <s v="Tapilmadi"/>
    <n v="1"/>
    <n v="0"/>
    <n v="16"/>
    <n v="30"/>
    <n v="0"/>
    <n v="289"/>
    <m/>
    <n v="0"/>
    <n v="289"/>
    <s v="Mesaj"/>
    <s v="Mesaj"/>
    <s v="Qəbul edilib"/>
    <s v="Təhvil verilib"/>
    <s v="Hörmətli *My Concept*  ,Sizin *02,12,2024* tarixli sifarişiniz qeydə alındı. Sifariş Məbləğı *289 AZN* , Qalıq *289 AZN* . Hörmətlə  *AlumPro*"/>
    <s v="Hörmətli *My Concept* , sizin *02,12,2024* tarixli  sifarişiniz hazırdır . Bizi seçdiyiniz üçün minnətdarıq. Hörmətlə  *AlumPro*."/>
    <s v="My"/>
    <s v="My "/>
  </r>
  <r>
    <n v="107"/>
    <s v="*ALUMPRO107*"/>
    <s v="Eli"/>
    <x v="48"/>
    <x v="14"/>
    <s v="994772775177"/>
    <m/>
    <s v="45 qara"/>
    <m/>
    <n v="0"/>
    <n v="3"/>
    <n v="69"/>
    <s v="boy"/>
    <s v="Tapilmadi"/>
    <n v="1"/>
    <n v="26"/>
    <m/>
    <s v="Tapilmadi"/>
    <n v="0"/>
    <n v="0"/>
    <n v="12"/>
    <s v="Fümə şüşə"/>
    <m/>
    <n v="36"/>
    <m/>
    <s v="Tapilmadi"/>
    <m/>
    <n v="16"/>
    <m/>
    <s v="Tapilmadi"/>
    <n v="1"/>
    <n v="0"/>
    <n v="8"/>
    <n v="40"/>
    <n v="0"/>
    <n v="207"/>
    <m/>
    <n v="207"/>
    <n v="0"/>
    <s v="Mesaj"/>
    <s v="Mesaj"/>
    <s v="Qəbul edilib"/>
    <s v="Təhvil verilib"/>
    <s v="Hörmətli *Aksin Mahmudov*  ,Sizin *02,12,2024* tarixli sifarişiniz qeydə alındı. Sifariş Məbləğı *207 AZN* , Qalıq *0 AZN* . Hörmətlə  *AlumPro*"/>
    <s v="Hörmətli *Aksin Mahmudov* , sizin *02,12,2024* tarixli  sifarişiniz hazırdır . Bizi seçdiyiniz üçün minnətdarıq. Hörmətlə  *AlumPro*."/>
    <s v="Aksin"/>
    <s v="Aksin "/>
  </r>
  <r>
    <n v="106"/>
    <s v="*ALUMPRO106*"/>
    <s v="Eli"/>
    <x v="48"/>
    <x v="106"/>
    <n v="0"/>
    <m/>
    <s v="45 qara"/>
    <m/>
    <n v="0"/>
    <n v="2"/>
    <n v="46"/>
    <s v="boy"/>
    <s v="Tapilmadi"/>
    <n v="1"/>
    <n v="26"/>
    <m/>
    <s v="Tapilmadi"/>
    <n v="0"/>
    <n v="0"/>
    <n v="0"/>
    <s v="Qəhvəyi şüşə"/>
    <m/>
    <n v="24"/>
    <m/>
    <s v="Tapilmadi"/>
    <m/>
    <n v="4"/>
    <m/>
    <s v="Tapilmadi"/>
    <n v="1"/>
    <n v="0"/>
    <n v="4"/>
    <n v="15"/>
    <n v="0"/>
    <n v="119"/>
    <m/>
    <n v="119"/>
    <n v="0"/>
    <s v="Mesaj"/>
    <s v="Mesaj"/>
    <s v="Qəbul edilib"/>
    <s v="Təhvil verilib"/>
    <s v="Hörmətli * Ramin Klent*  ,Sizin *02,12,2024* tarixli sifarişiniz qeydə alındı. Sifariş Məbləğı *119 AZN* , Qalıq *0 AZN* . Hörmətlə  *AlumPro*"/>
    <s v="Hörmətli * Ramin Klent* , sizin *02,12,2024* tarixli  sifarişiniz hazırdır . Bizi seçdiyiniz üçün minnətdarıq. Hörmətlə  *AlumPro*."/>
    <s v=""/>
    <s v=" "/>
  </r>
  <r>
    <n v="105"/>
    <s v="*ALUMPRO105*"/>
    <s v="Eli"/>
    <x v="48"/>
    <x v="25"/>
    <s v="994512063544"/>
    <m/>
    <s v="2x2 qızılı"/>
    <m/>
    <n v="0"/>
    <n v="2"/>
    <n v="66"/>
    <s v="boy"/>
    <s v="Tapilmadi"/>
    <n v="1"/>
    <n v="36"/>
    <s v="2x2  düz"/>
    <s v="Tapilmadi"/>
    <n v="7"/>
    <n v="28"/>
    <n v="0"/>
    <s v="Qəhvəyi şüşə"/>
    <m/>
    <n v="48"/>
    <m/>
    <s v="Tapilmadi"/>
    <m/>
    <n v="16"/>
    <m/>
    <s v="Tapilmadi"/>
    <n v="1"/>
    <n v="0"/>
    <n v="14"/>
    <n v="30"/>
    <n v="0"/>
    <n v="238"/>
    <m/>
    <n v="0"/>
    <n v="238"/>
    <s v="Mesaj"/>
    <s v="Mesaj"/>
    <s v="Qəbul edilib"/>
    <s v="Təhvil verilib"/>
    <s v="Hörmətli *Mutfakci Maliyye*  ,Sizin *02,12,2024* tarixli sifarişiniz qeydə alındı. Sifariş Məbləğı *238 AZN* , Qalıq *238 AZN* . Hörmətlə  *AlumPro*"/>
    <s v="Hörmətli *Mutfakci Maliyye* , sizin *02,12,2024* tarixli  sifarişiniz hazırdır . Bizi seçdiyiniz üçün minnətdarıq. Hörmətlə  *AlumPro*."/>
    <s v="Mutfakci"/>
    <s v="Mutfakci "/>
  </r>
  <r>
    <n v="104"/>
    <s v="*ALUMPRO104*"/>
    <s v="Eli"/>
    <x v="48"/>
    <x v="25"/>
    <s v="994512063544"/>
    <m/>
    <s v="2x2 antrasit"/>
    <m/>
    <n v="0"/>
    <n v="6"/>
    <n v="198"/>
    <s v="boy"/>
    <s v="Tapilmadi"/>
    <n v="4"/>
    <n v="144"/>
    <s v="2x2  düz"/>
    <s v="Tapilmadi"/>
    <n v="18"/>
    <n v="72"/>
    <n v="0"/>
    <s v="Fümə şüşə"/>
    <m/>
    <n v="110"/>
    <m/>
    <s v="Tapilmadi"/>
    <m/>
    <n v="48"/>
    <m/>
    <s v="Tapilmadi"/>
    <n v="1"/>
    <n v="0"/>
    <n v="36"/>
    <n v="90"/>
    <n v="0"/>
    <n v="698"/>
    <m/>
    <n v="0"/>
    <n v="698"/>
    <s v="Mesaj"/>
    <s v="Mesaj"/>
    <s v="Qəbul edilib"/>
    <s v="Təhvil verilib"/>
    <s v="Hörmətli *Mutfakci Maliyye*  ,Sizin *02,12,2024* tarixli sifarişiniz qeydə alındı. Sifariş Məbləğı *698 AZN* , Qalıq *698 AZN* . Hörmətlə  *AlumPro*"/>
    <s v="Hörmətli *Mutfakci Maliyye* , sizin *02,12,2024* tarixli  sifarişiniz hazırdır . Bizi seçdiyiniz üçün minnətdarıq. Hörmətlə  *AlumPro*."/>
    <s v="Mutfakci"/>
    <s v="Mutfakci "/>
  </r>
  <r>
    <n v="103"/>
    <s v="*ALUMPRO103*"/>
    <s v="Eli"/>
    <x v="48"/>
    <x v="25"/>
    <s v="994512063544"/>
    <m/>
    <s v="2x2 qara"/>
    <m/>
    <n v="0"/>
    <n v="5"/>
    <n v="165"/>
    <s v="boy"/>
    <s v="Tapilmadi"/>
    <n v="3"/>
    <n v="108"/>
    <s v="2x2  düz"/>
    <s v="Tapilmadi"/>
    <n v="12"/>
    <n v="48"/>
    <n v="0"/>
    <s v="Fümə şüşə"/>
    <m/>
    <n v="94"/>
    <m/>
    <s v="Tapilmadi"/>
    <m/>
    <n v="24"/>
    <m/>
    <s v="Tapilmadi"/>
    <n v="1"/>
    <n v="0"/>
    <n v="24"/>
    <n v="45"/>
    <n v="0"/>
    <n v="508"/>
    <m/>
    <n v="0"/>
    <n v="508"/>
    <s v="Mesaj"/>
    <s v="Mesaj"/>
    <s v="Qəbul edilib"/>
    <s v="Təhvil verilib"/>
    <s v="Hörmətli *Mutfakci Maliyye*  ,Sizin *02,12,2024* tarixli sifarişiniz qeydə alındı. Sifariş Məbləğı *508 AZN* , Qalıq *508 AZN* . Hörmətlə  *AlumPro*"/>
    <s v="Hörmətli *Mutfakci Maliyye* , sizin *02,12,2024* tarixli  sifarişiniz hazırdır . Bizi seçdiyiniz üçün minnətdarıq. Hörmətlə  *AlumPro*."/>
    <s v="Mutfakci"/>
    <s v="Mutfakci "/>
  </r>
  <r>
    <n v="102"/>
    <s v="*ALUMPRO102*"/>
    <s v="Eli"/>
    <x v="48"/>
    <x v="25"/>
    <s v="994512063544"/>
    <m/>
    <s v="2x2 antrasit"/>
    <m/>
    <n v="0"/>
    <n v="6"/>
    <n v="198"/>
    <s v="basac"/>
    <s v="Tapilmadi"/>
    <n v="0"/>
    <n v="0"/>
    <s v="2x2  düz"/>
    <s v="Tapilmadi"/>
    <n v="12"/>
    <n v="48"/>
    <n v="0"/>
    <s v="Fümə şüşə"/>
    <m/>
    <n v="146"/>
    <m/>
    <s v="Tapilmadi"/>
    <m/>
    <n v="24"/>
    <m/>
    <s v="Tapilmadi"/>
    <n v="1"/>
    <n v="0"/>
    <n v="48"/>
    <n v="45"/>
    <n v="0"/>
    <n v="509"/>
    <m/>
    <n v="245"/>
    <n v="264"/>
    <s v="Mesaj"/>
    <s v="Mesaj"/>
    <s v="Qəbul edilib"/>
    <s v="Təhvil verilib"/>
    <s v="Hörmətli *Mutfakci Maliyye*  ,Sizin *02,12,2024* tarixli sifarişiniz qeydə alındı. Sifariş Məbləğı *509 AZN* , Qalıq *264 AZN* . Hörmətlə  *AlumPro*"/>
    <s v="Hörmətli *Mutfakci Maliyye* , sizin *02,12,2024* tarixli  sifarişiniz hazırdır . Bizi seçdiyiniz üçün minnətdarıq. Hörmətlə  *AlumPro*."/>
    <s v="Mutfakci"/>
    <s v="Mutfakci "/>
  </r>
  <r>
    <n v="101"/>
    <s v="*ALUMPRO101*"/>
    <s v="Eli"/>
    <x v="48"/>
    <x v="107"/>
    <s v="994519333080"/>
    <m/>
    <s v="2x2 qara"/>
    <m/>
    <n v="0"/>
    <n v="2"/>
    <n v="46"/>
    <s v="boy"/>
    <s v="Tapilmadi"/>
    <n v="1"/>
    <n v="26"/>
    <s v="2x2  düz"/>
    <s v="Tapilmadi"/>
    <n v="4"/>
    <n v="16"/>
    <n v="0"/>
    <s v="Ağ refle şüşə"/>
    <m/>
    <n v="323"/>
    <m/>
    <s v="Tapilmadi"/>
    <m/>
    <n v="8"/>
    <m/>
    <s v="Tapilmadi"/>
    <n v="1"/>
    <n v="0"/>
    <n v="8"/>
    <n v="15"/>
    <n v="6"/>
    <n v="448"/>
    <m/>
    <n v="448"/>
    <n v="0"/>
    <s v="Mesaj"/>
    <s v="Mesaj"/>
    <s v="Qəbul edilib"/>
    <s v="Təhvil verilib"/>
    <s v="Hörmətli *Tural Elxan Dayi*  ,Sizin *02,12,2024* tarixli sifarişiniz qeydə alındı. Sifariş Məbləğı *448 AZN* , Qalıq *0 AZN* . Hörmətlə  *AlumPro*"/>
    <s v="Hörmətli *Tural Elxan Dayi* , sizin *02,12,2024* tarixli  sifarişiniz hazırdır . Bizi seçdiyiniz üçün minnətdarıq. Hörmətlə  *AlumPro*."/>
    <s v="Tural"/>
    <s v="Tural "/>
  </r>
  <r>
    <n v="100"/>
    <s v="*ALUMPRO100*"/>
    <s v="Eli"/>
    <x v="48"/>
    <x v="104"/>
    <s v="994503135243"/>
    <m/>
    <s v="45 qara"/>
    <m/>
    <n v="0"/>
    <n v="7"/>
    <n v="182"/>
    <s v="boy"/>
    <s v="Tapilmadi"/>
    <n v="2"/>
    <n v="52"/>
    <m/>
    <s v="Tapilmadi"/>
    <n v="0"/>
    <n v="0"/>
    <n v="27"/>
    <s v="Qəhvəyi şüşə"/>
    <m/>
    <n v="98"/>
    <m/>
    <s v="Tapilmadi"/>
    <m/>
    <n v="28"/>
    <m/>
    <s v="Tapilmadi"/>
    <n v="1"/>
    <n v="0"/>
    <n v="20"/>
    <n v="80"/>
    <n v="0"/>
    <n v="487"/>
    <m/>
    <n v="487"/>
    <n v="0"/>
    <s v="Mesaj"/>
    <s v="Mesaj"/>
    <s v="Qəbul edilib"/>
    <s v="Təhvil verilib"/>
    <s v="Hörmətli *Natiq Emrahov*  ,Sizin *02,12,2024* tarixli sifarişiniz qeydə alındı. Sifariş Məbləğı *487 AZN* , Qalıq *0 AZN* . Hörmətlə  *AlumPro*"/>
    <s v="Hörmətli *Natiq Emrahov* , sizin *02,12,2024* tarixli  sifarişiniz hazırdır . Bizi seçdiyiniz üçün minnətdarıq. Hörmətlə  *AlumPro*."/>
    <s v="Natiq"/>
    <s v="Natiq "/>
  </r>
  <r>
    <n v="99"/>
    <s v="*ALUMPRO99*"/>
    <s v="Eli"/>
    <x v="48"/>
    <x v="50"/>
    <s v="994502150506"/>
    <m/>
    <s v="45 açıq antrasit"/>
    <m/>
    <n v="0"/>
    <n v="2"/>
    <n v="46"/>
    <s v="boy"/>
    <s v="Tapilmadi"/>
    <n v="1"/>
    <n v="26"/>
    <m/>
    <s v="Tapilmadi"/>
    <n v="0"/>
    <n v="0"/>
    <n v="0"/>
    <s v="Ağ refle şüşə"/>
    <m/>
    <n v="491"/>
    <m/>
    <s v="Tapilmadi"/>
    <m/>
    <n v="4"/>
    <m/>
    <s v="Tapilmadi"/>
    <n v="1"/>
    <n v="0"/>
    <n v="5"/>
    <n v="15"/>
    <n v="0"/>
    <n v="587"/>
    <m/>
    <n v="370"/>
    <n v="217"/>
    <s v="Mesaj"/>
    <s v="Mesaj"/>
    <s v="Qəbul edilib"/>
    <s v="Təhvil verilib"/>
    <s v="Hörmətli *Kamran kaya desıgn*  ,Sizin *02,12,2024* tarixli sifarişiniz qeydə alındı. Sifariş Məbləğı *587 AZN* , Qalıq *217 AZN* . Hörmətlə  *AlumPro*"/>
    <s v="Hörmətli *Kamran kaya desıgn* , sizin *02,12,2024* tarixli  sifarişiniz hazırdır . Bizi seçdiyiniz üçün minnətdarıq. Hörmətlə  *AlumPro*."/>
    <s v="Kamran"/>
    <s v="Kamran "/>
  </r>
  <r>
    <n v="98"/>
    <s v="*ALUMPRO98*"/>
    <s v="Eli"/>
    <x v="49"/>
    <x v="93"/>
    <s v="994558408053"/>
    <m/>
    <s v="45 qara"/>
    <m/>
    <n v="0"/>
    <n v="1"/>
    <n v="23"/>
    <s v="boy"/>
    <s v="Tapilmadi"/>
    <n v="1"/>
    <n v="26"/>
    <m/>
    <s v="Tapilmadi"/>
    <n v="0"/>
    <n v="0"/>
    <n v="6"/>
    <s v="Fümə şüşə"/>
    <m/>
    <n v="16"/>
    <m/>
    <s v="Tapilmadi"/>
    <m/>
    <n v="4"/>
    <m/>
    <s v="Tapilmadi"/>
    <n v="1"/>
    <n v="0"/>
    <n v="3"/>
    <n v="15"/>
    <n v="0"/>
    <n v="93"/>
    <m/>
    <n v="95"/>
    <n v="-2"/>
    <s v="Mesaj"/>
    <s v="Mesaj"/>
    <s v="Qəbul edilib"/>
    <s v="Təhvil verilib"/>
    <s v="Hörmətli *Ruslan Celal*  ,Sizin *30,11,2024* tarixli sifarişiniz qeydə alındı. Sifariş Məbləğı *93 AZN* , Qalıq *-2 AZN* . Hörmətlə  *AlumPro*"/>
    <s v="Hörmətli *Ruslan Celal* , sizin *30,11,2024* tarixli  sifarişiniz hazırdır . Bizi seçdiyiniz üçün minnətdarıq. Hörmətlə  *AlumPro*."/>
    <s v="Ruslan"/>
    <s v="Ruslan "/>
  </r>
  <r>
    <n v="97"/>
    <s v="*ALUMPRO97*"/>
    <s v="Eli"/>
    <x v="49"/>
    <x v="29"/>
    <s v="994773002223"/>
    <m/>
    <s v="2x2 qara"/>
    <m/>
    <n v="0"/>
    <n v="8"/>
    <n v="184"/>
    <s v="boy"/>
    <s v="Tapilmadi"/>
    <n v="5"/>
    <n v="130"/>
    <s v="2x2  düz"/>
    <s v="Tapilmadi"/>
    <n v="25"/>
    <n v="100"/>
    <n v="0"/>
    <s v="Şəffaf şüşə"/>
    <m/>
    <n v="110"/>
    <m/>
    <s v="Tapilmadi"/>
    <m/>
    <n v="24"/>
    <m/>
    <s v="Tapilmadi"/>
    <n v="1"/>
    <n v="0"/>
    <n v="50"/>
    <n v="90"/>
    <n v="0"/>
    <n v="688"/>
    <m/>
    <n v="688"/>
    <n v="0"/>
    <s v="Mesaj"/>
    <s v="Mesaj"/>
    <s v="Qəbul edilib"/>
    <s v="Təhvil verilib"/>
    <s v="Hörmətli *Elsever Vusal Gedebey*  ,Sizin *30,11,2024* tarixli sifarişiniz qeydə alındı. Sifariş Məbləğı *688 AZN* , Qalıq *0 AZN* . Hörmətlə  *AlumPro*"/>
    <s v="Hörmətli *Elsever Vusal Gedebey* , sizin *30,11,2024* tarixli  sifarişiniz hazırdır . Bizi seçdiyiniz üçün minnətdarıq. Hörmətlə  *AlumPro*."/>
    <s v="Elsever"/>
    <s v="Elsever "/>
  </r>
  <r>
    <n v="96"/>
    <s v="*ALUMPRO96*"/>
    <s v="Eli"/>
    <x v="49"/>
    <x v="30"/>
    <s v="994703076627"/>
    <m/>
    <s v="Mərmər"/>
    <m/>
    <n v="0"/>
    <n v="4"/>
    <n v="120"/>
    <n v="0"/>
    <s v="Tapilmadi"/>
    <n v="0"/>
    <n v="0"/>
    <m/>
    <s v="Tapilmadi"/>
    <n v="0"/>
    <n v="0"/>
    <n v="0"/>
    <s v="Adi güzgü "/>
    <m/>
    <n v="96"/>
    <m/>
    <s v="Tapilmadi"/>
    <m/>
    <n v="8"/>
    <m/>
    <s v="Tapilmadi"/>
    <n v="1"/>
    <n v="0"/>
    <n v="8"/>
    <n v="30"/>
    <n v="0"/>
    <n v="275"/>
    <m/>
    <n v="275"/>
    <n v="0"/>
    <s v="Mesaj"/>
    <s v="Mesaj"/>
    <s v="Qəbul edilib"/>
    <s v="Təhvil verilib"/>
    <s v="Hörmətli *Resad Mebelline *  ,Sizin *30,11,2024* tarixli sifarişiniz qeydə alındı. Sifariş Məbləğı *275 AZN* , Qalıq *0 AZN* . Hörmətlə  *AlumPro*"/>
    <s v="Hörmətli *Resad Mebelline * , sizin *30,11,2024* tarixli  sifarişiniz hazırdır . Bizi seçdiyiniz üçün minnətdarıq. Hörmətlə  *AlumPro*."/>
    <s v="Resad"/>
    <s v="Resad "/>
  </r>
  <r>
    <n v="95"/>
    <s v="*ALUMPRO95*"/>
    <s v="Eli"/>
    <x v="49"/>
    <x v="108"/>
    <s v="994503534025"/>
    <s v="ekstra clear suse"/>
    <s v="2x2 qara"/>
    <m/>
    <n v="0"/>
    <n v="3"/>
    <n v="69"/>
    <s v="20 cm"/>
    <s v="Tapilmadi"/>
    <n v="4"/>
    <n v="200"/>
    <s v="2x2  düz"/>
    <s v="Tapilmadi"/>
    <n v="12"/>
    <n v="48"/>
    <n v="0"/>
    <m/>
    <m/>
    <n v="120"/>
    <m/>
    <s v="Tapilmadi"/>
    <m/>
    <n v="32"/>
    <m/>
    <s v="Tapilmadi"/>
    <n v="1"/>
    <n v="0"/>
    <n v="24"/>
    <n v="60"/>
    <n v="0"/>
    <n v="553"/>
    <m/>
    <n v="553"/>
    <n v="0"/>
    <s v="Mesaj"/>
    <s v="Mesaj"/>
    <s v="Qəbul edilib"/>
    <s v="Təhvil verilib"/>
    <s v="Hörmətli *Elekber Eliyev*  ,Sizin *30,11,2024* tarixli sifarişiniz qeydə alındı. Sifariş Məbləğı *553 AZN* , Qalıq *0 AZN* . Hörmətlə  *AlumPro*"/>
    <s v="Hörmətli *Elekber Eliyev* , sizin *30,11,2024* tarixli  sifarişiniz hazırdır . Bizi seçdiyiniz üçün minnətdarıq. Hörmətlə  *AlumPro*."/>
    <s v="Elekber"/>
    <s v="Elekber "/>
  </r>
  <r>
    <n v="94"/>
    <s v="*ALUMPRO94*"/>
    <s v="Eli"/>
    <x v="49"/>
    <x v="0"/>
    <s v="994773337525"/>
    <m/>
    <s v="2x2 qızılı"/>
    <m/>
    <n v="0"/>
    <n v="22"/>
    <n v="506"/>
    <s v="boy"/>
    <s v="Tapilmadi"/>
    <n v="26"/>
    <n v="468"/>
    <s v="2x2  düz"/>
    <s v="Tapilmadi"/>
    <n v="90"/>
    <n v="360"/>
    <n v="0"/>
    <s v=" Temp Qəhvəyi şüşə"/>
    <m/>
    <n v="783"/>
    <m/>
    <s v="Tapilmadi"/>
    <m/>
    <n v="144"/>
    <m/>
    <s v="Tapilmadi"/>
    <n v="1"/>
    <n v="0"/>
    <n v="180"/>
    <n v="270"/>
    <n v="0"/>
    <n v="2711"/>
    <m/>
    <n v="2711"/>
    <n v="0"/>
    <s v="Mesaj"/>
    <s v="Mesaj"/>
    <s v="Qəbul edilib"/>
    <s v="Təhvil verilib"/>
    <s v="Hörmətli *Fariz Faiq*  ,Sizin *30,11,2024* tarixli sifarişiniz qeydə alındı. Sifariş Məbləğı *2711 AZN* , Qalıq *0 AZN* . Hörmətlə  *AlumPro*"/>
    <s v="Hörmətli *Fariz Faiq* , sizin *30,11,2024* tarixli  sifarişiniz hazırdır . Bizi seçdiyiniz üçün minnətdarıq. Hörmətlə  *AlumPro*."/>
    <s v="Fariz"/>
    <s v="Fariz "/>
  </r>
  <r>
    <n v="93"/>
    <s v="*ALUMPRO93*"/>
    <s v="Eli"/>
    <x v="49"/>
    <x v="109"/>
    <s v="994553060630"/>
    <m/>
    <s v="2x2 qara"/>
    <m/>
    <n v="0"/>
    <n v="3"/>
    <n v="69"/>
    <s v="boy"/>
    <s v="Tapilmadi"/>
    <n v="2"/>
    <n v="52"/>
    <s v="2x2  düz"/>
    <s v="Tapilmadi"/>
    <n v="8"/>
    <n v="32"/>
    <n v="0"/>
    <s v="Adi güzgü "/>
    <m/>
    <n v="130"/>
    <m/>
    <s v="Tapilmadi"/>
    <m/>
    <n v="8"/>
    <m/>
    <s v="Tapilmadi"/>
    <n v="1"/>
    <n v="0"/>
    <n v="16"/>
    <n v="30"/>
    <n v="0"/>
    <n v="337"/>
    <m/>
    <n v="337"/>
    <n v="0"/>
    <s v="Mesaj"/>
    <s v="Mesaj"/>
    <s v="Qəbul edilib"/>
    <s v="Təhvil verilib"/>
    <s v="Hörmətli *Aydin Abbasov*  ,Sizin *30,11,2024* tarixli sifarişiniz qeydə alındı. Sifariş Məbləğı *337 AZN* , Qalıq *0 AZN* . Hörmətlə  *AlumPro*"/>
    <s v="Hörmətli *Aydin Abbasov* , sizin *30,11,2024* tarixli  sifarişiniz hazırdır . Bizi seçdiyiniz üçün minnətdarıq. Hörmətlə  *AlumPro*."/>
    <s v="Aydin"/>
    <s v="Aydin "/>
  </r>
  <r>
    <n v="92"/>
    <s v="*ALUMPRO92*"/>
    <s v="Eli"/>
    <x v="49"/>
    <x v="110"/>
    <n v="0"/>
    <m/>
    <s v="45 qızılı"/>
    <m/>
    <n v="0"/>
    <n v="5"/>
    <n v="115"/>
    <s v="boy"/>
    <s v="Tapilmadi"/>
    <n v="3"/>
    <n v="78"/>
    <m/>
    <s v="Tapilmadi"/>
    <n v="0"/>
    <n v="0"/>
    <n v="0"/>
    <s v="Qəhvəyi zerkalni şüşə"/>
    <m/>
    <n v="156"/>
    <m/>
    <s v="Tapilmadi"/>
    <m/>
    <n v="12"/>
    <m/>
    <s v="Tapilmadi"/>
    <n v="1"/>
    <n v="0"/>
    <n v="15"/>
    <n v="45"/>
    <n v="0"/>
    <n v="421"/>
    <m/>
    <n v="421"/>
    <n v="0"/>
    <s v="Mesaj"/>
    <s v="Mesaj"/>
    <s v="Qəbul edilib"/>
    <s v="Təhvil verilib"/>
    <s v="Hörmətli *Ilqar Gtv*  ,Sizin *30,11,2024* tarixli sifarişiniz qeydə alındı. Sifariş Məbləğı *421 AZN* , Qalıq *0 AZN* . Hörmətlə  *AlumPro*"/>
    <s v="Hörmətli *Ilqar Gtv* , sizin *30,11,2024* tarixli  sifarişiniz hazırdır . Bizi seçdiyiniz üçün minnətdarıq. Hörmətlə  *AlumPro*."/>
    <s v="Ilqar"/>
    <s v="Ilqar "/>
  </r>
  <r>
    <n v="91"/>
    <s v="*ALUMPRO91*"/>
    <s v="Eli"/>
    <x v="49"/>
    <x v="111"/>
    <s v="994554180365"/>
    <m/>
    <s v="45 qara"/>
    <m/>
    <n v="0"/>
    <n v="3"/>
    <n v="69"/>
    <s v="boy"/>
    <s v="Tapilmadi"/>
    <n v="1"/>
    <n v="26"/>
    <m/>
    <s v="Tapilmadi"/>
    <n v="0"/>
    <n v="0"/>
    <n v="12"/>
    <s v="Fümə şüşə"/>
    <m/>
    <n v="39"/>
    <m/>
    <s v="Tapilmadi"/>
    <m/>
    <n v="12"/>
    <m/>
    <s v="Tapilmadi"/>
    <n v="1"/>
    <n v="0"/>
    <n v="6"/>
    <n v="30"/>
    <n v="0"/>
    <n v="194"/>
    <m/>
    <n v="194"/>
    <n v="0"/>
    <s v="Mesaj"/>
    <s v="Mesaj"/>
    <s v="Qəbul edilib"/>
    <s v="Təhvil verilib"/>
    <s v="Hörmətli *Elsen Qarazavod*  ,Sizin *30,11,2024* tarixli sifarişiniz qeydə alındı. Sifariş Məbləğı *194 AZN* , Qalıq *0 AZN* . Hörmətlə  *AlumPro*"/>
    <s v="Hörmətli *Elsen Qarazavod* , sizin *30,11,2024* tarixli  sifarişiniz hazırdır . Bizi seçdiyiniz üçün minnətdarıq. Hörmətlə  *AlumPro*."/>
    <s v="Elsen"/>
    <s v="Elsen "/>
  </r>
  <r>
    <n v="90"/>
    <s v="*ALUMPRO90*"/>
    <s v="Eli"/>
    <x v="50"/>
    <x v="112"/>
    <s v="994706202050"/>
    <m/>
    <s v="45 açıq antrasit"/>
    <m/>
    <n v="0"/>
    <n v="2"/>
    <n v="46"/>
    <s v="boy"/>
    <s v="Tapilmadi"/>
    <n v="1"/>
    <n v="26"/>
    <m/>
    <s v="Tapilmadi"/>
    <n v="0"/>
    <n v="0"/>
    <n v="0"/>
    <s v="Qəhvəyi şüşə"/>
    <m/>
    <n v="27"/>
    <m/>
    <s v="Tapilmadi"/>
    <m/>
    <n v="4"/>
    <m/>
    <s v="Tapilmadi"/>
    <n v="1"/>
    <n v="0"/>
    <n v="5"/>
    <n v="15"/>
    <n v="0"/>
    <n v="123"/>
    <m/>
    <n v="122"/>
    <n v="1"/>
    <s v="Mesaj"/>
    <s v="Mesaj"/>
    <s v="Qəbul edilib"/>
    <s v="Təhvil verilib"/>
    <s v="Hörmətli *Elmeddin Soltanov*  ,Sizin *29,11,2024* tarixli sifarişiniz qeydə alındı. Sifariş Məbləğı *123 AZN* , Qalıq *1 AZN* . Hörmətlə  *AlumPro*"/>
    <s v="Hörmətli *Elmeddin Soltanov* , sizin *29,11,2024* tarixli  sifarişiniz hazırdır . Bizi seçdiyiniz üçün minnətdarıq. Hörmətlə  *AlumPro*."/>
    <s v="Elmeddin"/>
    <s v="Elmeddin "/>
  </r>
  <r>
    <n v="89"/>
    <s v="*ALUMPRO89*"/>
    <s v="Eli"/>
    <x v="50"/>
    <x v="113"/>
    <s v="994102127773"/>
    <s v="Gizli qapi profili"/>
    <m/>
    <m/>
    <n v="0"/>
    <n v="0"/>
    <n v="0"/>
    <n v="0"/>
    <s v="Tapilmadi"/>
    <n v="0"/>
    <n v="0"/>
    <s v="İtalyan standart"/>
    <s v="Tapilmadi"/>
    <n v="3"/>
    <n v="150"/>
    <n v="0"/>
    <m/>
    <m/>
    <n v="0"/>
    <m/>
    <s v="Tapilmadi"/>
    <m/>
    <n v="0"/>
    <m/>
    <s v="Tapilmadi"/>
    <n v="1"/>
    <n v="0"/>
    <n v="0"/>
    <n v="85"/>
    <n v="0"/>
    <n v="235"/>
    <m/>
    <n v="235"/>
    <n v="0"/>
    <s v="Mesaj"/>
    <s v="Mesaj"/>
    <s v="Qəbul edilib"/>
    <s v="Təhvil verilib"/>
    <s v="Hörmətli *Vikenzo Mebel*  ,Sizin *29,11,2024* tarixli sifarişiniz qeydə alındı. Sifariş Məbləğı *235 AZN* , Qalıq *0 AZN* . Hörmətlə  *AlumPro*"/>
    <s v="Hörmətli *Vikenzo Mebel* , sizin *29,11,2024* tarixli  sifarişiniz hazırdır . Bizi seçdiyiniz üçün minnətdarıq. Hörmətlə  *AlumPro*."/>
    <s v="Vikenzo"/>
    <s v="Vikenzo "/>
  </r>
  <r>
    <n v="88"/>
    <s v="*ALUMPRO88*"/>
    <s v="Eli"/>
    <x v="50"/>
    <x v="80"/>
    <s v="994558314948"/>
    <m/>
    <s v="2x2 qara"/>
    <m/>
    <n v="0"/>
    <n v="3"/>
    <n v="69"/>
    <s v="20 sm "/>
    <s v="Tapilmadi"/>
    <n v="2"/>
    <n v="100"/>
    <s v="2x2 tdəvə"/>
    <s v="Tapilmadi"/>
    <n v="8"/>
    <n v="32"/>
    <n v="0"/>
    <s v="Fümə şüşə"/>
    <m/>
    <n v="65"/>
    <m/>
    <s v="Tapilmadi"/>
    <m/>
    <n v="8"/>
    <m/>
    <s v="Tapilmadi"/>
    <n v="1"/>
    <n v="0"/>
    <n v="8"/>
    <n v="30"/>
    <n v="0"/>
    <n v="312"/>
    <m/>
    <n v="328"/>
    <n v="-16"/>
    <s v="Mesaj"/>
    <s v="Mesaj"/>
    <s v="Qəbul edilib"/>
    <s v="Təhvil verilib"/>
    <s v="Hörmətli *Ebulfez Qasımzade*  ,Sizin *29,11,2024* tarixli sifarişiniz qeydə alındı. Sifariş Məbləğı *312 AZN* , Qalıq *-16 AZN* . Hörmətlə  *AlumPro*"/>
    <s v="Hörmətli *Ebulfez Qasımzade* , sizin *29,11,2024* tarixli  sifarişiniz hazırdır . Bizi seçdiyiniz üçün minnətdarıq. Hörmətlə  *AlumPro*."/>
    <s v="Ebulfez"/>
    <s v="Ebulfez "/>
  </r>
  <r>
    <n v="87"/>
    <s v="*ALUMPRO87*"/>
    <s v="Eli"/>
    <x v="50"/>
    <x v="18"/>
    <s v="994505628822"/>
    <m/>
    <s v="45 qara"/>
    <m/>
    <n v="0"/>
    <n v="1"/>
    <n v="23"/>
    <s v="boy"/>
    <s v="Tapilmadi"/>
    <n v="1"/>
    <n v="26"/>
    <m/>
    <s v="Tapilmadi"/>
    <n v="0"/>
    <n v="0"/>
    <n v="9"/>
    <s v="Fümə şüşə"/>
    <m/>
    <n v="23"/>
    <m/>
    <s v="Tapilmadi"/>
    <m/>
    <n v="4"/>
    <m/>
    <s v="Tapilmadi"/>
    <n v="1"/>
    <n v="0"/>
    <n v="0"/>
    <n v="15"/>
    <n v="0"/>
    <n v="100"/>
    <m/>
    <n v="100"/>
    <n v="0"/>
    <s v="Mesaj"/>
    <s v="Mesaj"/>
    <s v="Qəbul edilib"/>
    <s v="Təhvil verilib"/>
    <s v="Hörmətli *Ceyhun Sumqayit*  ,Sizin *29,11,2024* tarixli sifarişiniz qeydə alındı. Sifariş Məbləğı *100 AZN* , Qalıq *0 AZN* . Hörmətlə  *AlumPro*"/>
    <s v="Hörmətli *Ceyhun Sumqayit* , sizin *29,11,2024* tarixli  sifarişiniz hazırdır . Bizi seçdiyiniz üçün minnətdarıq. Hörmətlə  *AlumPro*."/>
    <s v="Ceyhun"/>
    <s v="Ceyhun "/>
  </r>
  <r>
    <n v="86"/>
    <s v="*ALUMPRO86*"/>
    <s v="Eli"/>
    <x v="51"/>
    <x v="114"/>
    <s v="994775313066"/>
    <m/>
    <s v="45 qızılı"/>
    <m/>
    <n v="0"/>
    <n v="8"/>
    <n v="184"/>
    <s v="boy"/>
    <s v="Tapilmadi"/>
    <n v="5"/>
    <n v="130"/>
    <m/>
    <s v="Tapilmadi"/>
    <n v="0"/>
    <n v="0"/>
    <n v="0"/>
    <s v="Qəhvəyi şüşə"/>
    <m/>
    <n v="189"/>
    <m/>
    <s v="Tapilmadi"/>
    <m/>
    <n v="28"/>
    <m/>
    <s v="Tapilmadi"/>
    <n v="1"/>
    <n v="0"/>
    <n v="26"/>
    <n v="90"/>
    <n v="0"/>
    <n v="647"/>
    <m/>
    <n v="647"/>
    <n v="0"/>
    <s v="Mesaj"/>
    <s v="Mesaj"/>
    <s v="Qəbul edilib"/>
    <s v="Təhvil verilib"/>
    <s v="Hörmətli *Taleh Kesle Ulduz*  ,Sizin *28,11,2024* tarixli sifarişiniz qeydə alındı. Sifariş Məbləğı *647 AZN* , Qalıq *0 AZN* . Hörmətlə  *AlumPro*"/>
    <s v="Hörmətli *Taleh Kesle Ulduz* , sizin *28,11,2024* tarixli  sifarişiniz hazırdır . Bizi seçdiyiniz üçün minnətdarıq. Hörmətlə  *AlumPro*."/>
    <s v="Taleh"/>
    <s v="Taleh "/>
  </r>
  <r>
    <n v="85"/>
    <s v="*ALUMPRO85*"/>
    <s v="Eli"/>
    <x v="51"/>
    <x v="95"/>
    <s v="994503010061"/>
    <m/>
    <s v="45 qara"/>
    <m/>
    <n v="0"/>
    <n v="24"/>
    <n v="552"/>
    <s v="basac"/>
    <s v="Tapilmadi"/>
    <n v="0"/>
    <n v="0"/>
    <m/>
    <s v="Tapilmadi"/>
    <n v="0"/>
    <n v="0"/>
    <n v="72"/>
    <s v="Qəhvəyi şüşə"/>
    <m/>
    <n v="325"/>
    <m/>
    <s v="Tapilmadi"/>
    <m/>
    <n v="48"/>
    <m/>
    <s v="Tapilmadi"/>
    <n v="1"/>
    <n v="0"/>
    <n v="48"/>
    <n v="180"/>
    <n v="0"/>
    <n v="1225"/>
    <n v="25"/>
    <n v="1200"/>
    <n v="0"/>
    <s v="Mesaj"/>
    <s v="Mesaj"/>
    <s v="Qəbul edilib"/>
    <s v="Təhvil verilib"/>
    <s v="Hörmətli *Sasha Amix*  ,Sizin *28,11,2024* tarixli sifarişiniz qeydə alındı. Sifariş Məbləğı *1225 AZN* , Qalıq *0 AZN* . Hörmətlə  *AlumPro*"/>
    <s v="Hörmətli *Sasha Amix* , sizin *28,11,2024* tarixli  sifarişiniz hazırdır . Bizi seçdiyiniz üçün minnətdarıq. Hörmətlə  *AlumPro*."/>
    <s v="Sasha"/>
    <s v="Sasha "/>
  </r>
  <r>
    <n v="84"/>
    <s v="*ALUMPRO84*"/>
    <s v="Eli"/>
    <x v="51"/>
    <x v="13"/>
    <s v="994773691369"/>
    <s v="Qizili reng"/>
    <s v="Mətbəx üst işıqlı"/>
    <m/>
    <n v="0"/>
    <n v="2"/>
    <n v="60"/>
    <n v="0"/>
    <s v="Tapilmadi"/>
    <n v="0"/>
    <n v="0"/>
    <m/>
    <s v="Tapilmadi"/>
    <n v="0"/>
    <n v="0"/>
    <n v="0"/>
    <s v="Adi güzgü "/>
    <m/>
    <n v="0"/>
    <m/>
    <s v="Tapilmadi"/>
    <m/>
    <n v="0"/>
    <m/>
    <s v="Tapilmadi"/>
    <n v="1"/>
    <n v="0"/>
    <n v="0"/>
    <n v="0"/>
    <n v="0"/>
    <n v="60"/>
    <m/>
    <n v="60"/>
    <n v="0"/>
    <s v="Mesaj"/>
    <s v="Mesaj"/>
    <s v="Qəbul edilib"/>
    <s v="Təhvil verilib"/>
    <s v="Hörmətli *Mahir MM*  ,Sizin *28,11,2024* tarixli sifarişiniz qeydə alındı. Sifariş Məbləğı *60 AZN* , Qalıq *0 AZN* . Hörmətlə  *AlumPro*"/>
    <s v="Hörmətli *Mahir MM* , sizin *28,11,2024* tarixli  sifarişiniz hazırdır . Bizi seçdiyiniz üçün minnətdarıq. Hörmətlə  *AlumPro*."/>
    <s v="Mahir"/>
    <s v="Mahir "/>
  </r>
  <r>
    <n v="83"/>
    <s v="*ALUMPRO83*"/>
    <s v="Eli"/>
    <x v="51"/>
    <x v="77"/>
    <n v="0"/>
    <m/>
    <s v="Mərmər"/>
    <m/>
    <n v="0"/>
    <n v="3"/>
    <n v="130"/>
    <n v="0"/>
    <s v="Tapilmadi"/>
    <n v="0"/>
    <n v="0"/>
    <m/>
    <s v="Tapilmadi"/>
    <n v="0"/>
    <n v="0"/>
    <n v="0"/>
    <s v="Adi güzgü "/>
    <m/>
    <n v="70"/>
    <m/>
    <s v="Tapilmadi"/>
    <m/>
    <n v="0"/>
    <m/>
    <s v="Tapilmadi"/>
    <n v="1"/>
    <n v="0"/>
    <n v="0"/>
    <n v="0"/>
    <n v="0"/>
    <n v="200"/>
    <m/>
    <n v="200"/>
    <n v="0"/>
    <s v="Mesaj"/>
    <s v="Mesaj"/>
    <s v="Qəbul edilib"/>
    <s v="Təhvil verilib"/>
    <s v="Hörmətli *Elsen Eldizayn*  ,Sizin *28,11,2024* tarixli sifarişiniz qeydə alındı. Sifariş Məbləğı *200 AZN* , Qalıq *0 AZN* . Hörmətlə  *AlumPro*"/>
    <s v="Hörmətli *Elsen Eldizayn* , sizin *28,11,2024* tarixli  sifarişiniz hazırdır . Bizi seçdiyiniz üçün minnətdarıq. Hörmətlə  *AlumPro*."/>
    <s v="Elsen"/>
    <s v="Elsen "/>
  </r>
  <r>
    <n v="81"/>
    <s v="*ALUMPRO81*"/>
    <s v="Eli"/>
    <x v="51"/>
    <x v="88"/>
    <s v="994706060666"/>
    <s v="Gizli qapi profili"/>
    <m/>
    <m/>
    <n v="0"/>
    <n v="1"/>
    <n v="250"/>
    <n v="0"/>
    <s v="Tapilmadi"/>
    <n v="0"/>
    <n v="0"/>
    <s v="İtalyan standart"/>
    <s v="Tapilmadi"/>
    <n v="6"/>
    <n v="390"/>
    <n v="0"/>
    <s v="Şəffaf şüşə"/>
    <m/>
    <n v="0"/>
    <m/>
    <s v="Tapilmadi"/>
    <m/>
    <n v="0"/>
    <m/>
    <s v="Tapilmadi"/>
    <n v="1"/>
    <n v="0"/>
    <n v="0"/>
    <n v="85"/>
    <n v="0"/>
    <n v="725"/>
    <m/>
    <n v="725"/>
    <n v="0"/>
    <s v="Mesaj"/>
    <s v="Mesaj"/>
    <s v="Qəbul edilib"/>
    <s v="Təhvil verilib"/>
    <s v="Hörmətli *Faiq Enso*  ,Sizin *28,11,2024* tarixli sifarişiniz qeydə alındı. Sifariş Məbləğı *725 AZN* , Qalıq *0 AZN* . Hörmətlə  *AlumPro*"/>
    <s v="Hörmətli *Faiq Enso* , sizin *28,11,2024* tarixli  sifarişiniz hazırdır . Bizi seçdiyiniz üçün minnətdarıq. Hörmətlə  *AlumPro*."/>
    <s v="Faiq"/>
    <s v="Faiq "/>
  </r>
  <r>
    <n v="80"/>
    <s v="*ALUMPRO80*"/>
    <s v="Eli"/>
    <x v="52"/>
    <x v="115"/>
    <s v="994708261525"/>
    <m/>
    <s v="45 qara"/>
    <m/>
    <n v="0"/>
    <n v="4"/>
    <n v="92"/>
    <s v="boy"/>
    <s v="Tapilmadi"/>
    <n v="4"/>
    <n v="104"/>
    <m/>
    <s v="Tapilmadi"/>
    <n v="0"/>
    <n v="0"/>
    <n v="24"/>
    <s v="Şəffaf şüşə"/>
    <m/>
    <n v="61"/>
    <m/>
    <s v="Tapilmadi"/>
    <m/>
    <n v="16"/>
    <m/>
    <s v="Tapilmadi"/>
    <n v="1"/>
    <n v="0"/>
    <n v="12"/>
    <n v="60"/>
    <n v="0"/>
    <n v="369"/>
    <n v="24"/>
    <n v="345"/>
    <n v="0"/>
    <s v="Mesaj"/>
    <s v="Mesaj"/>
    <s v="Qəbul edilib"/>
    <s v="Təhvil verilib"/>
    <s v="Hörmətli *Resad Huseynov*  ,Sizin *27,11,2024* tarixli sifarişiniz qeydə alındı. Sifariş Məbləğı *369 AZN* , Qalıq *0 AZN* . Hörmətlə  *AlumPro*"/>
    <s v="Hörmətli *Resad Huseynov* , sizin *27,11,2024* tarixli  sifarişiniz hazırdır . Bizi seçdiyiniz üçün minnətdarıq. Hörmətlə  *AlumPro*."/>
    <s v="Resad"/>
    <s v="Resad "/>
  </r>
  <r>
    <n v="79"/>
    <s v="*ALUMPRO79*"/>
    <s v="Eli"/>
    <x v="52"/>
    <x v="63"/>
    <s v="994507176718"/>
    <m/>
    <s v="45 qara"/>
    <m/>
    <n v="0"/>
    <n v="6"/>
    <n v="138"/>
    <s v="boy"/>
    <s v="Tapilmadi"/>
    <n v="5"/>
    <n v="130"/>
    <m/>
    <s v="Tapilmadi"/>
    <n v="0"/>
    <n v="0"/>
    <n v="33"/>
    <s v="Qara Zerkalni şüşə"/>
    <m/>
    <n v="205"/>
    <m/>
    <s v="Tapilmadi"/>
    <m/>
    <n v="20"/>
    <m/>
    <s v="Tapilmadi"/>
    <n v="1"/>
    <n v="0"/>
    <n v="25"/>
    <n v="75"/>
    <n v="0"/>
    <n v="626"/>
    <n v="1"/>
    <n v="625"/>
    <n v="0"/>
    <s v="Mesaj"/>
    <s v="Mesaj"/>
    <s v="Qəbul edilib"/>
    <s v="Təhvil verilib"/>
    <s v="Hörmətli *Elmar Celal*  ,Sizin *27,11,2024* tarixli sifarişiniz qeydə alındı. Sifariş Məbləğı *626 AZN* , Qalıq *0 AZN* . Hörmətlə  *AlumPro*"/>
    <s v="Hörmətli *Elmar Celal* , sizin *27,11,2024* tarixli  sifarişiniz hazırdır . Bizi seçdiyiniz üçün minnətdarıq. Hörmətlə  *AlumPro*."/>
    <s v="Elmar"/>
    <s v="Elmar "/>
  </r>
  <r>
    <n v="78"/>
    <s v="*ALUMPRO78*"/>
    <s v="Eli"/>
    <x v="52"/>
    <x v="52"/>
    <s v="994502406369"/>
    <m/>
    <s v="2x2 qızılı"/>
    <m/>
    <n v="0"/>
    <n v="2"/>
    <n v="46"/>
    <s v="boy"/>
    <s v="Tapilmadi"/>
    <n v="1"/>
    <n v="26"/>
    <s v="2x2  düz"/>
    <s v="Tapilmadi"/>
    <n v="4"/>
    <n v="16"/>
    <n v="0"/>
    <s v="Qəhvəyi refle şüşə"/>
    <m/>
    <n v="340"/>
    <m/>
    <s v="Tapilmadi"/>
    <m/>
    <n v="4"/>
    <m/>
    <s v="Tapilmadi"/>
    <n v="1"/>
    <n v="0"/>
    <n v="8"/>
    <n v="15"/>
    <n v="0"/>
    <n v="455"/>
    <m/>
    <n v="455"/>
    <n v="0"/>
    <s v="Mesaj"/>
    <s v="Mesaj"/>
    <s v="Qəbul edilib"/>
    <s v="Təhvil verilib"/>
    <s v="Hörmətli *Behman Elit Mebel*  ,Sizin *27,11,2024* tarixli sifarişiniz qeydə alındı. Sifariş Məbləğı *455 AZN* , Qalıq *0 AZN* . Hörmətlə  *AlumPro*"/>
    <s v="Hörmətli *Behman Elit Mebel* , sizin *27,11,2024* tarixli  sifarişiniz hazırdır . Bizi seçdiyiniz üçün minnətdarıq. Hörmətlə  *AlumPro*."/>
    <s v="Behman"/>
    <s v="Behman "/>
  </r>
  <r>
    <n v="77"/>
    <s v="*ALUMPRO77*"/>
    <s v="Eli"/>
    <x v="52"/>
    <x v="52"/>
    <s v="994502406369"/>
    <m/>
    <s v="2x2 qara"/>
    <m/>
    <n v="0"/>
    <n v="4"/>
    <n v="92"/>
    <s v="110 sm"/>
    <s v="Tapilmadi"/>
    <n v="3"/>
    <n v="180"/>
    <s v="2x2  düz"/>
    <s v="Tapilmadi"/>
    <n v="12"/>
    <n v="48"/>
    <n v="0"/>
    <s v="Qara güzgü"/>
    <m/>
    <n v="222"/>
    <m/>
    <s v="Tapilmadi"/>
    <m/>
    <n v="12"/>
    <m/>
    <s v="Tapilmadi"/>
    <n v="1"/>
    <n v="0"/>
    <n v="24"/>
    <n v="45"/>
    <n v="0"/>
    <n v="623"/>
    <m/>
    <n v="623"/>
    <n v="0"/>
    <s v="Mesaj"/>
    <s v="Mesaj"/>
    <s v="Qəbul edilib"/>
    <s v="Təhvil verilib"/>
    <s v="Hörmətli *Behman Elit Mebel*  ,Sizin *27,11,2024* tarixli sifarişiniz qeydə alındı. Sifariş Məbləğı *623 AZN* , Qalıq *0 AZN* . Hörmətlə  *AlumPro*"/>
    <s v="Hörmətli *Behman Elit Mebel* , sizin *27,11,2024* tarixli  sifarişiniz hazırdır . Bizi seçdiyiniz üçün minnətdarıq. Hörmətlə  *AlumPro*."/>
    <s v="Behman"/>
    <s v="Behman "/>
  </r>
  <r>
    <n v="76"/>
    <s v="*ALUMPRO76*"/>
    <s v="Eli"/>
    <x v="53"/>
    <x v="11"/>
    <s v="994502111355"/>
    <m/>
    <s v="2x2 qara"/>
    <m/>
    <n v="0"/>
    <n v="2"/>
    <n v="46"/>
    <s v="boy"/>
    <s v="Tapilmadi"/>
    <n v="1"/>
    <n v="26"/>
    <s v="2x2  düz"/>
    <s v="Tapilmadi"/>
    <n v="1"/>
    <n v="4"/>
    <n v="0"/>
    <s v="Fümə şüşə"/>
    <m/>
    <n v="40"/>
    <m/>
    <s v="Tapilmadi"/>
    <m/>
    <n v="4"/>
    <m/>
    <s v="Tapilmadi"/>
    <n v="1"/>
    <n v="0"/>
    <n v="4"/>
    <n v="15"/>
    <n v="0"/>
    <n v="139"/>
    <m/>
    <n v="0"/>
    <n v="139"/>
    <s v="Mesaj"/>
    <s v="Mesaj"/>
    <s v="Qəbul edilib"/>
    <s v="Təhvil verilib"/>
    <s v="Hörmətli *My Concept*  ,Sizin *26,11,2024* tarixli sifarişiniz qeydə alındı. Sifariş Məbləğı *139 AZN* , Qalıq *139 AZN* . Hörmətlə  *AlumPro*"/>
    <s v="Hörmətli *My Concept* , sizin *26,11,2024* tarixli  sifarişiniz hazırdır . Bizi seçdiyiniz üçün minnətdarıq. Hörmətlə  *AlumPro*."/>
    <s v="My"/>
    <s v="My "/>
  </r>
  <r>
    <n v="75"/>
    <s v="*ALUMPRO75*"/>
    <s v="Eli"/>
    <x v="53"/>
    <x v="58"/>
    <s v="9946498358"/>
    <s v="Gizli qapi profili aluminum"/>
    <m/>
    <m/>
    <n v="0"/>
    <n v="1"/>
    <n v="240"/>
    <n v="0"/>
    <s v="Tapilmadi"/>
    <n v="0"/>
    <n v="0"/>
    <s v="İtalyan standart"/>
    <s v="Tapilmadi"/>
    <n v="3"/>
    <n v="180"/>
    <n v="0"/>
    <m/>
    <m/>
    <n v="0"/>
    <m/>
    <s v="Tapilmadi"/>
    <m/>
    <n v="0"/>
    <m/>
    <s v="Tapilmadi"/>
    <n v="1"/>
    <n v="0"/>
    <n v="0"/>
    <n v="80"/>
    <n v="0"/>
    <n v="500"/>
    <n v="5"/>
    <n v="495"/>
    <n v="0"/>
    <s v="Mesaj"/>
    <s v="Mesaj"/>
    <s v="Qəbul edilib"/>
    <s v="Təhvil verilib"/>
    <s v="Hörmətli *Hikmet Qalib*  ,Sizin *26,11,2024* tarixli sifarişiniz qeydə alındı. Sifariş Məbləğı *500 AZN* , Qalıq *0 AZN* . Hörmətlə  *AlumPro*"/>
    <s v="Hörmətli *Hikmet Qalib* , sizin *26,11,2024* tarixli  sifarişiniz hazırdır . Bizi seçdiyiniz üçün minnətdarıq. Hörmətlə  *AlumPro*."/>
    <s v="Hikmet"/>
    <s v="Hikmet "/>
  </r>
  <r>
    <n v="74"/>
    <s v="*ALUMPRO74*"/>
    <s v="Eli"/>
    <x v="53"/>
    <x v="56"/>
    <s v="994505703525"/>
    <m/>
    <s v="3x3 oval açıq antrasit"/>
    <m/>
    <n v="0"/>
    <n v="3"/>
    <n v="150"/>
    <s v="basac"/>
    <s v="Tapilmadi"/>
    <n v="0"/>
    <n v="0"/>
    <m/>
    <s v="Tapilmadi"/>
    <n v="0"/>
    <n v="0"/>
    <n v="0"/>
    <s v="Qara Zerkalni şüşə"/>
    <m/>
    <n v="44"/>
    <m/>
    <s v="Tapilmadi"/>
    <m/>
    <n v="20"/>
    <m/>
    <s v="Tapilmadi"/>
    <n v="1"/>
    <n v="0"/>
    <n v="0"/>
    <n v="50"/>
    <n v="0"/>
    <n v="264"/>
    <m/>
    <n v="264"/>
    <n v="0"/>
    <s v="Mesaj"/>
    <s v="Mesaj"/>
    <s v="Qəbul edilib"/>
    <s v="Təhvil verilib"/>
    <s v="Hörmətli *Samir Ayla Mebel*  ,Sizin *26,11,2024* tarixli sifarişiniz qeydə alındı. Sifariş Məbləğı *264 AZN* , Qalıq *0 AZN* . Hörmətlə  *AlumPro*"/>
    <s v="Hörmətli *Samir Ayla Mebel* , sizin *26,11,2024* tarixli  sifarişiniz hazırdır . Bizi seçdiyiniz üçün minnətdarıq. Hörmətlə  *AlumPro*."/>
    <s v="Samir"/>
    <s v="Samir "/>
  </r>
  <r>
    <n v="73"/>
    <s v="*ALUMPRO73*"/>
    <s v="Eli"/>
    <x v="54"/>
    <x v="74"/>
    <s v="994709008920"/>
    <m/>
    <s v="45 qara"/>
    <m/>
    <n v="0"/>
    <n v="21"/>
    <n v="483"/>
    <s v="boy"/>
    <s v="Tapilmadi"/>
    <n v="15"/>
    <n v="390"/>
    <m/>
    <s v="Tapilmadi"/>
    <n v="0"/>
    <n v="0"/>
    <n v="45"/>
    <s v="Fümə şüşə"/>
    <m/>
    <n v="532"/>
    <m/>
    <s v="Tapilmadi"/>
    <m/>
    <n v="60"/>
    <m/>
    <s v="Tapilmadi"/>
    <n v="1"/>
    <n v="0"/>
    <n v="75"/>
    <n v="225"/>
    <n v="0"/>
    <n v="1810"/>
    <m/>
    <n v="1810"/>
    <n v="0"/>
    <s v="Mesaj"/>
    <s v="Mesaj"/>
    <s v="Qəbul edilib"/>
    <s v="Təhvil verilib"/>
    <s v="Hörmətli *Ismayil Ismayilov Zevna*  ,Sizin *21,11,2024* tarixli sifarişiniz qeydə alındı. Sifariş Məbləğı *1810 AZN* , Qalıq *0 AZN* . Hörmətlə  *AlumPro*"/>
    <s v="Hörmətli *Ismayil Ismayilov Zevna* , sizin *21,11,2024* tarixli  sifarişiniz hazırdır . Bizi seçdiyiniz üçün minnətdarıq. Hörmətlə  *AlumPro*."/>
    <s v="Ismayil"/>
    <s v="Ismayil "/>
  </r>
  <r>
    <n v="72"/>
    <s v="*ALUMPRO72*"/>
    <s v="Eli"/>
    <x v="54"/>
    <x v="116"/>
    <s v="994502109762"/>
    <m/>
    <s v="2x2 qara"/>
    <m/>
    <n v="0"/>
    <n v="6"/>
    <n v="138"/>
    <s v="boy"/>
    <s v="Tapilmadi"/>
    <n v="4"/>
    <n v="104"/>
    <s v="2x2  düz"/>
    <s v="Tapilmadi"/>
    <n v="16"/>
    <n v="64"/>
    <n v="12"/>
    <s v="Temp Fümə şüşə"/>
    <m/>
    <n v="154"/>
    <m/>
    <s v="Tapilmadi"/>
    <m/>
    <n v="32"/>
    <m/>
    <s v="Tapilmadi"/>
    <n v="1"/>
    <n v="0"/>
    <n v="32"/>
    <n v="60"/>
    <n v="0"/>
    <n v="596"/>
    <m/>
    <n v="596"/>
    <n v="0"/>
    <s v="Mesaj"/>
    <s v="Mesaj"/>
    <s v="Qəbul edilib"/>
    <s v="Təhvil verilib"/>
    <s v="Hörmətli *Muhiddin Bey*  ,Sizin *21,11,2024* tarixli sifarişiniz qeydə alındı. Sifariş Məbləğı *596 AZN* , Qalıq *0 AZN* . Hörmətlə  *AlumPro*"/>
    <s v="Hörmətli *Muhiddin Bey* , sizin *21,11,2024* tarixli  sifarişiniz hazırdır . Bizi seçdiyiniz üçün minnətdarıq. Hörmətlə  *AlumPro*."/>
    <s v="Muhiddin"/>
    <s v="Muhiddin "/>
  </r>
  <r>
    <n v="71"/>
    <s v="*ALUMPRO71*"/>
    <s v="Eli"/>
    <x v="54"/>
    <x v="50"/>
    <s v="994502150506"/>
    <m/>
    <s v="45 qara"/>
    <m/>
    <n v="0"/>
    <n v="1"/>
    <n v="23"/>
    <s v="boy"/>
    <s v="Tapilmadi"/>
    <n v="1"/>
    <n v="26"/>
    <m/>
    <s v="Tapilmadi"/>
    <n v="0"/>
    <n v="0"/>
    <n v="6"/>
    <s v="Fümə şüşə"/>
    <m/>
    <n v="16"/>
    <m/>
    <s v="Tapilmadi"/>
    <m/>
    <n v="8"/>
    <m/>
    <s v="Tapilmadi"/>
    <n v="1"/>
    <n v="0"/>
    <n v="4"/>
    <n v="20"/>
    <n v="0"/>
    <n v="103"/>
    <m/>
    <n v="0"/>
    <n v="103"/>
    <s v="Mesaj"/>
    <s v="Mesaj"/>
    <s v="Qəbul edilib"/>
    <s v="Təhvil verilib"/>
    <s v="Hörmətli *Kamran kaya desıgn*  ,Sizin *21,11,2024* tarixli sifarişiniz qeydə alındı. Sifariş Məbləğı *103 AZN* , Qalıq *103 AZN* . Hörmətlə  *AlumPro*"/>
    <s v="Hörmətli *Kamran kaya desıgn* , sizin *21,11,2024* tarixli  sifarişiniz hazırdır . Bizi seçdiyiniz üçün minnətdarıq. Hörmətlə  *AlumPro*."/>
    <s v="Kamran"/>
    <s v="Kamran "/>
  </r>
  <r>
    <n v="70"/>
    <s v="*ALUMPRO70*"/>
    <s v="Eli"/>
    <x v="54"/>
    <x v="55"/>
    <s v="994503232344"/>
    <m/>
    <s v="45 kofe"/>
    <m/>
    <n v="0"/>
    <n v="2"/>
    <n v="46"/>
    <s v="boy"/>
    <s v="Tapilmadi"/>
    <n v="1"/>
    <n v="26"/>
    <m/>
    <s v="Tapilmadi"/>
    <n v="0"/>
    <n v="0"/>
    <n v="0"/>
    <s v=" Temp Qəhvəyi şüşə"/>
    <m/>
    <n v="47"/>
    <m/>
    <s v="Tapilmadi"/>
    <m/>
    <n v="4"/>
    <m/>
    <s v="Tapilmadi"/>
    <n v="1"/>
    <n v="0"/>
    <n v="5"/>
    <n v="15"/>
    <n v="0"/>
    <n v="143"/>
    <m/>
    <n v="0"/>
    <n v="143"/>
    <s v="Mesaj"/>
    <s v="Mesaj"/>
    <s v="Qəbul edilib"/>
    <s v="Təhvil verilib"/>
    <s v="Hörmətli *Ceyhun Bmw Doz*  ,Sizin *21,11,2024* tarixli sifarişiniz qeydə alındı. Sifariş Məbləğı *143 AZN* , Qalıq *143 AZN* . Hörmətlə  *AlumPro*"/>
    <s v="Hörmətli *Ceyhun Bmw Doz* , sizin *21,11,2024* tarixli  sifarişiniz hazırdır . Bizi seçdiyiniz üçün minnətdarıq. Hörmətlə  *AlumPro*."/>
    <s v="Ceyhun"/>
    <s v="Ceyhun "/>
  </r>
  <r>
    <n v="69"/>
    <s v="*ALUMPRO69*"/>
    <s v="Eli"/>
    <x v="54"/>
    <x v="34"/>
    <s v="994706230408"/>
    <m/>
    <s v="2x2 qara"/>
    <m/>
    <n v="0"/>
    <n v="1"/>
    <n v="23"/>
    <s v="boy"/>
    <s v="Tapilmadi"/>
    <n v="1"/>
    <n v="26"/>
    <s v="2x2  düz"/>
    <s v="Tapilmadi"/>
    <n v="3"/>
    <n v="12"/>
    <n v="0"/>
    <s v="Fümə şüşə"/>
    <m/>
    <n v="25"/>
    <m/>
    <s v="Tapilmadi"/>
    <m/>
    <n v="8"/>
    <m/>
    <s v="Tapilmadi"/>
    <n v="1"/>
    <n v="0"/>
    <n v="6"/>
    <n v="15"/>
    <n v="0"/>
    <n v="115"/>
    <m/>
    <n v="115"/>
    <n v="0"/>
    <s v="Mesaj"/>
    <s v="Mesaj"/>
    <s v="Qəbul edilib"/>
    <s v="Təhvil verilib"/>
    <s v="Hörmətli *Vaqif German*  ,Sizin *21,11,2024* tarixli sifarişiniz qeydə alındı. Sifariş Məbləğı *115 AZN* , Qalıq *0 AZN* . Hörmətlə  *AlumPro*"/>
    <s v="Hörmətli *Vaqif German* , sizin *21,11,2024* tarixli  sifarişiniz hazırdır . Bizi seçdiyiniz üçün minnətdarıq. Hörmətlə  *AlumPro*."/>
    <s v="Vaqif"/>
    <s v="Vaqif "/>
  </r>
  <r>
    <n v="68"/>
    <s v="*ALUMPRO68*"/>
    <s v="Eli"/>
    <x v="54"/>
    <x v="117"/>
    <s v="994516619888"/>
    <m/>
    <s v="45 qara"/>
    <m/>
    <n v="0"/>
    <n v="1"/>
    <n v="23"/>
    <s v="boy"/>
    <s v="Tapilmadi"/>
    <n v="1"/>
    <n v="26"/>
    <m/>
    <s v="Tapilmadi"/>
    <n v="0"/>
    <n v="0"/>
    <n v="6"/>
    <s v="Fümə şüşə"/>
    <m/>
    <n v="15"/>
    <m/>
    <s v="Tapilmadi"/>
    <m/>
    <n v="4"/>
    <m/>
    <s v="Tapilmadi"/>
    <n v="1"/>
    <n v="0"/>
    <n v="3"/>
    <n v="15"/>
    <n v="0"/>
    <n v="92"/>
    <m/>
    <n v="92"/>
    <n v="0"/>
    <s v="Mesaj"/>
    <s v="Mesaj"/>
    <s v="Qəbul edilib"/>
    <s v="Təhvil verilib"/>
    <s v="Hörmətli *Ruslan Amil*  ,Sizin *21,11,2024* tarixli sifarişiniz qeydə alındı. Sifariş Məbləğı *92 AZN* , Qalıq *0 AZN* . Hörmətlə  *AlumPro*"/>
    <s v="Hörmətli *Ruslan Amil* , sizin *21,11,2024* tarixli  sifarişiniz hazırdır . Bizi seçdiyiniz üçün minnətdarıq. Hörmətlə  *AlumPro*."/>
    <s v="Ruslan"/>
    <s v="Ruslan "/>
  </r>
  <r>
    <n v="67"/>
    <s v="*ALUMPRO67*"/>
    <s v="Eli"/>
    <x v="54"/>
    <x v="118"/>
    <s v="994503003825"/>
    <m/>
    <s v="45 qara"/>
    <m/>
    <n v="0"/>
    <n v="7"/>
    <n v="161"/>
    <s v="boy"/>
    <s v="Tapilmadi"/>
    <n v="5"/>
    <n v="130"/>
    <m/>
    <s v="Tapilmadi"/>
    <n v="0"/>
    <n v="0"/>
    <n v="36"/>
    <s v="Fümə şüşə"/>
    <m/>
    <n v="123"/>
    <m/>
    <s v="Tapilmadi"/>
    <m/>
    <n v="20"/>
    <m/>
    <s v="Tapilmadi"/>
    <n v="1"/>
    <n v="0"/>
    <n v="20"/>
    <n v="75"/>
    <n v="0"/>
    <n v="565"/>
    <m/>
    <n v="570"/>
    <n v="-5"/>
    <s v="Mesaj"/>
    <s v="Mesaj"/>
    <s v="Qəbul edilib"/>
    <s v="Təhvil verilib"/>
    <s v="Hörmətli *Erdal Adiyge Mebel*  ,Sizin *21,11,2024* tarixli sifarişiniz qeydə alındı. Sifariş Məbləğı *565 AZN* , Qalıq *-5 AZN* . Hörmətlə  *AlumPro*"/>
    <s v="Hörmətli *Erdal Adiyge Mebel* , sizin *21,11,2024* tarixli  sifarişiniz hazırdır . Bizi seçdiyiniz üçün minnətdarıq. Hörmətlə  *AlumPro*."/>
    <s v="Erdal"/>
    <s v="Erdal "/>
  </r>
  <r>
    <n v="66"/>
    <s v="*ALUMPRO66*"/>
    <s v="Eli"/>
    <x v="54"/>
    <x v="112"/>
    <s v="994706202050"/>
    <m/>
    <s v="45 qara"/>
    <m/>
    <n v="0"/>
    <n v="3"/>
    <n v="69"/>
    <s v="boy"/>
    <s v="Tapilmadi"/>
    <n v="2"/>
    <n v="52"/>
    <m/>
    <s v="Tapilmadi"/>
    <n v="0"/>
    <n v="0"/>
    <n v="15"/>
    <s v="Fümə şüşə"/>
    <m/>
    <n v="69"/>
    <m/>
    <s v="Tapilmadi"/>
    <m/>
    <n v="8"/>
    <m/>
    <s v="Tapilmadi"/>
    <n v="1"/>
    <n v="0"/>
    <n v="12"/>
    <n v="30"/>
    <n v="0"/>
    <n v="255"/>
    <m/>
    <n v="260"/>
    <n v="-5"/>
    <s v="Mesaj"/>
    <s v="Mesaj"/>
    <s v="Qəbul edilib"/>
    <s v="Təhvil verilib"/>
    <s v="Hörmətli *Elmeddin Soltanov*  ,Sizin *21,11,2024* tarixli sifarişiniz qeydə alındı. Sifariş Məbləğı *255 AZN* , Qalıq *-5 AZN* . Hörmətlə  *AlumPro*"/>
    <s v="Hörmətli *Elmeddin Soltanov* , sizin *21,11,2024* tarixli  sifarişiniz hazırdır . Bizi seçdiyiniz üçün minnətdarıq. Hörmətlə  *AlumPro*."/>
    <s v="Elmeddin"/>
    <s v="Elmeddin "/>
  </r>
  <r>
    <n v="65"/>
    <s v="*ALUMPRO65*"/>
    <s v="Eli"/>
    <x v="54"/>
    <x v="1"/>
    <s v="994554094045"/>
    <m/>
    <s v="2x2 qara"/>
    <m/>
    <n v="0"/>
    <n v="2"/>
    <n v="46"/>
    <s v="basac"/>
    <s v="Tapilmadi"/>
    <n v="0"/>
    <n v="0"/>
    <s v="2x2  düz"/>
    <s v="Tapilmadi"/>
    <n v="3"/>
    <n v="12"/>
    <n v="0"/>
    <s v="Şəffaf şüşə"/>
    <m/>
    <n v="18"/>
    <m/>
    <s v="Tapilmadi"/>
    <m/>
    <n v="8"/>
    <m/>
    <s v="Tapilmadi"/>
    <n v="1"/>
    <n v="0"/>
    <n v="6"/>
    <n v="15"/>
    <n v="0"/>
    <n v="105"/>
    <m/>
    <n v="105"/>
    <n v="0"/>
    <s v="Mesaj"/>
    <s v="Mesaj"/>
    <s v="Qəbul edilib"/>
    <s v="Təhvil verilib"/>
    <s v="Hörmətli *Lux Concept*  ,Sizin *21,11,2024* tarixli sifarişiniz qeydə alındı. Sifariş Məbləğı *105 AZN* , Qalıq *0 AZN* . Hörmətlə  *AlumPro*"/>
    <s v="Hörmətli *Lux Concept* , sizin *21,11,2024* tarixli  sifarişiniz hazırdır . Bizi seçdiyiniz üçün minnətdarıq. Hörmətlə  *AlumPro*."/>
    <s v="Lux"/>
    <s v="Lux "/>
  </r>
  <r>
    <n v="64"/>
    <s v="*ALUMPRO64*"/>
    <s v="Eli"/>
    <x v="54"/>
    <x v="1"/>
    <s v="994554094045"/>
    <m/>
    <s v="2x2 qızılı"/>
    <m/>
    <n v="0"/>
    <n v="7"/>
    <n v="161"/>
    <s v="boy"/>
    <s v="Tapilmadi"/>
    <n v="4"/>
    <n v="104"/>
    <s v="2x2  düz"/>
    <s v="Tapilmadi"/>
    <n v="24"/>
    <n v="96"/>
    <n v="0"/>
    <s v="Qəhvəyi şüşə"/>
    <m/>
    <n v="115"/>
    <m/>
    <s v="Tapilmadi"/>
    <m/>
    <n v="64"/>
    <m/>
    <s v="Tapilmadi"/>
    <n v="1"/>
    <n v="0"/>
    <n v="48"/>
    <n v="100"/>
    <n v="0"/>
    <n v="688"/>
    <m/>
    <n v="688"/>
    <n v="0"/>
    <s v="Mesaj"/>
    <s v="Mesaj"/>
    <s v="Qəbul edilib"/>
    <s v="Təhvil verilib"/>
    <s v="Hörmətli *Lux Concept*  ,Sizin *21,11,2024* tarixli sifarişiniz qeydə alındı. Sifariş Məbləğı *688 AZN* , Qalıq *0 AZN* . Hörmətlə  *AlumPro*"/>
    <s v="Hörmətli *Lux Concept* , sizin *21,11,2024* tarixli  sifarişiniz hazırdır . Bizi seçdiyiniz üçün minnətdarıq. Hörmətlə  *AlumPro*."/>
    <s v="Lux"/>
    <s v="Lux "/>
  </r>
  <r>
    <n v="63"/>
    <s v="*ALUMPRO63*"/>
    <s v="Eli"/>
    <x v="54"/>
    <x v="47"/>
    <s v="994508586959"/>
    <s v="QARA BOYALI SUSE"/>
    <s v="45 qara"/>
    <m/>
    <n v="0"/>
    <n v="1"/>
    <n v="23"/>
    <s v="boy"/>
    <s v="Tapilmadi"/>
    <n v="1"/>
    <n v="26"/>
    <m/>
    <s v="Tapilmadi"/>
    <n v="0"/>
    <n v="0"/>
    <n v="6"/>
    <m/>
    <m/>
    <n v="42"/>
    <m/>
    <s v="Tapilmadi"/>
    <m/>
    <n v="8"/>
    <m/>
    <s v="Tapilmadi"/>
    <n v="1"/>
    <n v="0"/>
    <n v="4"/>
    <n v="20"/>
    <n v="0"/>
    <n v="129"/>
    <m/>
    <n v="0"/>
    <n v="129"/>
    <s v="Mesaj"/>
    <s v="Mesaj"/>
    <s v="Qəbul edilib"/>
    <s v="Təhvil verilib"/>
    <s v="Hörmətli *Ilqar Qara*  ,Sizin *21,11,2024* tarixli sifarişiniz qeydə alındı. Sifariş Məbləğı *129 AZN* , Qalıq *129 AZN* . Hörmətlə  *AlumPro*"/>
    <s v="Hörmətli *Ilqar Qara* , sizin *21,11,2024* tarixli  sifarişiniz hazırdır . Bizi seçdiyiniz üçün minnətdarıq. Hörmətlə  *AlumPro*."/>
    <s v="Ilqar"/>
    <s v="Ilqar "/>
  </r>
  <r>
    <n v="62"/>
    <s v="*ALUMPRO62*"/>
    <s v="Eli"/>
    <x v="54"/>
    <x v="88"/>
    <s v="994706060666"/>
    <m/>
    <s v="45 qara"/>
    <m/>
    <n v="0"/>
    <n v="1"/>
    <n v="23"/>
    <s v="boy"/>
    <s v="Tapilmadi"/>
    <n v="1"/>
    <n v="26"/>
    <m/>
    <s v="Tapilmadi"/>
    <n v="0"/>
    <n v="0"/>
    <n v="6"/>
    <s v="Fümə şüşə"/>
    <m/>
    <n v="18"/>
    <m/>
    <s v="Tapilmadi"/>
    <m/>
    <n v="4"/>
    <m/>
    <s v="Tapilmadi"/>
    <n v="1"/>
    <n v="0"/>
    <n v="2"/>
    <n v="15"/>
    <n v="0"/>
    <n v="94"/>
    <m/>
    <n v="94"/>
    <n v="0"/>
    <s v="Mesaj"/>
    <s v="Mesaj"/>
    <s v="Qəbul edilib"/>
    <s v="Təhvil verilib"/>
    <s v="Hörmətli *Faiq Enso*  ,Sizin *21,11,2024* tarixli sifarişiniz qeydə alındı. Sifariş Məbləğı *94 AZN* , Qalıq *0 AZN* . Hörmətlə  *AlumPro*"/>
    <s v="Hörmətli *Faiq Enso* , sizin *21,11,2024* tarixli  sifarişiniz hazırdır . Bizi seçdiyiniz üçün minnətdarıq. Hörmətlə  *AlumPro*."/>
    <s v="Faiq"/>
    <s v="Faiq "/>
  </r>
  <r>
    <n v="61"/>
    <s v="*ALUMPRO61*"/>
    <s v="Eli"/>
    <x v="54"/>
    <x v="101"/>
    <s v="994552308880"/>
    <m/>
    <s v="45 qara"/>
    <m/>
    <n v="0"/>
    <n v="3"/>
    <n v="69"/>
    <s v="boy"/>
    <s v="Tapilmadi"/>
    <n v="2"/>
    <n v="52"/>
    <m/>
    <s v="Tapilmadi"/>
    <n v="0"/>
    <n v="0"/>
    <n v="15"/>
    <s v="Fümə şüşə"/>
    <m/>
    <n v="47"/>
    <m/>
    <s v="Tapilmadi"/>
    <m/>
    <n v="8"/>
    <m/>
    <s v="Tapilmadi"/>
    <n v="1"/>
    <n v="0"/>
    <n v="0"/>
    <n v="30"/>
    <n v="0"/>
    <n v="221"/>
    <n v="26"/>
    <n v="195"/>
    <n v="0"/>
    <s v="Mesaj"/>
    <s v="Mesaj"/>
    <s v="Qəbul edilib"/>
    <s v="Təhvil verilib"/>
    <s v="Hörmətli *Abbas Cermet*  ,Sizin *21,11,2024* tarixli sifarişiniz qeydə alındı. Sifariş Məbləğı *221 AZN* , Qalıq *0 AZN* . Hörmətlə  *AlumPro*"/>
    <s v="Hörmətli *Abbas Cermet* , sizin *21,11,2024* tarixli  sifarişiniz hazırdır . Bizi seçdiyiniz üçün minnətdarıq. Hörmətlə  *AlumPro*."/>
    <s v="Abbas"/>
    <s v="Abbas "/>
  </r>
  <r>
    <n v="60"/>
    <s v="*ALUMPRO60*"/>
    <s v="Eli"/>
    <x v="54"/>
    <x v="119"/>
    <s v="994708707216"/>
    <m/>
    <s v="45 qara"/>
    <m/>
    <n v="0"/>
    <n v="6"/>
    <n v="138"/>
    <s v="basac"/>
    <s v="Tapilmadi"/>
    <n v="0"/>
    <n v="0"/>
    <m/>
    <s v="Tapilmadi"/>
    <n v="0"/>
    <n v="0"/>
    <n v="18"/>
    <s v="Qəhvəyi zerkalni şüşə"/>
    <m/>
    <n v="105"/>
    <m/>
    <s v="Tapilmadi"/>
    <m/>
    <n v="20"/>
    <m/>
    <s v="Tapilmadi"/>
    <n v="1"/>
    <n v="0"/>
    <n v="15"/>
    <n v="75"/>
    <n v="0"/>
    <n v="371"/>
    <m/>
    <n v="371"/>
    <n v="0"/>
    <s v="Mesaj"/>
    <s v="Mesaj"/>
    <s v="Qəbul edilib"/>
    <s v="Təhvil verilib"/>
    <s v="Hörmətli *Rusdem Klyent*  ,Sizin *21,11,2024* tarixli sifarişiniz qeydə alındı. Sifariş Məbləğı *371 AZN* , Qalıq *0 AZN* . Hörmətlə  *AlumPro*"/>
    <s v="Hörmətli *Rusdem Klyent* , sizin *21,11,2024* tarixli  sifarişiniz hazırdır . Bizi seçdiyiniz üçün minnətdarıq. Hörmətlə  *AlumPro*."/>
    <s v="Rusdem"/>
    <s v="Rusdem "/>
  </r>
  <r>
    <n v="59"/>
    <s v="*ALUMPRO59*"/>
    <s v="Eli"/>
    <x v="54"/>
    <x v="2"/>
    <s v="994504996970"/>
    <m/>
    <s v="2x2 qara"/>
    <m/>
    <n v="0"/>
    <n v="2"/>
    <n v="46"/>
    <s v="boy"/>
    <s v="Tapilmadi"/>
    <n v="1"/>
    <n v="26"/>
    <s v="2x2  düz"/>
    <s v="Tapilmadi"/>
    <n v="4"/>
    <n v="12"/>
    <n v="0"/>
    <s v="Fümə şüşə"/>
    <m/>
    <n v="27"/>
    <m/>
    <s v="Tapilmadi"/>
    <m/>
    <n v="8"/>
    <m/>
    <s v="Tapilmadi"/>
    <n v="1"/>
    <n v="0"/>
    <n v="6"/>
    <n v="15"/>
    <n v="0"/>
    <n v="140"/>
    <m/>
    <n v="140"/>
    <n v="0"/>
    <s v="Mesaj"/>
    <s v="Mesaj"/>
    <s v="Qəbul edilib"/>
    <s v="Təhvil verilib"/>
    <s v="Hörmətli *Ehed Qorizont*  ,Sizin *21,11,2024* tarixli sifarişiniz qeydə alındı. Sifariş Məbləğı *140 AZN* , Qalıq *0 AZN* . Hörmətlə  *AlumPro*"/>
    <s v="Hörmətli *Ehed Qorizont* , sizin *21,11,2024* tarixli  sifarişiniz hazırdır . Bizi seçdiyiniz üçün minnətdarıq. Hörmətlə  *AlumPro*."/>
    <s v="Ehed"/>
    <s v="Ehed "/>
  </r>
  <r>
    <n v="58"/>
    <s v="*ALUMPRO58*"/>
    <s v="Eli"/>
    <x v="54"/>
    <x v="120"/>
    <s v="994556610491"/>
    <m/>
    <s v="45 qızılı"/>
    <m/>
    <n v="0"/>
    <n v="3"/>
    <n v="69"/>
    <s v="boy"/>
    <s v="Tapilmadi"/>
    <n v="2"/>
    <n v="52"/>
    <m/>
    <s v="Tapilmadi"/>
    <n v="0"/>
    <n v="0"/>
    <n v="0"/>
    <s v="Qəhvəyi şüşə"/>
    <m/>
    <n v="50"/>
    <m/>
    <s v="Tapilmadi"/>
    <m/>
    <n v="8"/>
    <m/>
    <s v="Tapilmadi"/>
    <n v="1"/>
    <n v="0"/>
    <n v="11"/>
    <n v="30"/>
    <n v="0"/>
    <n v="220"/>
    <m/>
    <n v="220"/>
    <n v="0"/>
    <s v="Mesaj"/>
    <s v="Mesaj"/>
    <s v="Qəbul edilib"/>
    <s v="Təhvil verilib"/>
    <s v="Hörmətli *Ilkin Memmedov*  ,Sizin *21,11,2024* tarixli sifarişiniz qeydə alındı. Sifariş Məbləğı *220 AZN* , Qalıq *0 AZN* . Hörmətlə  *AlumPro*"/>
    <s v="Hörmətli *Ilkin Memmedov* , sizin *21,11,2024* tarixli  sifarişiniz hazırdır . Bizi seçdiyiniz üçün minnətdarıq. Hörmətlə  *AlumPro*."/>
    <s v="Ilkin"/>
    <s v="Ilkin "/>
  </r>
  <r>
    <n v="57"/>
    <s v="*ALUMPRO57*"/>
    <s v="Eli"/>
    <x v="54"/>
    <x v="121"/>
    <n v="0"/>
    <m/>
    <s v="2x2 kofe"/>
    <m/>
    <n v="0"/>
    <n v="3"/>
    <n v="69"/>
    <s v="boy"/>
    <s v="Tapilmadi"/>
    <n v="2"/>
    <n v="52"/>
    <s v="2x2  düz"/>
    <s v="Tapilmadi"/>
    <n v="10"/>
    <n v="40"/>
    <n v="0"/>
    <s v="Qəhvəyi zerkalni şüşə"/>
    <m/>
    <n v="73"/>
    <m/>
    <s v="Tapilmadi"/>
    <m/>
    <n v="16"/>
    <m/>
    <s v="Tapilmadi"/>
    <n v="1"/>
    <n v="0"/>
    <n v="20"/>
    <n v="30"/>
    <n v="0"/>
    <n v="300"/>
    <m/>
    <n v="300"/>
    <n v="0"/>
    <s v="Mesaj"/>
    <s v="Mesaj"/>
    <s v="Qəbul edilib"/>
    <s v="Təhvil verilib"/>
    <s v="Hörmətli *Mubariz Isgenderov*  ,Sizin *21,11,2024* tarixli sifarişiniz qeydə alındı. Sifariş Məbləğı *300 AZN* , Qalıq *0 AZN* . Hörmətlə  *AlumPro*"/>
    <s v="Hörmətli *Mubariz Isgenderov* , sizin *21,11,2024* tarixli  sifarişiniz hazırdır . Bizi seçdiyiniz üçün minnətdarıq. Hörmətlə  *AlumPro*."/>
    <s v="Mubariz"/>
    <s v="Mubariz "/>
  </r>
  <r>
    <n v="56"/>
    <s v="*ALUMPRO56*"/>
    <s v="Eli"/>
    <x v="55"/>
    <x v="41"/>
    <s v="994703251513"/>
    <m/>
    <s v="45 qara"/>
    <m/>
    <n v="0"/>
    <n v="8"/>
    <n v="184"/>
    <s v="boy"/>
    <s v="Tapilmadi"/>
    <n v="6"/>
    <n v="156"/>
    <m/>
    <s v="Tapilmadi"/>
    <n v="0"/>
    <n v="0"/>
    <n v="42"/>
    <s v="Fümə şüşə"/>
    <m/>
    <n v="185"/>
    <m/>
    <s v="Tapilmadi"/>
    <m/>
    <n v="24"/>
    <m/>
    <s v="Tapilmadi"/>
    <n v="1"/>
    <n v="0"/>
    <n v="24"/>
    <n v="90"/>
    <n v="0"/>
    <n v="705"/>
    <m/>
    <n v="705"/>
    <n v="0"/>
    <s v="Mesaj"/>
    <s v="Mesaj"/>
    <s v="Qəbul edilib"/>
    <s v="Təhvil verilib"/>
    <s v="Hörmətli *Eshqin Lastella*  ,Sizin *20,11,2024* tarixli sifarişiniz qeydə alındı. Sifariş Məbləğı *705 AZN* , Qalıq *0 AZN* . Hörmətlə  *AlumPro*"/>
    <s v="Hörmətli *Eshqin Lastella* , sizin *20,11,2024* tarixli  sifarişiniz hazırdır . Bizi seçdiyiniz üçün minnətdarıq. Hörmətlə  *AlumPro*."/>
    <s v="Eshqin"/>
    <s v="Eshqin "/>
  </r>
  <r>
    <n v="55"/>
    <s v="*ALUMPRO55*"/>
    <s v="Eli"/>
    <x v="55"/>
    <x v="103"/>
    <s v="994557303626"/>
    <m/>
    <s v="45 qara"/>
    <m/>
    <n v="0"/>
    <n v="1"/>
    <n v="23"/>
    <s v="boy"/>
    <s v="Tapilmadi"/>
    <n v="1"/>
    <n v="26"/>
    <m/>
    <s v="Tapilmadi"/>
    <n v="0"/>
    <n v="0"/>
    <n v="0"/>
    <m/>
    <m/>
    <n v="16"/>
    <m/>
    <s v="Tapilmadi"/>
    <m/>
    <n v="4"/>
    <m/>
    <s v="Tapilmadi"/>
    <n v="1"/>
    <n v="0"/>
    <n v="3"/>
    <n v="15"/>
    <n v="0"/>
    <n v="87"/>
    <m/>
    <n v="87"/>
    <n v="0"/>
    <s v="Mesaj"/>
    <s v="Mesaj"/>
    <s v="Qəbul edilib"/>
    <s v="Təhvil verilib"/>
    <s v="Hörmətli *Soltan Musteri*  ,Sizin *20,11,2024* tarixli sifarişiniz qeydə alındı. Sifariş Məbləğı *87 AZN* , Qalıq *0 AZN* . Hörmətlə  *AlumPro*"/>
    <s v="Hörmətli *Soltan Musteri* , sizin *20,11,2024* tarixli  sifarişiniz hazırdır . Bizi seçdiyiniz üçün minnətdarıq. Hörmətlə  *AlumPro*."/>
    <s v="Soltan"/>
    <s v="Soltan "/>
  </r>
  <r>
    <n v="54"/>
    <s v="*ALUMPRO54*"/>
    <s v="Eli"/>
    <x v="55"/>
    <x v="38"/>
    <s v="994705137062"/>
    <s v="suseler ferqlidi"/>
    <s v="45 qızılı"/>
    <m/>
    <n v="0"/>
    <n v="36"/>
    <n v="828"/>
    <s v="boy"/>
    <s v="Tapilmadi"/>
    <n v="29"/>
    <n v="754"/>
    <m/>
    <s v="Tapilmadi"/>
    <n v="0"/>
    <n v="0"/>
    <n v="0"/>
    <m/>
    <m/>
    <n v="1233"/>
    <m/>
    <s v="Tapilmadi"/>
    <m/>
    <n v="120"/>
    <m/>
    <s v="Tapilmadi"/>
    <n v="1"/>
    <n v="0"/>
    <n v="146"/>
    <n v="450"/>
    <n v="105"/>
    <n v="3636"/>
    <m/>
    <n v="3001"/>
    <n v="635"/>
    <s v="Mesaj"/>
    <s v="Mesaj"/>
    <s v="Qəbul edilib"/>
    <s v="Təhvil verilib"/>
    <s v="Hörmətli *Mecnun Sahmurov*  ,Sizin *20,11,2024* tarixli sifarişiniz qeydə alındı. Sifariş Məbləğı *3636 AZN* , Qalıq *635 AZN* . Hörmətlə  *AlumPro*"/>
    <s v="Hörmətli *Mecnun Sahmurov* , sizin *20,11,2024* tarixli  sifarişiniz hazırdır . Bizi seçdiyiniz üçün minnətdarıq. Hörmətlə  *AlumPro*."/>
    <s v="Mecnun"/>
    <s v="Mecnun "/>
  </r>
  <r>
    <n v="53"/>
    <s v="*ALUMPRO53*"/>
    <s v="Eli"/>
    <x v="56"/>
    <x v="0"/>
    <s v="994773337525"/>
    <m/>
    <s v="2x2 qara"/>
    <m/>
    <n v="0"/>
    <n v="28"/>
    <n v="644"/>
    <s v="boy"/>
    <s v="Tapilmadi"/>
    <n v="20"/>
    <n v="520"/>
    <s v="2x2  düz"/>
    <s v="Tapilmadi"/>
    <n v="100"/>
    <n v="400"/>
    <n v="0"/>
    <s v="Temp Fümə şüşə"/>
    <m/>
    <n v="1051"/>
    <m/>
    <s v="Tapilmadi"/>
    <m/>
    <n v="160"/>
    <m/>
    <s v="Tapilmadi"/>
    <n v="1"/>
    <n v="0"/>
    <n v="200"/>
    <n v="300"/>
    <m/>
    <n v="3275"/>
    <m/>
    <n v="3275"/>
    <n v="0"/>
    <s v="Mesaj"/>
    <s v="Mesaj"/>
    <s v="Qəbul edilib"/>
    <s v="Təhvil verilib"/>
    <s v="Hörmətli *Fariz Faiq*  ,Sizin *19,11,2024* tarixli sifarişiniz qeydə alındı. Sifariş Məbləğı *3275 AZN* , Qalıq *0 AZN* . Hörmətlə  *AlumPro*"/>
    <s v="Hörmətli *Fariz Faiq* , sizin *19,11,2024* tarixli  sifarişiniz hazırdır . Bizi seçdiyiniz üçün minnətdarıq. Hörmətlə  *AlumPro*."/>
    <s v="Fariz"/>
    <s v="Fariz "/>
  </r>
  <r>
    <n v="52"/>
    <s v="*ALUMPRO52*"/>
    <s v="Eli"/>
    <x v="56"/>
    <x v="14"/>
    <s v="994772775177"/>
    <m/>
    <s v="45 qara"/>
    <m/>
    <n v="0"/>
    <n v="3"/>
    <n v="69"/>
    <s v="basac"/>
    <s v="Tapilmadi"/>
    <n v="0"/>
    <n v="0"/>
    <m/>
    <s v="Tapilmadi"/>
    <n v="0"/>
    <n v="0"/>
    <n v="9"/>
    <s v="Fümə şüşə"/>
    <m/>
    <n v="0"/>
    <m/>
    <s v="Tapilmadi"/>
    <m/>
    <n v="8"/>
    <m/>
    <s v="Tapilmadi"/>
    <n v="1"/>
    <n v="0"/>
    <n v="6"/>
    <n v="30"/>
    <m/>
    <n v="122"/>
    <m/>
    <n v="122"/>
    <n v="0"/>
    <s v="Mesaj"/>
    <s v="Mesaj"/>
    <s v="Qəbul edilib"/>
    <s v="Təhvil verilib"/>
    <s v="Hörmətli *Aksin Mahmudov*  ,Sizin *19,11,2024* tarixli sifarişiniz qeydə alındı. Sifariş Məbləğı *122 AZN* , Qalıq *0 AZN* . Hörmətlə  *AlumPro*"/>
    <s v="Hörmətli *Aksin Mahmudov* , sizin *19,11,2024* tarixli  sifarişiniz hazırdır . Bizi seçdiyiniz üçün minnətdarıq. Hörmətlə  *AlumPro*."/>
    <s v="Aksin"/>
    <s v="Aksin "/>
  </r>
  <r>
    <n v="51"/>
    <s v="*ALUMPRO51*"/>
    <s v="Eli"/>
    <x v="56"/>
    <x v="56"/>
    <s v="994505703525"/>
    <m/>
    <s v="45 qara"/>
    <m/>
    <n v="0"/>
    <n v="1"/>
    <n v="23"/>
    <s v="boy"/>
    <s v="Tapilmadi"/>
    <n v="1"/>
    <n v="26"/>
    <m/>
    <s v="Tapilmadi"/>
    <n v="0"/>
    <n v="0"/>
    <n v="0"/>
    <s v="Qəhvəyi şüşə"/>
    <m/>
    <n v="15"/>
    <m/>
    <s v="Tapilmadi"/>
    <m/>
    <n v="4"/>
    <m/>
    <s v="Tapilmadi"/>
    <n v="1"/>
    <n v="0"/>
    <n v="3"/>
    <n v="15"/>
    <m/>
    <n v="85"/>
    <m/>
    <n v="85"/>
    <n v="0"/>
    <s v="Mesaj"/>
    <s v="Mesaj"/>
    <s v="Qəbul edilib"/>
    <s v="Təhvil verilib"/>
    <s v="Hörmətli *Samir Ayla Mebel*  ,Sizin *19,11,2024* tarixli sifarişiniz qeydə alındı. Sifariş Məbləğı *85 AZN* , Qalıq *0 AZN* . Hörmətlə  *AlumPro*"/>
    <s v="Hörmətli *Samir Ayla Mebel* , sizin *19,11,2024* tarixli  sifarişiniz hazırdır . Bizi seçdiyiniz üçün minnətdarıq. Hörmətlə  *AlumPro*."/>
    <s v="Samir"/>
    <s v="Samir "/>
  </r>
  <r>
    <n v="50"/>
    <s v="*ALUMPRO50*"/>
    <s v="Eli"/>
    <x v="56"/>
    <x v="30"/>
    <s v="994703076627"/>
    <m/>
    <s v="2x2 antrasit"/>
    <m/>
    <n v="0"/>
    <n v="4"/>
    <n v="92"/>
    <s v="basac"/>
    <s v="Tapilmadi"/>
    <n v="0"/>
    <n v="0"/>
    <s v="2x2  düz"/>
    <s v="Tapilmadi"/>
    <n v="7"/>
    <n v="28"/>
    <n v="0"/>
    <m/>
    <n v="0"/>
    <n v="0"/>
    <m/>
    <s v="Tapilmadi"/>
    <m/>
    <n v="16"/>
    <m/>
    <s v="Tapilmadi"/>
    <n v="1"/>
    <n v="0"/>
    <n v="14"/>
    <n v="25"/>
    <m/>
    <n v="175"/>
    <m/>
    <n v="175"/>
    <n v="0"/>
    <s v="Mesaj"/>
    <s v="Mesaj"/>
    <s v="Qəbul edilib"/>
    <s v="Təhvil verilib"/>
    <s v="Hörmətli *Resad Mebelline *  ,Sizin *19,11,2024* tarixli sifarişiniz qeydə alındı. Sifariş Məbləğı *175 AZN* , Qalıq *0 AZN* . Hörmətlə  *AlumPro*"/>
    <s v="Hörmətli *Resad Mebelline * , sizin *19,11,2024* tarixli  sifarişiniz hazırdır . Bizi seçdiyiniz üçün minnətdarıq. Hörmətlə  *AlumPro*."/>
    <s v="Resad"/>
    <s v="Resad "/>
  </r>
  <r>
    <n v="49"/>
    <s v="*ALUMPRO49*"/>
    <s v="Eli"/>
    <x v="56"/>
    <x v="109"/>
    <s v="994553060630"/>
    <m/>
    <s v="2x2 kofe"/>
    <m/>
    <n v="0"/>
    <n v="11"/>
    <n v="253"/>
    <s v="boy"/>
    <s v="Tapilmadi"/>
    <n v="9"/>
    <n v="234"/>
    <s v="2x2  düz"/>
    <s v="Tapilmadi"/>
    <n v="36"/>
    <n v="144"/>
    <n v="0"/>
    <s v="Qəhvəyi şüşə"/>
    <n v="0"/>
    <n v="337"/>
    <m/>
    <s v="Tapilmadi"/>
    <m/>
    <n v="72"/>
    <m/>
    <s v="Tapilmadi"/>
    <n v="1"/>
    <n v="0"/>
    <n v="72"/>
    <n v="135"/>
    <m/>
    <n v="1247"/>
    <m/>
    <n v="1057"/>
    <n v="190"/>
    <s v="Mesaj"/>
    <s v="Mesaj"/>
    <s v="Qəbul edilib"/>
    <s v="Təhvil verilib"/>
    <s v="Hörmətli *Aydin Abbasov*  ,Sizin *19,11,2024* tarixli sifarişiniz qeydə alındı. Sifariş Məbləğı *1247 AZN* , Qalıq *190 AZN* . Hörmətlə  *AlumPro*"/>
    <s v="Hörmətli *Aydin Abbasov* , sizin *19,11,2024* tarixli  sifarişiniz hazırdır . Bizi seçdiyiniz üçün minnətdarıq. Hörmətlə  *AlumPro*."/>
    <s v="Aydin"/>
    <s v="Aydin "/>
  </r>
  <r>
    <n v="48"/>
    <s v="*ALUMPRO48*"/>
    <s v="Eli"/>
    <x v="11"/>
    <x v="30"/>
    <s v="994703076627"/>
    <m/>
    <s v="Vega qulp profil"/>
    <m/>
    <n v="0"/>
    <n v="3"/>
    <n v="90"/>
    <s v="vega yan profil"/>
    <s v="Tapilmadi"/>
    <n v="1"/>
    <n v="30"/>
    <m/>
    <s v="Tapilmadi"/>
    <n v="0"/>
    <n v="0"/>
    <n v="0"/>
    <s v="Fümə şüşə"/>
    <n v="0"/>
    <n v="0"/>
    <m/>
    <s v="Tapilmadi"/>
    <m/>
    <n v="0"/>
    <m/>
    <s v="Tapilmadi"/>
    <n v="1"/>
    <n v="410"/>
    <n v="0"/>
    <n v="0"/>
    <m/>
    <n v="530"/>
    <m/>
    <n v="530"/>
    <n v="0"/>
    <s v="Mesaj"/>
    <s v="Mesaj"/>
    <s v="Qəbul edilib"/>
    <s v="Təhvil verilib"/>
    <s v="Hörmətli *Resad Mebelline *  ,Sizin *23,12,2024* tarixli sifarişiniz qeydə alındı. Sifariş Məbləğı *530 AZN* , Qalıq *0 AZN* . Hörmətlə  *AlumPro*"/>
    <s v="Hörmətli *Resad Mebelline * , sizin *23,12,2024* tarixli  sifarişiniz hazırdır . Bizi seçdiyiniz üçün minnətdarıq. Hörmətlə  *AlumPro*."/>
    <s v="Resad"/>
    <s v="Resad "/>
  </r>
  <r>
    <n v="47"/>
    <s v="*ALUMPRO47*"/>
    <s v="Eli"/>
    <x v="11"/>
    <x v="16"/>
    <s v="994502390343"/>
    <m/>
    <s v="45 qara"/>
    <m/>
    <n v="0"/>
    <n v="2"/>
    <n v="46"/>
    <s v="boy"/>
    <s v="Tapilmadi"/>
    <n v="1"/>
    <n v="26"/>
    <m/>
    <s v="Tapilmadi"/>
    <n v="0"/>
    <n v="0"/>
    <n v="3"/>
    <s v="Fümə şüşə"/>
    <n v="0"/>
    <n v="26"/>
    <m/>
    <s v="Tapilmadi"/>
    <m/>
    <n v="4"/>
    <m/>
    <s v="Tapilmadi"/>
    <n v="1"/>
    <n v="0"/>
    <n v="4"/>
    <n v="15"/>
    <m/>
    <n v="124"/>
    <m/>
    <n v="124"/>
    <n v="0"/>
    <s v="Mesaj"/>
    <s v="Mesaj"/>
    <s v="Qəbul edilib"/>
    <s v="Təhvil verilib"/>
    <s v="Hörmətli *Kandar Palid*  ,Sizin *23,12,2024* tarixli sifarişiniz qeydə alındı. Sifariş Məbləğı *124 AZN* , Qalıq *0 AZN* . Hörmətlə  *AlumPro*"/>
    <s v="Hörmətli *Kandar Palid* , sizin *23,12,2024* tarixli  sifarişiniz hazırdır . Bizi seçdiyiniz üçün minnətdarıq. Hörmətlə  *AlumPro*."/>
    <s v="Kandar"/>
    <s v="Kandar "/>
  </r>
  <r>
    <n v="46"/>
    <s v="*ALUMPRO46*"/>
    <s v="Eli"/>
    <x v="11"/>
    <x v="122"/>
    <n v="0"/>
    <m/>
    <s v="45 qızılı"/>
    <m/>
    <n v="0"/>
    <n v="5"/>
    <n v="115"/>
    <s v="basac"/>
    <s v="Tapilmadi"/>
    <n v="0"/>
    <n v="0"/>
    <m/>
    <s v="Tapilmadi"/>
    <n v="0"/>
    <n v="0"/>
    <n v="0"/>
    <s v="Qəhvəyi şüşə"/>
    <n v="0"/>
    <n v="48"/>
    <m/>
    <s v="Tapilmadi"/>
    <m/>
    <n v="16"/>
    <m/>
    <s v="Tapilmadi"/>
    <n v="1"/>
    <n v="0"/>
    <n v="12"/>
    <n v="60"/>
    <m/>
    <n v="251"/>
    <m/>
    <n v="251"/>
    <n v="0"/>
    <s v="Mesaj"/>
    <s v="Mesaj"/>
    <s v="Qəbul edilib"/>
    <s v="Təhvil verilib"/>
    <s v="Hörmətli *Nicat (mutfakcida isleyib)*  ,Sizin *23,12,2024* tarixli sifarişiniz qeydə alındı. Sifariş Məbləğı *251 AZN* , Qalıq *0 AZN* . Hörmətlə  *AlumPro*"/>
    <s v="Hörmətli *Nicat (mutfakcida isleyib)* , sizin *23,12,2024* tarixli  sifarişiniz hazırdır . Bizi seçdiyiniz üçün minnətdarıq. Hörmətlə  *AlumPro*."/>
    <s v="Nicat"/>
    <s v="Nicat "/>
  </r>
  <r>
    <n v="45"/>
    <s v="*ALUMPRO45*"/>
    <s v="Eli"/>
    <x v="11"/>
    <x v="16"/>
    <s v="994502390343"/>
    <m/>
    <s v="45 qara"/>
    <m/>
    <n v="0"/>
    <n v="2"/>
    <n v="46"/>
    <s v="basac"/>
    <s v="Tapilmadi"/>
    <n v="0"/>
    <n v="0"/>
    <m/>
    <s v="Tapilmadi"/>
    <n v="0"/>
    <n v="0"/>
    <n v="6"/>
    <s v="Fümə şüşə"/>
    <n v="0"/>
    <n v="27"/>
    <m/>
    <s v="Tapilmadi"/>
    <m/>
    <n v="8"/>
    <m/>
    <s v="Tapilmadi"/>
    <n v="1"/>
    <n v="0"/>
    <n v="6"/>
    <n v="20"/>
    <m/>
    <n v="113"/>
    <m/>
    <n v="113"/>
    <n v="0"/>
    <s v="Mesaj"/>
    <s v="Mesaj"/>
    <s v="Qəbul edilib"/>
    <s v="Təhvil verilib"/>
    <s v="Hörmətli *Kandar Palid*  ,Sizin *23,12,2024* tarixli sifarişiniz qeydə alındı. Sifariş Məbləğı *113 AZN* , Qalıq *0 AZN* . Hörmətlə  *AlumPro*"/>
    <s v="Hörmətli *Kandar Palid* , sizin *23,12,2024* tarixli  sifarişiniz hazırdır . Bizi seçdiyiniz üçün minnətdarıq. Hörmətlə  *AlumPro*."/>
    <s v="Kandar"/>
    <s v="Kandar "/>
  </r>
  <r>
    <n v="44"/>
    <s v="*ALUMPRO44*"/>
    <s v="Eli"/>
    <x v="11"/>
    <x v="123"/>
    <n v="0"/>
    <m/>
    <s v="Vega yan profil"/>
    <m/>
    <n v="0"/>
    <n v="2"/>
    <n v="250"/>
    <s v="boy"/>
    <s v="Tapilmadi"/>
    <n v="0"/>
    <n v="0"/>
    <m/>
    <s v="Tapilmadi"/>
    <n v="0"/>
    <n v="0"/>
    <n v="0"/>
    <s v="Adi güzgü "/>
    <n v="0"/>
    <n v="164"/>
    <m/>
    <s v="Tapilmadi"/>
    <m/>
    <n v="0"/>
    <m/>
    <s v="Tapilmadi"/>
    <n v="1"/>
    <n v="180"/>
    <n v="0"/>
    <n v="60"/>
    <m/>
    <n v="654"/>
    <m/>
    <n v="654"/>
    <n v="0"/>
    <s v="Mesaj"/>
    <s v="Mesaj"/>
    <s v="Qəbul edilib"/>
    <s v="Təhvil verilib"/>
    <s v="Hörmətli *Art wall*  ,Sizin *23,12,2024* tarixli sifarişiniz qeydə alındı. Sifariş Məbləğı *654 AZN* , Qalıq *0 AZN* . Hörmətlə  *AlumPro*"/>
    <s v="Hörmətli *Art wall* , sizin *23,12,2024* tarixli  sifarişiniz hazırdır . Bizi seçdiyiniz üçün minnətdarıq. Hörmətlə  *AlumPro*."/>
    <s v="Art"/>
    <s v="Art "/>
  </r>
  <r>
    <n v="43"/>
    <s v="*ALUMPRO43*"/>
    <s v="Eli"/>
    <x v="11"/>
    <x v="123"/>
    <n v="0"/>
    <m/>
    <s v="2x2 açıq antrasit"/>
    <m/>
    <n v="0"/>
    <n v="4"/>
    <n v="92"/>
    <s v="boy"/>
    <s v="Tapilmadi"/>
    <n v="2"/>
    <n v="52"/>
    <s v="2x2  düz"/>
    <s v="Tapilmadi"/>
    <n v="8"/>
    <n v="32"/>
    <n v="0"/>
    <s v="Fümə şüşə"/>
    <n v="0"/>
    <n v="68"/>
    <m/>
    <s v="Tapilmadi"/>
    <m/>
    <n v="32"/>
    <m/>
    <s v="Tapilmadi"/>
    <n v="1"/>
    <n v="0"/>
    <n v="14"/>
    <n v="60"/>
    <m/>
    <n v="350"/>
    <m/>
    <n v="350"/>
    <n v="0"/>
    <s v="Mesaj"/>
    <s v="Mesaj"/>
    <s v="Qəbul edilib"/>
    <s v="Təhvil verilib"/>
    <s v="Hörmətli *Art wall*  ,Sizin *23,12,2024* tarixli sifarişiniz qeydə alındı. Sifariş Məbləğı *350 AZN* , Qalıq *0 AZN* . Hörmətlə  *AlumPro*"/>
    <s v="Hörmətli *Art wall* , sizin *23,12,2024* tarixli  sifarişiniz hazırdır . Bizi seçdiyiniz üçün minnətdarıq. Hörmətlə  *AlumPro*."/>
    <s v="Art"/>
    <s v="Art "/>
  </r>
  <r>
    <n v="42"/>
    <s v="*ALUMPRO42*"/>
    <s v="Eli"/>
    <x v="11"/>
    <x v="34"/>
    <s v="994706230408"/>
    <m/>
    <s v="2x2 qara"/>
    <m/>
    <n v="0"/>
    <n v="1"/>
    <n v="23"/>
    <s v="boy"/>
    <s v="Tapilmadi"/>
    <n v="1"/>
    <n v="26"/>
    <s v="2x2  düz"/>
    <s v="Tapilmadi"/>
    <n v="3"/>
    <n v="12"/>
    <n v="0"/>
    <s v="Fümə şüşə"/>
    <n v="0"/>
    <n v="8"/>
    <m/>
    <s v="Tapilmadi"/>
    <m/>
    <n v="8"/>
    <m/>
    <s v="Tapilmadi"/>
    <n v="1"/>
    <n v="0"/>
    <n v="6"/>
    <n v="10"/>
    <m/>
    <n v="93"/>
    <m/>
    <n v="93"/>
    <n v="0"/>
    <s v="Mesaj"/>
    <s v="Mesaj"/>
    <s v="Qəbul edilib"/>
    <s v="Təhvil verilib"/>
    <s v="Hörmətli *Vaqif German*  ,Sizin *23,12,2024* tarixli sifarişiniz qeydə alındı. Sifariş Məbləğı *93 AZN* , Qalıq *0 AZN* . Hörmətlə  *AlumPro*"/>
    <s v="Hörmətli *Vaqif German* , sizin *23,12,2024* tarixli  sifarişiniz hazırdır . Bizi seçdiyiniz üçün minnətdarıq. Hörmətlə  *AlumPro*."/>
    <s v="Vaqif"/>
    <s v="Vaqif "/>
  </r>
  <r>
    <n v="41"/>
    <s v="*ALUMPRO41*"/>
    <s v="Eli"/>
    <x v="11"/>
    <x v="65"/>
    <s v="994503903930"/>
    <m/>
    <s v="45 qızılı"/>
    <m/>
    <n v="0"/>
    <n v="2"/>
    <n v="46"/>
    <s v="boy"/>
    <s v="Tapilmadi"/>
    <n v="1"/>
    <n v="26"/>
    <m/>
    <s v="Tapilmadi"/>
    <n v="0"/>
    <m/>
    <n v="0"/>
    <s v="Şəffaf şüşə"/>
    <n v="0"/>
    <n v="30"/>
    <m/>
    <s v="Tapilmadi"/>
    <m/>
    <n v="8"/>
    <m/>
    <s v="Tapilmadi"/>
    <n v="1"/>
    <n v="0"/>
    <n v="6"/>
    <n v="30"/>
    <m/>
    <n v="146"/>
    <n v="1"/>
    <n v="145"/>
    <n v="0"/>
    <s v="Mesaj"/>
    <s v="Mesaj"/>
    <s v="Qəbul edilib"/>
    <s v="Təhvil verilib"/>
    <s v="Hörmətli *Rufet Musteri Bineqedi*  ,Sizin *23,12,2024* tarixli sifarişiniz qeydə alındı. Sifariş Məbləğı *146 AZN* , Qalıq *0 AZN* . Hörmətlə  *AlumPro*"/>
    <s v="Hörmətli *Rufet Musteri Bineqedi* , sizin *23,12,2024* tarixli  sifarişiniz hazırdır . Bizi seçdiyiniz üçün minnətdarıq. Hörmətlə  *AlumPro*."/>
    <s v="Rufet"/>
    <s v="Rufet "/>
  </r>
  <r>
    <n v="40"/>
    <s v="*ALUMPRO40*"/>
    <s v="Eli"/>
    <x v="11"/>
    <x v="124"/>
    <s v="994556252121"/>
    <m/>
    <s v="45 qızılı"/>
    <m/>
    <n v="0"/>
    <n v="3"/>
    <n v="69"/>
    <s v="boy"/>
    <s v="Tapilmadi"/>
    <n v="2"/>
    <n v="52"/>
    <m/>
    <s v="Tapilmadi"/>
    <n v="0"/>
    <m/>
    <n v="0"/>
    <s v=" Temp Qəhvəyi şüşə"/>
    <n v="0"/>
    <n v="58"/>
    <m/>
    <s v="Tapilmadi"/>
    <m/>
    <n v="12"/>
    <m/>
    <s v="Tapilmadi"/>
    <n v="1"/>
    <n v="0"/>
    <n v="9"/>
    <n v="45"/>
    <m/>
    <n v="245"/>
    <m/>
    <n v="245"/>
    <n v="0"/>
    <s v="Mesaj"/>
    <s v="Mesaj"/>
    <s v="Qəbul edilib"/>
    <s v="Təhvil verilib"/>
    <s v="Hörmətli *Orxan Omer*  ,Sizin *23,12,2024* tarixli sifarişiniz qeydə alındı. Sifariş Məbləğı *245 AZN* , Qalıq *0 AZN* . Hörmətlə  *AlumPro*"/>
    <s v="Hörmətli *Orxan Omer* , sizin *23,12,2024* tarixli  sifarişiniz hazırdır . Bizi seçdiyiniz üçün minnətdarıq. Hörmətlə  *AlumPro*."/>
    <s v="Orxan"/>
    <s v="Orxan "/>
  </r>
  <r>
    <n v="39"/>
    <s v="*ALUMPRO39*"/>
    <s v="Eli"/>
    <x v="11"/>
    <x v="125"/>
    <s v="994703461203"/>
    <m/>
    <s v="2x2 qara"/>
    <m/>
    <n v="0"/>
    <n v="2"/>
    <n v="46"/>
    <s v="basac"/>
    <s v="Tapilmadi"/>
    <n v="0"/>
    <n v="0"/>
    <m/>
    <s v="Tapilmadi"/>
    <n v="0"/>
    <n v="20"/>
    <n v="58"/>
    <s v="Qəhvəyi şüşə"/>
    <n v="0"/>
    <n v="30"/>
    <m/>
    <s v="Tapilmadi"/>
    <m/>
    <n v="24"/>
    <m/>
    <s v="Tapilmadi"/>
    <n v="1"/>
    <n v="0"/>
    <n v="12"/>
    <n v="30"/>
    <m/>
    <n v="220"/>
    <m/>
    <n v="220"/>
    <n v="0"/>
    <s v="Mesaj"/>
    <s v="Mesaj"/>
    <s v="Qəbul edilib"/>
    <s v="Təhvil verilib"/>
    <s v="Hörmətli *Kenan Bileceri*  ,Sizin *23,12,2024* tarixli sifarişiniz qeydə alındı. Sifariş Məbləğı *220 AZN* , Qalıq *0 AZN* . Hörmətlə  *AlumPro*"/>
    <s v="Hörmətli *Kenan Bileceri* , sizin *23,12,2024* tarixli  sifarişiniz hazırdır . Bizi seçdiyiniz üçün minnətdarıq. Hörmətlə  *AlumPro*."/>
    <s v="Kenan"/>
    <s v="Kenan "/>
  </r>
  <r>
    <n v="38"/>
    <s v="*ALUMPRO38*"/>
    <s v="Eli"/>
    <x v="11"/>
    <x v="28"/>
    <s v="994505155225"/>
    <m/>
    <s v="Konus qulp"/>
    <m/>
    <n v="0"/>
    <n v="6"/>
    <n v="283"/>
    <m/>
    <s v="Tapilmadi"/>
    <n v="2"/>
    <n v="50"/>
    <m/>
    <s v="Tapilmadi"/>
    <n v="0"/>
    <n v="0"/>
    <n v="0"/>
    <s v=" Temp Şəffaf şüşə"/>
    <n v="0"/>
    <n v="135"/>
    <m/>
    <s v="Tapilmadi"/>
    <m/>
    <n v="16"/>
    <m/>
    <s v="Tapilmadi"/>
    <n v="1"/>
    <n v="0"/>
    <n v="16"/>
    <n v="60"/>
    <n v="0"/>
    <n v="560"/>
    <m/>
    <n v="560"/>
    <n v="0"/>
    <s v="Mesaj"/>
    <s v="Mesaj"/>
    <s v="Qəbul edilib"/>
    <s v="Təhvil verilib"/>
    <s v="Hörmətli *Ferman Mebel*  ,Sizin *23,12,2024* tarixli sifarişiniz qeydə alındı. Sifariş Məbləğı *560 AZN* , Qalıq *0 AZN* . Hörmətlə  *AlumPro*"/>
    <s v="Hörmətli *Ferman Mebel* , sizin *23,12,2024* tarixli  sifarişiniz hazırdır . Bizi seçdiyiniz üçün minnətdarıq. Hörmətlə  *AlumPro*."/>
    <s v="Ferman"/>
    <s v="Ferman "/>
  </r>
  <r>
    <n v="37"/>
    <s v="*ALUMPRO37*"/>
    <s v="Eli"/>
    <x v="11"/>
    <x v="44"/>
    <s v="994555781314"/>
    <m/>
    <s v="Vega yan profil"/>
    <m/>
    <n v="0"/>
    <n v="2"/>
    <n v="250"/>
    <n v="0"/>
    <s v="Tapilmadi"/>
    <n v="0"/>
    <n v="0"/>
    <m/>
    <s v="Tapilmadi"/>
    <n v="0"/>
    <n v="0"/>
    <n v="0"/>
    <s v="Fümə şüşə"/>
    <n v="0"/>
    <n v="122"/>
    <m/>
    <s v="Tapilmadi"/>
    <m/>
    <n v="0"/>
    <m/>
    <s v="Tapilmadi"/>
    <n v="1"/>
    <n v="180"/>
    <n v="0"/>
    <n v="60"/>
    <n v="0"/>
    <n v="612"/>
    <m/>
    <n v="550"/>
    <n v="62"/>
    <s v="Mesaj"/>
    <s v="Mesaj"/>
    <s v="Qəbul edilib"/>
    <s v="Təhvil verilib"/>
    <s v="Hörmətli *Cosqun Mebel Sex*  ,Sizin *23,12,2024* tarixli sifarişiniz qeydə alındı. Sifariş Məbləğı *612 AZN* , Qalıq *62 AZN* . Hörmətlə  *AlumPro*"/>
    <s v="Hörmətli *Cosqun Mebel Sex* , sizin *23,12,2024* tarixli  sifarişiniz hazırdır . Bizi seçdiyiniz üçün minnətdarıq. Hörmətlə  *AlumPro*."/>
    <s v="Cosqun"/>
    <s v="Cosqun "/>
  </r>
  <r>
    <n v="36"/>
    <s v="*ALUMPRO36*"/>
    <s v="Eli"/>
    <x v="11"/>
    <x v="44"/>
    <s v="994555781314"/>
    <m/>
    <s v="45 qara"/>
    <m/>
    <n v="0"/>
    <n v="21"/>
    <n v="483"/>
    <s v="boy"/>
    <s v="Tapilmadi"/>
    <n v="18"/>
    <n v="468"/>
    <m/>
    <s v="Tapilmadi"/>
    <n v="0"/>
    <n v="0"/>
    <n v="117"/>
    <s v="Fümə şüşə"/>
    <n v="0"/>
    <n v="500"/>
    <m/>
    <s v="Tapilmadi"/>
    <m/>
    <n v="72"/>
    <m/>
    <s v="Tapilmadi"/>
    <n v="1"/>
    <n v="0"/>
    <n v="90"/>
    <n v="270"/>
    <n v="0"/>
    <n v="2000"/>
    <m/>
    <n v="2000"/>
    <n v="0"/>
    <s v="Mesaj"/>
    <s v="Mesaj"/>
    <s v="Qəbul edilib"/>
    <s v="Təhvil verilib"/>
    <s v="Hörmətli *Cosqun Mebel Sex*  ,Sizin *23,12,2024* tarixli sifarişiniz qeydə alındı. Sifariş Məbləğı *2000 AZN* , Qalıq *0 AZN* . Hörmətlə  *AlumPro*"/>
    <s v="Hörmətli *Cosqun Mebel Sex* , sizin *23,12,2024* tarixli  sifarişiniz hazırdır . Bizi seçdiyiniz üçün minnətdarıq. Hörmətlə  *AlumPro*."/>
    <s v="Cosqun"/>
    <s v="Cosqun "/>
  </r>
  <r>
    <n v="35"/>
    <s v="*ALUMPRO35*"/>
    <s v="Eli"/>
    <x v="11"/>
    <x v="58"/>
    <s v="9946498358"/>
    <s v="22 Azn endirim"/>
    <s v="45 qızılı"/>
    <m/>
    <n v="0"/>
    <n v="7"/>
    <n v="161"/>
    <s v="boy"/>
    <s v="Tapilmadi"/>
    <n v="5"/>
    <n v="130"/>
    <m/>
    <s v="Tapilmadi"/>
    <n v="0"/>
    <n v="0"/>
    <n v="0"/>
    <s v="Adi güzgü "/>
    <n v="0"/>
    <n v="294"/>
    <m/>
    <s v="Tapilmadi"/>
    <m/>
    <n v="20"/>
    <m/>
    <s v="Tapilmadi"/>
    <n v="1"/>
    <n v="0"/>
    <n v="20"/>
    <n v="75"/>
    <n v="0"/>
    <n v="722"/>
    <n v="22"/>
    <n v="700"/>
    <n v="0"/>
    <s v="Mesaj"/>
    <s v="Mesaj"/>
    <s v="Qəbul edilib"/>
    <s v="Təhvil verilib"/>
    <s v="Hörmətli *Hikmet Qalib*  ,Sizin *23,12,2024* tarixli sifarişiniz qeydə alındı. Sifariş Məbləğı *722 AZN* , Qalıq *0 AZN* . Hörmətlə  *AlumPro*"/>
    <s v="Hörmətli *Hikmet Qalib* , sizin *23,12,2024* tarixli  sifarişiniz hazırdır . Bizi seçdiyiniz üçün minnətdarıq. Hörmətlə  *AlumPro*."/>
    <s v="Hikmet"/>
    <s v="Hikmet "/>
  </r>
  <r>
    <n v="33"/>
    <s v="*ALUMPRO33*"/>
    <s v="Eli"/>
    <x v="11"/>
    <x v="114"/>
    <s v="994775313066"/>
    <m/>
    <s v="45 qızılı"/>
    <m/>
    <n v="0"/>
    <n v="2"/>
    <n v="46"/>
    <s v="boy"/>
    <s v="Tapilmadi"/>
    <n v="1"/>
    <n v="26"/>
    <m/>
    <s v="Tapilmadi"/>
    <n v="0"/>
    <n v="0"/>
    <n v="0"/>
    <m/>
    <n v="0"/>
    <n v="29"/>
    <m/>
    <s v="Tapilmadi"/>
    <m/>
    <n v="4"/>
    <m/>
    <s v="Tapilmadi"/>
    <n v="1"/>
    <n v="0"/>
    <n v="4"/>
    <n v="16"/>
    <n v="0"/>
    <n v="125"/>
    <m/>
    <n v="125"/>
    <n v="0"/>
    <s v="Mesaj"/>
    <s v="Mesaj"/>
    <s v="Qəbul edilib"/>
    <s v="Təhvil verilib"/>
    <s v="Hörmətli *Taleh Kesle Ulduz*  ,Sizin *23,12,2024* tarixli sifarişiniz qeydə alındı. Sifariş Məbləğı *125 AZN* , Qalıq *0 AZN* . Hörmətlə  *AlumPro*"/>
    <s v="Hörmətli *Taleh Kesle Ulduz* , sizin *23,12,2024* tarixli  sifarişiniz hazırdır . Bizi seçdiyiniz üçün minnətdarıq. Hörmətlə  *AlumPro*."/>
    <s v="Taleh"/>
    <s v="Taleh "/>
  </r>
  <r>
    <n v="32"/>
    <s v="*ALUMPRO32*"/>
    <s v="Eli"/>
    <x v="11"/>
    <x v="14"/>
    <s v="994772775177"/>
    <s v="QARA BOYALI ŞÜŞƏ"/>
    <s v="45 qara"/>
    <m/>
    <n v="0"/>
    <n v="2"/>
    <n v="46"/>
    <s v="basac"/>
    <s v="Tapilmadi"/>
    <n v="0"/>
    <n v="0"/>
    <m/>
    <s v="Tapilmadi"/>
    <n v="0"/>
    <n v="0"/>
    <n v="6"/>
    <m/>
    <n v="0"/>
    <n v="68"/>
    <m/>
    <s v="Tapilmadi"/>
    <m/>
    <n v="8"/>
    <m/>
    <s v="Tapilmadi"/>
    <n v="1"/>
    <n v="0"/>
    <m/>
    <n v="27"/>
    <n v="0"/>
    <n v="155"/>
    <m/>
    <n v="155"/>
    <n v="0"/>
    <s v="Mesaj"/>
    <s v="Mesaj"/>
    <s v="Qəbul edilib"/>
    <s v="Təhvil verilib"/>
    <s v="Hörmətli *Aksin Mahmudov*  ,Sizin *23,12,2024* tarixli sifarişiniz qeydə alındı. Sifariş Məbləğı *155 AZN* , Qalıq *0 AZN* . Hörmətlə  *AlumPro*"/>
    <s v="Hörmətli *Aksin Mahmudov* , sizin *23,12,2024* tarixli  sifarişiniz hazırdır . Bizi seçdiyiniz üçün minnətdarıq. Hörmətlə  *AlumPro*."/>
    <s v="Aksin"/>
    <s v="Aksin "/>
  </r>
  <r>
    <n v="31"/>
    <s v="*ALUMPRO31*"/>
    <s v="Eli"/>
    <x v="11"/>
    <x v="73"/>
    <s v="994552332387"/>
    <n v="0"/>
    <s v="2x2 qara"/>
    <m/>
    <n v="0"/>
    <n v="2"/>
    <n v="46"/>
    <s v="basac"/>
    <s v="Tapilmadi"/>
    <n v="0"/>
    <n v="0"/>
    <m/>
    <s v="Tapilmadi"/>
    <n v="1"/>
    <n v="4.5"/>
    <n v="0"/>
    <s v="Fümə şüşə"/>
    <n v="0"/>
    <n v="12"/>
    <m/>
    <s v="Tapilmadi"/>
    <m/>
    <n v="4"/>
    <m/>
    <s v="Tapilmadi"/>
    <n v="1"/>
    <n v="0"/>
    <m/>
    <n v="15"/>
    <n v="0"/>
    <n v="81.5"/>
    <m/>
    <n v="82"/>
    <n v="-0.5"/>
    <s v="Mesaj"/>
    <s v="Mesaj"/>
    <s v="Qəbul edilib"/>
    <s v="Təhvil verilib"/>
    <s v="Hörmətli *Zakir Bmw Servis*  ,Sizin *23,12,2024* tarixli sifarişiniz qeydə alındı. Sifariş Məbləğı *81,5 AZN* , Qalıq *-0,5 AZN* . Hörmətlə  *AlumPro*"/>
    <s v="Hörmətli *Zakir Bmw Servis* , sizin *23,12,2024* tarixli  sifarişiniz hazırdır . Bizi seçdiyiniz üçün minnətdarıq. Hörmətlə  *AlumPro*."/>
    <s v="Zakir"/>
    <s v="Zakir "/>
  </r>
  <r>
    <n v="30"/>
    <s v="*ALUMPRO30*"/>
    <s v="Eli"/>
    <x v="11"/>
    <x v="44"/>
    <s v="994555781314"/>
    <n v="0"/>
    <m/>
    <m/>
    <n v="0"/>
    <n v="0"/>
    <n v="0"/>
    <n v="0"/>
    <s v="Tapilmadi"/>
    <n v="0"/>
    <n v="0"/>
    <m/>
    <s v="Tapilmadi"/>
    <n v="0"/>
    <n v="0"/>
    <n v="0"/>
    <s v="Fümə şüşə"/>
    <n v="0"/>
    <n v="0"/>
    <m/>
    <s v="Tapilmadi"/>
    <m/>
    <n v="0"/>
    <m/>
    <s v="Tapilmadi"/>
    <n v="1"/>
    <n v="180"/>
    <m/>
    <n v="0"/>
    <n v="0"/>
    <n v="180"/>
    <m/>
    <n v="180"/>
    <n v="0"/>
    <s v="Mesaj"/>
    <s v="Mesaj"/>
    <s v="Qəbul edilib"/>
    <s v="Təhvil verilib"/>
    <s v="Hörmətli *Cosqun Mebel Sex*  ,Sizin *23,12,2024* tarixli sifarişiniz qeydə alındı. Sifariş Məbləğı *180 AZN* , Qalıq *0 AZN* . Hörmətlə  *AlumPro*"/>
    <s v="Hörmətli *Cosqun Mebel Sex* , sizin *23,12,2024* tarixli  sifarişiniz hazırdır . Bizi seçdiyiniz üçün minnətdarıq. Hörmətlə  *AlumPro*."/>
    <s v="Cosqun"/>
    <s v="Cosqun "/>
  </r>
  <r>
    <n v="29"/>
    <s v="*ALUMPRO29*"/>
    <s v="Eli"/>
    <x v="11"/>
    <x v="126"/>
    <s v="994709418036"/>
    <n v="0"/>
    <m/>
    <m/>
    <n v="0"/>
    <n v="3"/>
    <n v="750"/>
    <m/>
    <s v="Tapilmadi"/>
    <n v="0"/>
    <n v="0"/>
    <s v="İtalyan standart"/>
    <s v="Tapilmadi"/>
    <n v="9"/>
    <n v="540"/>
    <n v="0"/>
    <s v="Fümə şüşə"/>
    <n v="7.36"/>
    <n v="0"/>
    <m/>
    <s v="Tapilmadi"/>
    <m/>
    <n v="0"/>
    <m/>
    <s v="Tapilmadi"/>
    <n v="1"/>
    <n v="0"/>
    <m/>
    <n v="150"/>
    <n v="0"/>
    <n v="1440"/>
    <m/>
    <n v="1440"/>
    <n v="0"/>
    <s v="Mesaj"/>
    <s v="Mesaj"/>
    <s v="Qəbul edilib"/>
    <s v="Təhvil verilib"/>
    <s v="Hörmətli *Saiq Sumqayit*  ,Sizin *23,12,2024* tarixli sifarişiniz qeydə alındı. Sifariş Məbləğı *1440 AZN* , Qalıq *0 AZN* . Hörmətlə  *AlumPro*"/>
    <s v="Hörmətli *Saiq Sumqayit* , sizin *23,12,2024* tarixli  sifarişiniz hazırdır . Bizi seçdiyiniz üçün minnətdarıq. Hörmətlə  *AlumPro*."/>
    <s v="Saiq"/>
    <s v="Saiq "/>
  </r>
  <r>
    <n v="28"/>
    <s v="*ALUMPRO28*"/>
    <s v="Eli"/>
    <x v="11"/>
    <x v="90"/>
    <s v="994773377773"/>
    <n v="0"/>
    <s v="45 qara"/>
    <m/>
    <n v="0"/>
    <n v="10"/>
    <n v="230"/>
    <s v="boy"/>
    <s v="Tapilmadi"/>
    <n v="10"/>
    <n v="260"/>
    <m/>
    <s v="Tapilmadi"/>
    <n v="0"/>
    <n v="0"/>
    <n v="0"/>
    <s v="Fümə şüşə"/>
    <n v="7.36"/>
    <n v="184"/>
    <m/>
    <s v="Tapilmadi"/>
    <m/>
    <n v="40"/>
    <m/>
    <s v="Tapilmadi"/>
    <n v="1"/>
    <n v="0"/>
    <n v="40"/>
    <n v="100"/>
    <n v="0"/>
    <n v="854"/>
    <m/>
    <n v="854"/>
    <n v="0"/>
    <s v="Mesaj"/>
    <s v="Mesaj"/>
    <s v="Qəbul edilib"/>
    <s v="Təhvil verilib"/>
    <s v="Hörmətli *Eli Asbella*  ,Sizin *23,12,2024* tarixli sifarişiniz qeydə alındı. Sifariş Məbləğı *854 AZN* , Qalıq *0 AZN* . Hörmətlə  *AlumPro*"/>
    <s v="Hörmətli *Eli Asbella* , sizin *23,12,2024* tarixli  sifarişiniz hazırdır . Bizi seçdiyiniz üçün minnətdarıq. Hörmətlə  *AlumPro*."/>
    <s v="Eli"/>
    <s v="Eli "/>
  </r>
  <r>
    <n v="27"/>
    <s v="*ALUMPRO27*"/>
    <s v="Eli"/>
    <x v="11"/>
    <x v="16"/>
    <s v="994502390343"/>
    <n v="0"/>
    <s v="45 qara"/>
    <m/>
    <n v="0"/>
    <n v="3"/>
    <n v="69"/>
    <s v="boy"/>
    <s v="Tapilmadi"/>
    <n v="2"/>
    <n v="52"/>
    <m/>
    <s v="Tapilmadi"/>
    <n v="0"/>
    <n v="0"/>
    <n v="0"/>
    <s v="Fümə şüşə"/>
    <n v="2.76"/>
    <n v="83"/>
    <m/>
    <s v="Tapilmadi"/>
    <m/>
    <n v="8"/>
    <m/>
    <s v="Tapilmadi"/>
    <n v="1"/>
    <n v="0"/>
    <n v="8"/>
    <n v="30"/>
    <n v="0"/>
    <n v="250"/>
    <m/>
    <n v="250"/>
    <n v="0"/>
    <s v="Mesaj"/>
    <s v="Mesaj"/>
    <s v="Qəbul edilib"/>
    <s v="Təhvil verilib"/>
    <s v="Hörmətli *Kandar Palid*  ,Sizin *23,12,2024* tarixli sifarişiniz qeydə alındı. Sifariş Məbləğı *250 AZN* , Qalıq *0 AZN* . Hörmətlə  *AlumPro*"/>
    <s v="Hörmətli *Kandar Palid* , sizin *23,12,2024* tarixli  sifarişiniz hazırdır . Bizi seçdiyiniz üçün minnətdarıq. Hörmətlə  *AlumPro*."/>
    <s v="Kandar"/>
    <s v="Kandar "/>
  </r>
  <r>
    <n v="26"/>
    <s v="*ALUMPRO26*"/>
    <s v="Eli"/>
    <x v="11"/>
    <x v="127"/>
    <s v="994703925000"/>
    <n v="0"/>
    <s v="2x2 kofe"/>
    <m/>
    <n v="0"/>
    <n v="2"/>
    <n v="46"/>
    <s v="boy"/>
    <s v="Tapilmadi"/>
    <n v="1"/>
    <n v="26"/>
    <s v="2x2  düz"/>
    <s v="Tapilmadi"/>
    <n v="4"/>
    <n v="16"/>
    <n v="0"/>
    <s v="Fümə şüşə"/>
    <n v="0.8"/>
    <n v="20"/>
    <m/>
    <s v="Tapilmadi"/>
    <m/>
    <n v="4"/>
    <m/>
    <s v="Tapilmadi"/>
    <n v="1"/>
    <n v="0"/>
    <n v="8"/>
    <n v="20"/>
    <n v="0"/>
    <n v="140"/>
    <m/>
    <n v="140"/>
    <n v="0"/>
    <s v="Mesaj"/>
    <s v="Mesaj"/>
    <s v="Qəbul edilib"/>
    <s v="Təhvil verilib"/>
    <s v="Hörmətli *Behruz Doz*  ,Sizin *23,12,2024* tarixli sifarişiniz qeydə alındı. Sifariş Məbləğı *140 AZN* , Qalıq *0 AZN* . Hörmətlə  *AlumPro*"/>
    <s v="Hörmətli *Behruz Doz* , sizin *23,12,2024* tarixli  sifarişiniz hazırdır . Bizi seçdiyiniz üçün minnətdarıq. Hörmətlə  *AlumPro*."/>
    <s v="Behruz"/>
    <s v="Behruz "/>
  </r>
  <r>
    <n v="25"/>
    <s v="*ALUMPRO25*"/>
    <s v="Eli"/>
    <x v="11"/>
    <x v="128"/>
    <s v="994519092713"/>
    <n v="0"/>
    <s v="45 qara"/>
    <m/>
    <n v="0"/>
    <n v="1"/>
    <n v="23"/>
    <s v="basac"/>
    <s v="Tapilmadi"/>
    <n v="0"/>
    <n v="0"/>
    <m/>
    <s v="Tapilmadi"/>
    <n v="0"/>
    <n v="0"/>
    <n v="3"/>
    <s v="Fümə şüşə"/>
    <n v="0"/>
    <n v="12"/>
    <m/>
    <s v="Tapilmadi"/>
    <m/>
    <n v="4"/>
    <m/>
    <s v="Tapilmadi"/>
    <n v="1"/>
    <n v="0"/>
    <n v="3"/>
    <n v="10"/>
    <n v="0"/>
    <n v="55"/>
    <m/>
    <n v="55"/>
    <n v="0"/>
    <s v="Mesaj"/>
    <s v="Mesaj"/>
    <s v="Qəbul edilib"/>
    <s v="Təhvil verilib"/>
    <s v="Hörmətli *Sahveled bey*  ,Sizin *23,12,2024* tarixli sifarişiniz qeydə alındı. Sifariş Məbləğı *55 AZN* , Qalıq *0 AZN* . Hörmətlə  *AlumPro*"/>
    <s v="Hörmətli *Sahveled bey* , sizin *23,12,2024* tarixli  sifarişiniz hazırdır . Bizi seçdiyiniz üçün minnətdarıq. Hörmətlə  *AlumPro*."/>
    <s v="Sahveled"/>
    <s v="Sahveled "/>
  </r>
  <r>
    <n v="24"/>
    <s v="*ALUMPRO24*"/>
    <s v="Eli"/>
    <x v="11"/>
    <x v="30"/>
    <s v="994703076627"/>
    <n v="0"/>
    <s v="2x2 qara"/>
    <m/>
    <n v="0"/>
    <n v="1"/>
    <n v="23"/>
    <s v="boy"/>
    <s v="Tapilmadi"/>
    <n v="2"/>
    <n v="52"/>
    <m/>
    <s v="Tapilmadi"/>
    <n v="0"/>
    <n v="0"/>
    <n v="0"/>
    <s v="Fümə şüşə"/>
    <n v="0"/>
    <n v="0"/>
    <m/>
    <s v="Tapilmadi"/>
    <m/>
    <n v="14"/>
    <m/>
    <s v="Tapilmadi"/>
    <n v="1"/>
    <n v="0"/>
    <n v="10"/>
    <n v="20"/>
    <n v="0"/>
    <n v="119"/>
    <m/>
    <n v="119"/>
    <n v="0"/>
    <s v="Mesaj"/>
    <s v="Mesaj"/>
    <s v="Qəbul edilib"/>
    <s v="Təhvil verilib"/>
    <s v="Hörmətli *Resad Mebelline *  ,Sizin *23,12,2024* tarixli sifarişiniz qeydə alındı. Sifariş Məbləğı *119 AZN* , Qalıq *0 AZN* . Hörmətlə  *AlumPro*"/>
    <s v="Hörmətli *Resad Mebelline * , sizin *23,12,2024* tarixli  sifarişiniz hazırdır . Bizi seçdiyiniz üçün minnətdarıq. Hörmətlə  *AlumPro*."/>
    <s v="Resad"/>
    <s v="Resad "/>
  </r>
  <r>
    <n v="23"/>
    <s v="*ALUMPRO23*"/>
    <s v="Eli"/>
    <x v="11"/>
    <x v="103"/>
    <s v="994557303626"/>
    <n v="0"/>
    <s v="45 qara"/>
    <m/>
    <n v="0"/>
    <n v="5"/>
    <n v="115"/>
    <s v="basac"/>
    <s v="Tapilmadi"/>
    <n v="0"/>
    <n v="0"/>
    <m/>
    <s v="Tapilmadi"/>
    <n v="0"/>
    <n v="0"/>
    <n v="15"/>
    <s v="Fümə şüşə"/>
    <n v="1.64"/>
    <n v="40"/>
    <m/>
    <s v="Tapilmadi"/>
    <m/>
    <n v="20"/>
    <m/>
    <s v="Tapilmadi"/>
    <n v="1"/>
    <n v="0"/>
    <n v="10"/>
    <n v="50"/>
    <n v="0"/>
    <n v="250"/>
    <m/>
    <n v="250"/>
    <n v="0"/>
    <s v="Mesaj"/>
    <s v="Mesaj"/>
    <s v="Qəbul edilib"/>
    <s v="Təhvil verilib"/>
    <s v="Hörmətli *Soltan Musteri*  ,Sizin *23,12,2024* tarixli sifarişiniz qeydə alındı. Sifariş Məbləğı *250 AZN* , Qalıq *0 AZN* . Hörmətlə  *AlumPro*"/>
    <s v="Hörmətli *Soltan Musteri* , sizin *23,12,2024* tarixli  sifarişiniz hazırdır . Bizi seçdiyiniz üçün minnətdarıq. Hörmətlə  *AlumPro*."/>
    <s v="Soltan"/>
    <s v="Soltan "/>
  </r>
  <r>
    <n v="22"/>
    <s v="*ALUMPRO22*"/>
    <s v="Eli"/>
    <x v="11"/>
    <x v="80"/>
    <s v="994558314948"/>
    <n v="0"/>
    <s v="45 qara"/>
    <m/>
    <n v="0"/>
    <n v="12"/>
    <n v="276"/>
    <s v="boy"/>
    <s v="Tapilmadi"/>
    <n v="10"/>
    <n v="260"/>
    <m/>
    <s v="Tapilmadi"/>
    <n v="0"/>
    <n v="0"/>
    <n v="66"/>
    <s v="Fümə şüşə"/>
    <n v="11.32"/>
    <n v="283"/>
    <m/>
    <s v="Tapilmadi"/>
    <m/>
    <n v="40"/>
    <m/>
    <s v="Tapilmadi"/>
    <n v="1"/>
    <n v="0"/>
    <n v="40"/>
    <n v="150"/>
    <n v="0"/>
    <n v="1115"/>
    <m/>
    <n v="1115"/>
    <n v="0"/>
    <s v="Mesaj"/>
    <s v="Mesaj"/>
    <s v="Qəbul edilib"/>
    <s v="Təhvil verilib"/>
    <s v="Hörmətli *Ebulfez Qasımzade*  ,Sizin *23,12,2024* tarixli sifarişiniz qeydə alındı. Sifariş Məbləğı *1115 AZN* , Qalıq *0 AZN* . Hörmətlə  *AlumPro*"/>
    <s v="Hörmətli *Ebulfez Qasımzade* , sizin *23,12,2024* tarixli  sifarişiniz hazırdır . Bizi seçdiyiniz üçün minnətdarıq. Hörmətlə  *AlumPro*."/>
    <s v="Ebulfez"/>
    <s v="Ebulfez "/>
  </r>
  <r>
    <n v="21"/>
    <s v="*ALUMPRO21*"/>
    <s v="Eli"/>
    <x v="11"/>
    <x v="129"/>
    <s v="994772338900"/>
    <n v="0"/>
    <s v="45 qara"/>
    <m/>
    <n v="0"/>
    <n v="2"/>
    <n v="46"/>
    <s v="boy"/>
    <s v="Tapilmadi"/>
    <n v="1"/>
    <n v="26"/>
    <m/>
    <s v="Tapilmadi"/>
    <n v="0"/>
    <n v="0"/>
    <n v="0"/>
    <s v="Fümə şüşə"/>
    <n v="0"/>
    <n v="0"/>
    <m/>
    <s v="Tapilmadi"/>
    <m/>
    <n v="4"/>
    <m/>
    <s v="Tapilmadi"/>
    <n v="1"/>
    <n v="0"/>
    <n v="5"/>
    <n v="15"/>
    <n v="0"/>
    <n v="96"/>
    <m/>
    <n v="96"/>
    <n v="0"/>
    <s v="Mesaj"/>
    <s v="Mesaj"/>
    <s v="Qəbul edilib"/>
    <s v="Təhvil verilib"/>
    <s v="Hörmətli *Ceyhun Zegno*  ,Sizin *23,12,2024* tarixli sifarişiniz qeydə alındı. Sifariş Məbləğı *96 AZN* , Qalıq *0 AZN* . Hörmətlə  *AlumPro*"/>
    <s v="Hörmətli *Ceyhun Zegno* , sizin *23,12,2024* tarixli  sifarişiniz hazırdır . Bizi seçdiyiniz üçün minnətdarıq. Hörmətlə  *AlumPro*."/>
    <s v="Ceyhun"/>
    <s v="Ceyhun "/>
  </r>
  <r>
    <n v="20"/>
    <s v="*ALUMPRO20*"/>
    <s v="Eli"/>
    <x v="11"/>
    <x v="11"/>
    <s v="994502111355"/>
    <n v="0"/>
    <s v="45 qara"/>
    <m/>
    <n v="0"/>
    <n v="2"/>
    <n v="46"/>
    <s v="boy"/>
    <s v="Tapilmadi"/>
    <n v="1"/>
    <n v="26"/>
    <m/>
    <s v="Tapilmadi"/>
    <n v="0"/>
    <n v="0"/>
    <n v="9"/>
    <s v="Fümə şüşə"/>
    <n v="1.9"/>
    <n v="48"/>
    <m/>
    <s v="Tapilmadi"/>
    <m/>
    <n v="8"/>
    <m/>
    <s v="Tapilmadi"/>
    <n v="1"/>
    <n v="0"/>
    <n v="7"/>
    <n v="25"/>
    <n v="0"/>
    <n v="169"/>
    <m/>
    <n v="0"/>
    <n v="169"/>
    <s v="Mesaj"/>
    <s v="Mesaj"/>
    <s v="Qəbul edilib"/>
    <s v="Təhvil verilib"/>
    <s v="Hörmətli *My Concept*  ,Sizin *23,12,2024* tarixli sifarişiniz qeydə alındı. Sifariş Məbləğı *169 AZN* , Qalıq *169 AZN* . Hörmətlə  *AlumPro*"/>
    <s v="Hörmətli *My Concept* , sizin *23,12,2024* tarixli  sifarişiniz hazırdır . Bizi seçdiyiniz üçün minnətdarıq. Hörmətlə  *AlumPro*."/>
    <s v="My"/>
    <s v="My "/>
  </r>
  <r>
    <n v="19"/>
    <s v="*ALUMPRO19*"/>
    <s v="Eli"/>
    <x v="11"/>
    <x v="130"/>
    <s v="994703116499"/>
    <n v="0"/>
    <s v="45 qızılı"/>
    <m/>
    <n v="0"/>
    <n v="7"/>
    <n v="161"/>
    <s v="boy"/>
    <s v="Tapilmadi"/>
    <n v="4"/>
    <n v="104"/>
    <m/>
    <s v="Tapilmadi"/>
    <n v="0"/>
    <n v="80"/>
    <n v="0"/>
    <s v="Qəhvəyi şüşə"/>
    <n v="6"/>
    <n v="153"/>
    <m/>
    <s v="Tapilmadi"/>
    <m/>
    <n v="40"/>
    <m/>
    <s v="Tapilmadi"/>
    <n v="1"/>
    <n v="0"/>
    <n v="40"/>
    <n v="72"/>
    <n v="0"/>
    <n v="650"/>
    <m/>
    <n v="350"/>
    <n v="300"/>
    <s v="Mesaj"/>
    <s v="Mesaj"/>
    <s v="Qəbul edilib"/>
    <s v="Təhvil verilib"/>
    <s v="Hörmətli *Xasay Dayi*  ,Sizin *23,12,2024* tarixli sifarişiniz qeydə alındı. Sifariş Məbləğı *650 AZN* , Qalıq *300 AZN* . Hörmətlə  *AlumPro*"/>
    <s v="Hörmətli *Xasay Dayi* , sizin *23,12,2024* tarixli  sifarişiniz hazırdır . Bizi seçdiyiniz üçün minnətdarıq. Hörmətlə  *AlumPro*."/>
    <s v="Xasay"/>
    <s v="Xasay "/>
  </r>
  <r>
    <n v="18"/>
    <s v="*ALUMPRO18*"/>
    <s v="Eli"/>
    <x v="11"/>
    <x v="131"/>
    <s v="994554924449"/>
    <n v="0"/>
    <s v="45 qızılı"/>
    <m/>
    <n v="0"/>
    <n v="6"/>
    <n v="138"/>
    <s v="boy"/>
    <s v="Tapilmadi"/>
    <n v="4"/>
    <n v="104"/>
    <m/>
    <s v="Tapilmadi"/>
    <n v="0"/>
    <n v="0"/>
    <n v="0"/>
    <s v="Qəhvəyi şüşə"/>
    <n v="6"/>
    <n v="152"/>
    <m/>
    <s v="Tapilmadi"/>
    <m/>
    <n v="16"/>
    <m/>
    <s v="Tapilmadi"/>
    <n v="1"/>
    <n v="0"/>
    <n v="20"/>
    <n v="60"/>
    <n v="0"/>
    <n v="490"/>
    <m/>
    <n v="490"/>
    <n v="0"/>
    <s v="Mesaj"/>
    <s v="Mesaj"/>
    <s v="Qəbul edilib"/>
    <s v="Təhvil verilib"/>
    <s v="Hörmətli *Perviz Ezimov*  ,Sizin *23,12,2024* tarixli sifarişiniz qeydə alındı. Sifariş Məbləğı *490 AZN* , Qalıq *0 AZN* . Hörmətlə  *AlumPro*"/>
    <s v="Hörmətli *Perviz Ezimov* , sizin *23,12,2024* tarixli  sifarişiniz hazırdır . Bizi seçdiyiniz üçün minnətdarıq. Hörmətlə  *AlumPro*."/>
    <s v="Perviz"/>
    <s v="Perviz "/>
  </r>
  <r>
    <n v="17"/>
    <s v="*ALUMPRO17*"/>
    <s v="Eli"/>
    <x v="11"/>
    <x v="131"/>
    <s v="994554924449"/>
    <n v="0"/>
    <s v="45 qara"/>
    <m/>
    <n v="0"/>
    <n v="7"/>
    <n v="161"/>
    <s v="boy"/>
    <s v="Tapilmadi"/>
    <n v="3"/>
    <n v="78"/>
    <m/>
    <s v="Tapilmadi"/>
    <n v="0"/>
    <n v="0"/>
    <n v="30"/>
    <s v="Qəhvəyi şüşə"/>
    <n v="4.32"/>
    <n v="108"/>
    <m/>
    <s v="Tapilmadi"/>
    <m/>
    <n v="40"/>
    <m/>
    <s v="Tapilmadi"/>
    <n v="1"/>
    <n v="0"/>
    <n v="23"/>
    <n v="110"/>
    <n v="0"/>
    <n v="550"/>
    <m/>
    <n v="550"/>
    <n v="0"/>
    <s v="Mesaj"/>
    <s v="Mesaj"/>
    <s v="Qəbul edilib"/>
    <s v="Təhvil verilib"/>
    <s v="Hörmətli *Perviz Ezimov*  ,Sizin *23,12,2024* tarixli sifarişiniz qeydə alındı. Sifariş Məbləğı *550 AZN* , Qalıq *0 AZN* . Hörmətlə  *AlumPro*"/>
    <s v="Hörmətli *Perviz Ezimov* , sizin *23,12,2024* tarixli  sifarişiniz hazırdır . Bizi seçdiyiniz üçün minnətdarıq. Hörmətlə  *AlumPro*."/>
    <s v="Perviz"/>
    <s v="Perviz "/>
  </r>
  <r>
    <n v="16"/>
    <s v="*ALUMPRO16*"/>
    <s v="Eli"/>
    <x v="11"/>
    <x v="43"/>
    <s v="994554991784"/>
    <n v="0"/>
    <s v="2x2 qızılı"/>
    <m/>
    <n v="0"/>
    <n v="6"/>
    <n v="138"/>
    <s v="boy"/>
    <s v="Tapilmadi"/>
    <n v="4"/>
    <n v="104"/>
    <s v="2x2  düz"/>
    <s v="Tapilmadi"/>
    <n v="20"/>
    <n v="80"/>
    <n v="0"/>
    <s v="Fümə şüşə"/>
    <n v="0"/>
    <n v="176"/>
    <m/>
    <s v="Tapilmadi"/>
    <m/>
    <n v="32"/>
    <m/>
    <s v="Tapilmadi"/>
    <n v="1"/>
    <n v="0"/>
    <n v="50"/>
    <n v="60"/>
    <n v="0"/>
    <n v="640"/>
    <m/>
    <n v="640"/>
    <n v="0"/>
    <s v="Mesaj"/>
    <s v="Mesaj"/>
    <s v="Qəbul edilib"/>
    <s v="Təhvil verilib"/>
    <s v="Hörmətli *Vusal Nusalov*  ,Sizin *23,12,2024* tarixli sifarişiniz qeydə alındı. Sifariş Məbləğı *640 AZN* , Qalıq *0 AZN* . Hörmətlə  *AlumPro*"/>
    <s v="Hörmətli *Vusal Nusalov* , sizin *23,12,2024* tarixli  sifarişiniz hazırdır . Bizi seçdiyiniz üçün minnətdarıq. Hörmətlə  *AlumPro*."/>
    <s v="Vusal"/>
    <s v="Vusal "/>
  </r>
  <r>
    <n v="15"/>
    <s v="*ALUMPRO15*"/>
    <s v="Eli"/>
    <x v="11"/>
    <x v="11"/>
    <s v="994502111355"/>
    <n v="0"/>
    <s v="45 qara"/>
    <m/>
    <n v="0"/>
    <n v="2"/>
    <n v="46"/>
    <s v="basac"/>
    <s v="Tapilmadi"/>
    <n v="0"/>
    <n v="0"/>
    <m/>
    <s v="Tapilmadi"/>
    <n v="0"/>
    <n v="5"/>
    <n v="0"/>
    <s v="Fümə şüşə"/>
    <n v="0"/>
    <n v="24"/>
    <m/>
    <s v="Tapilmadi"/>
    <m/>
    <n v="8"/>
    <m/>
    <s v="Tapilmadi"/>
    <n v="1"/>
    <n v="0"/>
    <n v="0"/>
    <n v="25"/>
    <n v="0"/>
    <n v="108"/>
    <m/>
    <n v="0"/>
    <n v="108"/>
    <s v="Mesaj"/>
    <s v="Mesaj"/>
    <s v="Qəbul edilib"/>
    <s v="Təhvil verilib"/>
    <s v="Hörmətli *My Concept*  ,Sizin *23,12,2024* tarixli sifarişiniz qeydə alındı. Sifariş Məbləğı *108 AZN* , Qalıq *108 AZN* . Hörmətlə  *AlumPro*"/>
    <s v="Hörmətli *My Concept* , sizin *23,12,2024* tarixli  sifarişiniz hazırdır . Bizi seçdiyiniz üçün minnətdarıq. Hörmətlə  *AlumPro*."/>
    <s v="My"/>
    <s v="My "/>
  </r>
  <r>
    <n v="14"/>
    <s v="*ALUMPRO14*"/>
    <s v="Eli"/>
    <x v="11"/>
    <x v="132"/>
    <s v="994502015406"/>
    <n v="0"/>
    <s v="3x3 oval qızılı"/>
    <m/>
    <n v="0"/>
    <n v="6"/>
    <n v="300"/>
    <s v="basac"/>
    <s v="Tapilmadi"/>
    <n v="0"/>
    <n v="0"/>
    <m/>
    <s v="Tapilmadi"/>
    <n v="4"/>
    <n v="480"/>
    <n v="0"/>
    <s v="Fümə şüşə"/>
    <n v="0"/>
    <n v="0"/>
    <m/>
    <s v="Tapilmadi"/>
    <m/>
    <n v="80"/>
    <m/>
    <s v="Tapilmadi"/>
    <n v="1"/>
    <n v="0"/>
    <n v="0"/>
    <n v="200"/>
    <n v="0"/>
    <n v="1060"/>
    <m/>
    <n v="1060"/>
    <n v="0"/>
    <s v="Mesaj"/>
    <s v="Mesaj"/>
    <s v="Qəbul edilib"/>
    <s v="Təhvil verilib"/>
    <s v="Hörmətli *Fexreddin Bey*  ,Sizin *23,12,2024* tarixli sifarişiniz qeydə alındı. Sifariş Məbləğı *1060 AZN* , Qalıq *0 AZN* . Hörmətlə  *AlumPro*"/>
    <s v="Hörmətli *Fexreddin Bey* , sizin *23,12,2024* tarixli  sifarişiniz hazırdır . Bizi seçdiyiniz üçün minnətdarıq. Hörmətlə  *AlumPro*."/>
    <s v="Fexreddin"/>
    <s v="Fexreddin "/>
  </r>
  <r>
    <n v="13"/>
    <s v="*ALUMPRO13*"/>
    <s v="Eli"/>
    <x v="11"/>
    <x v="111"/>
    <s v="994554180365"/>
    <n v="0"/>
    <s v="45 qara"/>
    <m/>
    <n v="0"/>
    <n v="23"/>
    <n v="529"/>
    <s v="boy"/>
    <s v="Tapilmadi"/>
    <n v="17"/>
    <n v="442"/>
    <m/>
    <s v="Tapilmadi"/>
    <n v="0"/>
    <n v="0"/>
    <n v="120"/>
    <s v="Fümə şüşə"/>
    <n v="26.88"/>
    <n v="672"/>
    <m/>
    <s v="Tapilmadi"/>
    <m/>
    <n v="68"/>
    <m/>
    <s v="Tapilmadi"/>
    <n v="1"/>
    <n v="0"/>
    <n v="84"/>
    <n v="255"/>
    <n v="0"/>
    <n v="2170"/>
    <m/>
    <n v="2170"/>
    <n v="0"/>
    <s v="Mesaj"/>
    <s v="Mesaj"/>
    <s v="Qəbul edilib"/>
    <s v="Təhvil verilib"/>
    <s v="Hörmətli *Elsen Qarazavod*  ,Sizin *23,12,2024* tarixli sifarişiniz qeydə alındı. Sifariş Məbləğı *2170 AZN* , Qalıq *0 AZN* . Hörmətlə  *AlumPro*"/>
    <s v="Hörmətli *Elsen Qarazavod* , sizin *23,12,2024* tarixli  sifarişiniz hazırdır . Bizi seçdiyiniz üçün minnətdarıq. Hörmətlə  *AlumPro*."/>
    <s v="Elsen"/>
    <s v="Elsen "/>
  </r>
  <r>
    <n v="12"/>
    <s v="*ALUMPRO12*"/>
    <s v="Eli"/>
    <x v="11"/>
    <x v="124"/>
    <s v="994556252121"/>
    <n v="0"/>
    <s v="45 qara"/>
    <m/>
    <n v="0"/>
    <n v="1"/>
    <n v="23"/>
    <s v="boy"/>
    <s v="Tapilmadi"/>
    <n v="1"/>
    <n v="26"/>
    <m/>
    <s v="Tapilmadi"/>
    <n v="0"/>
    <n v="0"/>
    <n v="6"/>
    <s v="Fümə şüşə"/>
    <n v="0.68"/>
    <n v="17"/>
    <m/>
    <s v="Tapilmadi"/>
    <m/>
    <n v="4"/>
    <m/>
    <s v="Tapilmadi"/>
    <n v="1"/>
    <n v="0"/>
    <n v="4"/>
    <n v="15"/>
    <n v="0"/>
    <n v="95"/>
    <m/>
    <n v="95"/>
    <n v="0"/>
    <s v="Mesaj"/>
    <s v="Mesaj"/>
    <s v="Qəbul edilib"/>
    <s v="Təhvil verilib"/>
    <s v="Hörmətli *Orxan Omer*  ,Sizin *23,12,2024* tarixli sifarişiniz qeydə alındı. Sifariş Məbləğı *95 AZN* , Qalıq *0 AZN* . Hörmətlə  *AlumPro*"/>
    <s v="Hörmətli *Orxan Omer* , sizin *23,12,2024* tarixli  sifarişiniz hazırdır . Bizi seçdiyiniz üçün minnətdarıq. Hörmətlə  *AlumPro*."/>
    <s v="Orxan"/>
    <s v="Orxan "/>
  </r>
  <r>
    <n v="11"/>
    <s v="*ALUMPRO11*"/>
    <s v="Eli"/>
    <x v="11"/>
    <x v="73"/>
    <s v="994552332387"/>
    <n v="0"/>
    <s v="2x2 qara"/>
    <m/>
    <n v="0"/>
    <n v="4"/>
    <n v="92"/>
    <s v="boy"/>
    <s v="Tapilmadi"/>
    <n v="3"/>
    <n v="78"/>
    <s v="2x2  düz"/>
    <s v="Tapilmadi"/>
    <n v="15"/>
    <n v="23"/>
    <n v="0"/>
    <s v="Fümə şüşə"/>
    <n v="3.32"/>
    <n v="74"/>
    <m/>
    <s v="Tapilmadi"/>
    <m/>
    <n v="12"/>
    <m/>
    <s v="Tapilmadi"/>
    <n v="1"/>
    <n v="0"/>
    <n v="15"/>
    <n v="45"/>
    <n v="0"/>
    <n v="339"/>
    <m/>
    <n v="339"/>
    <n v="0"/>
    <s v="Mesaj"/>
    <s v="Mesaj"/>
    <s v="Qəbul edilib"/>
    <s v="Təhvil verilib"/>
    <s v="Hörmətli *Zakir Bmw Servis*  ,Sizin *23,12,2024* tarixli sifarişiniz qeydə alındı. Sifariş Məbləğı *339 AZN* , Qalıq *0 AZN* . Hörmətlə  *AlumPro*"/>
    <s v="Hörmətli *Zakir Bmw Servis* , sizin *23,12,2024* tarixli  sifarişiniz hazırdır . Bizi seçdiyiniz üçün minnətdarıq. Hörmətlə  *AlumPro*."/>
    <s v="Zakir"/>
    <s v="Zakir "/>
  </r>
  <r>
    <n v="10"/>
    <s v="*ALUMPRO10*"/>
    <s v="Eli"/>
    <x v="11"/>
    <x v="133"/>
    <s v="994504083531"/>
    <n v="0"/>
    <s v="45 qızılı"/>
    <m/>
    <n v="0"/>
    <n v="30"/>
    <n v="690"/>
    <s v="boy"/>
    <s v="Tapilmadi"/>
    <n v="24"/>
    <n v="624"/>
    <m/>
    <s v="Tapilmadi"/>
    <n v="0"/>
    <n v="0"/>
    <n v="0"/>
    <s v="Qəhvəyi şüşə"/>
    <n v="25.6"/>
    <n v="674"/>
    <m/>
    <s v="Tapilmadi"/>
    <m/>
    <n v="100"/>
    <m/>
    <s v="Tapilmadi"/>
    <n v="1"/>
    <n v="0"/>
    <n v="107"/>
    <n v="405"/>
    <n v="0"/>
    <n v="2600"/>
    <m/>
    <n v="2600"/>
    <n v="0"/>
    <s v="Mesaj"/>
    <s v="Mesaj"/>
    <s v="Qəbul edilib"/>
    <s v="Təhvil verilib"/>
    <s v="Hörmətli *Cefer Mirzeyv*  ,Sizin *23,12,2024* tarixli sifarişiniz qeydə alındı. Sifariş Məbləğı *2600 AZN* , Qalıq *0 AZN* . Hörmətlə  *AlumPro*"/>
    <s v="Hörmətli *Cefer Mirzeyv* , sizin *23,12,2024* tarixli  sifarişiniz hazırdır . Bizi seçdiyiniz üçün minnətdarıq. Hörmətlə  *AlumPro*."/>
    <s v="Cefer"/>
    <s v="Cefer "/>
  </r>
  <r>
    <n v="9"/>
    <s v="*ALUMPRO9*"/>
    <s v="Eli"/>
    <x v="11"/>
    <x v="134"/>
    <s v="994708311333"/>
    <n v="0"/>
    <s v="2x2 110 sm qulp qızılı"/>
    <m/>
    <n v="0"/>
    <n v="4"/>
    <n v="92"/>
    <s v="yarı"/>
    <s v="Tapilmadi"/>
    <n v="3"/>
    <n v="160"/>
    <m/>
    <s v="Tapilmadi"/>
    <n v="13"/>
    <n v="52"/>
    <n v="0"/>
    <s v="Qəhvəyi zerkalni şüşə"/>
    <n v="3.05"/>
    <n v="107"/>
    <m/>
    <s v="Tapilmadi"/>
    <m/>
    <n v="24"/>
    <m/>
    <s v="Tapilmadi"/>
    <n v="1"/>
    <n v="0"/>
    <n v="26"/>
    <n v="40"/>
    <n v="0"/>
    <n v="501"/>
    <m/>
    <n v="183"/>
    <n v="318"/>
    <s v="Mesaj"/>
    <s v="Mesaj"/>
    <s v="Qəbul edilib"/>
    <s v="Təhvil verilib"/>
    <s v="Hörmətli *Surxay Bey*  ,Sizin *23,12,2024* tarixli sifarişiniz qeydə alındı. Sifariş Məbləğı *501 AZN* , Qalıq *318 AZN* . Hörmətlə  *AlumPro*"/>
    <s v="Hörmətli *Surxay Bey* , sizin *23,12,2024* tarixli  sifarişiniz hazırdır . Bizi seçdiyiniz üçün minnətdarıq. Hörmətlə  *AlumPro*."/>
    <s v="Surxay"/>
    <s v="Surxay "/>
  </r>
  <r>
    <n v="8"/>
    <s v="*ALUMPRO8*"/>
    <s v="Eli"/>
    <x v="11"/>
    <x v="124"/>
    <s v="994556252121"/>
    <n v="0"/>
    <s v="45 qara"/>
    <m/>
    <n v="0"/>
    <n v="8"/>
    <n v="184"/>
    <s v="boy"/>
    <s v="Tapilmadi"/>
    <n v="7"/>
    <n v="182"/>
    <m/>
    <s v="Tapilmadi"/>
    <n v="0"/>
    <m/>
    <n v="45"/>
    <s v="Fümə şüşə"/>
    <n v="7.2"/>
    <n v="180"/>
    <m/>
    <s v="Tapilmadi"/>
    <m/>
    <n v="28"/>
    <m/>
    <s v="Tapilmadi"/>
    <n v="1"/>
    <n v="0"/>
    <n v="14"/>
    <n v="107"/>
    <n v="0"/>
    <n v="740"/>
    <m/>
    <n v="740"/>
    <n v="0"/>
    <s v="Mesaj"/>
    <s v="Mesaj"/>
    <s v="Qəbul edilib"/>
    <s v="Təhvil verilib"/>
    <s v="Hörmətli *Orxan Omer*  ,Sizin *23,12,2024* tarixli sifarişiniz qeydə alındı. Sifariş Məbləğı *740 AZN* , Qalıq *0 AZN* . Hörmətlə  *AlumPro*"/>
    <s v="Hörmətli *Orxan Omer* , sizin *23,12,2024* tarixli  sifarişiniz hazırdır . Bizi seçdiyiniz üçün minnətdarıq. Hörmətlə  *AlumPro*."/>
    <s v="Orxan"/>
    <s v="Orxan "/>
  </r>
  <r>
    <n v="7"/>
    <s v="*ALUMPRO7*"/>
    <s v="Eli"/>
    <x v="11"/>
    <x v="104"/>
    <s v="994503135243"/>
    <n v="0"/>
    <s v="45 açıq antrasit"/>
    <m/>
    <n v="0"/>
    <n v="29"/>
    <n v="667"/>
    <s v="boy"/>
    <s v="Tapilmadi"/>
    <n v="18"/>
    <n v="468"/>
    <m/>
    <s v="Tapilmadi"/>
    <n v="0"/>
    <m/>
    <n v="0"/>
    <s v="Qara Zerkalni şüşə"/>
    <n v="22.14"/>
    <n v="775"/>
    <m/>
    <s v="Tapilmadi"/>
    <m/>
    <n v="120"/>
    <m/>
    <s v="Tapilmadi"/>
    <n v="1"/>
    <n v="0"/>
    <n v="105"/>
    <n v="375"/>
    <n v="0"/>
    <n v="2510"/>
    <m/>
    <n v="0"/>
    <n v="2510"/>
    <s v="Mesaj"/>
    <s v="Mesaj"/>
    <s v="Qəbul edilib"/>
    <s v="Təhvil verilib"/>
    <s v="Hörmətli *Natiq Emrahov*  ,Sizin *23,12,2024* tarixli sifarişiniz qeydə alındı. Sifariş Məbləğı *2510 AZN* , Qalıq *2510 AZN* . Hörmətlə  *AlumPro*"/>
    <s v="Hörmətli *Natiq Emrahov* , sizin *23,12,2024* tarixli  sifarişiniz hazırdır . Bizi seçdiyiniz üçün minnətdarıq. Hörmətlə  *AlumPro*."/>
    <s v="Natiq"/>
    <s v="Natiq "/>
  </r>
  <r>
    <n v="6"/>
    <s v="*ALUMPRO6*"/>
    <s v="Eli"/>
    <x v="11"/>
    <x v="104"/>
    <s v="994503135243"/>
    <n v="0"/>
    <s v="45 qara"/>
    <m/>
    <n v="0"/>
    <n v="14"/>
    <n v="322"/>
    <s v="boy"/>
    <s v="Tapilmadi"/>
    <n v="2"/>
    <n v="52"/>
    <m/>
    <s v="Tapilmadi"/>
    <n v="0"/>
    <m/>
    <n v="39"/>
    <s v="Qəhvəyi zerkalni şüşə"/>
    <n v="4.4000000000000004"/>
    <n v="154"/>
    <m/>
    <s v="Tapilmadi"/>
    <m/>
    <n v="52"/>
    <m/>
    <s v="Tapilmadi"/>
    <n v="1"/>
    <n v="0"/>
    <n v="30"/>
    <n v="70"/>
    <n v="0"/>
    <n v="719"/>
    <m/>
    <n v="719"/>
    <n v="0"/>
    <s v="Mesaj"/>
    <s v="Mesaj"/>
    <s v="Qəbul edilib"/>
    <s v="Təhvil verilib"/>
    <s v="Hörmətli *Natiq Emrahov*  ,Sizin *23,12,2024* tarixli sifarişiniz qeydə alındı. Sifariş Məbləğı *719 AZN* , Qalıq *0 AZN* . Hörmətlə  *AlumPro*"/>
    <s v="Hörmətli *Natiq Emrahov* , sizin *23,12,2024* tarixli  sifarişiniz hazırdır . Bizi seçdiyiniz üçün minnətdarıq. Hörmətlə  *AlumPro*."/>
    <s v="Natiq"/>
    <s v="Natiq "/>
  </r>
  <r>
    <n v="5"/>
    <s v="*ALUMPRO5*"/>
    <s v="Eli"/>
    <x v="11"/>
    <x v="56"/>
    <s v="994505703525"/>
    <n v="0"/>
    <s v="45 qara"/>
    <m/>
    <n v="0"/>
    <n v="14"/>
    <n v="322"/>
    <n v="10"/>
    <s v="Tapilmadi"/>
    <n v="26"/>
    <n v="260"/>
    <m/>
    <s v="Tapilmadi"/>
    <n v="0"/>
    <m/>
    <n v="72"/>
    <s v="Qəhvəyi şüşə"/>
    <n v="17.8"/>
    <n v="446"/>
    <m/>
    <s v="Tapilmadi"/>
    <m/>
    <n v="40"/>
    <m/>
    <s v="Tapilmadi"/>
    <n v="1"/>
    <n v="0"/>
    <n v="50"/>
    <n v="150"/>
    <n v="0"/>
    <n v="1340"/>
    <m/>
    <n v="1340"/>
    <n v="0"/>
    <s v="Mesaj"/>
    <s v="Mesaj"/>
    <s v="Qəbul edilib"/>
    <s v="Təhvil verilib"/>
    <s v="Hörmətli *Samir Ayla Mebel*  ,Sizin *23,12,2024* tarixli sifarişiniz qeydə alındı. Sifariş Məbləğı *1340 AZN* , Qalıq *0 AZN* . Hörmətlə  *AlumPro*"/>
    <s v="Hörmətli *Samir Ayla Mebel* , sizin *23,12,2024* tarixli  sifarişiniz hazırdır . Bizi seçdiyiniz üçün minnətdarıq. Hörmətlə  *AlumPro*."/>
    <s v="Samir"/>
    <s v="Samir "/>
  </r>
  <r>
    <n v="4"/>
    <s v="*ALUMPRO4*"/>
    <s v="Eli"/>
    <x v="11"/>
    <x v="38"/>
    <s v="994505703525"/>
    <n v="0"/>
    <s v="45 qara"/>
    <m/>
    <n v="0"/>
    <n v="4"/>
    <n v="92"/>
    <s v="boy"/>
    <s v="Tapilmadi"/>
    <n v="1"/>
    <n v="26"/>
    <m/>
    <s v="Tapilmadi"/>
    <n v="0"/>
    <n v="15"/>
    <m/>
    <s v="Fümə şüşə"/>
    <n v="2.88"/>
    <n v="72"/>
    <m/>
    <s v="Tapilmadi"/>
    <m/>
    <n v="8"/>
    <m/>
    <s v="Tapilmadi"/>
    <n v="1"/>
    <n v="0"/>
    <n v="10"/>
    <n v="30"/>
    <n v="0"/>
    <n v="253"/>
    <m/>
    <n v="0"/>
    <n v="253"/>
    <s v="Mesaj"/>
    <s v="Mesaj"/>
    <s v="Qəbul edilib"/>
    <s v="Təhvil verilib"/>
    <s v="Hörmətli *Mecnun Sahmurov*  ,Sizin *23,12,2024* tarixli sifarişiniz qeydə alındı. Sifariş Məbləğı *253 AZN* , Qalıq *253 AZN* . Hörmətlə  *AlumPro*"/>
    <s v="Hörmətli *Mecnun Sahmurov* , sizin *23,12,2024* tarixli  sifarişiniz hazırdır . Bizi seçdiyiniz üçün minnətdarıq. Hörmətlə  *AlumPro*."/>
    <s v="Mecnun"/>
    <s v="Mecnun "/>
  </r>
  <r>
    <n v="3"/>
    <s v="*ALUMPRO3*"/>
    <s v="Eli"/>
    <x v="12"/>
    <x v="86"/>
    <s v="994557466563"/>
    <n v="0"/>
    <s v="2x2 qara"/>
    <m/>
    <n v="0"/>
    <m/>
    <n v="515"/>
    <m/>
    <s v="Tapilmadi"/>
    <m/>
    <n v="15"/>
    <s v="2x2  düz"/>
    <s v="Tapilmadi"/>
    <n v="3"/>
    <n v="75"/>
    <m/>
    <s v="Fümə şüşə"/>
    <n v="30"/>
    <n v="750"/>
    <m/>
    <s v="Tapilmadi"/>
    <m/>
    <n v="125"/>
    <m/>
    <s v="Tapilmadi"/>
    <n v="1"/>
    <n v="65"/>
    <n v="120"/>
    <n v="120"/>
    <n v="0"/>
    <n v="1785"/>
    <m/>
    <n v="1785"/>
    <n v="0"/>
    <s v="Mesaj"/>
    <s v="Mesaj"/>
    <s v="Qəbul edilib"/>
    <s v="Təhvil verilib"/>
    <s v="Hörmətli *Natiq Nesirov*  ,Sizin *18,12,2024* tarixli sifarişiniz qeydə alındı. Sifariş Məbləğı *1785 AZN* , Qalıq *0 AZN* . Hörmətlə  *AlumPro*"/>
    <s v="Hörmətli *Natiq Nesirov* , sizin *18,12,2024* tarixli  sifarişiniz hazırdır . Bizi seçdiyiniz üçün minnətdarıq. Hörmətlə  *AlumPro*."/>
    <s v="Natiq"/>
    <s v="Natiq "/>
  </r>
  <r>
    <n v="3"/>
    <s v="*ALUMPRO3*"/>
    <s v="Vusal"/>
    <x v="42"/>
    <x v="25"/>
    <s v="994512063544"/>
    <n v="0"/>
    <s v="45 Qara Boy Qulp"/>
    <m/>
    <n v="0"/>
    <m/>
    <m/>
    <m/>
    <s v="Tapilmadi"/>
    <m/>
    <n v="15"/>
    <s v="2x2  düz"/>
    <s v="Tapilmadi"/>
    <n v="3"/>
    <n v="75"/>
    <m/>
    <s v="Fümə şüşə"/>
    <n v="30"/>
    <n v="750"/>
    <m/>
    <s v="Tapilmadi"/>
    <m/>
    <n v="125"/>
    <m/>
    <s v="Tapilmadi"/>
    <n v="1"/>
    <n v="65"/>
    <n v="120"/>
    <n v="120"/>
    <n v="0"/>
    <n v="1255"/>
    <m/>
    <n v="1255"/>
    <n v="0"/>
    <s v="Mesaj"/>
    <s v="Mesaj"/>
    <s v="Qəbul edilib"/>
    <s v="Təhvil verilib"/>
    <s v="Hörmətli *Mutfakci Maliyye*  ,Sizin *11,12,2024* tarixli sifarişiniz qeydə alındı. Sifariş Məbləğı *1255 AZN* , Qalıq *0 AZN* . Hörmətlə  *AlumPro*"/>
    <s v="Hörmətli *Mutfakci Maliyye* , sizin *11,12,2024* tarixli  sifarişiniz hazırdır . Bizi seçdiyiniz üçün minnətdarıq. Hörmətlə  *AlumPro*."/>
    <s v="Mutfakci"/>
    <s v="Mutfakci "/>
  </r>
  <r>
    <n v="7"/>
    <s v="*ALUMPRO7*"/>
    <s v="Eli"/>
    <x v="57"/>
    <x v="15"/>
    <m/>
    <m/>
    <m/>
    <m/>
    <n v="0"/>
    <m/>
    <m/>
    <m/>
    <s v="Tapilmadi"/>
    <m/>
    <n v="15"/>
    <s v="2x2  düz"/>
    <s v="Tapilmadi"/>
    <n v="3"/>
    <n v="75"/>
    <m/>
    <s v="Fümə şüşə"/>
    <n v="30"/>
    <n v="750"/>
    <m/>
    <s v="Tapilmadi"/>
    <m/>
    <n v="125"/>
    <m/>
    <s v="Tapilmadi"/>
    <n v="1"/>
    <n v="65"/>
    <n v="120"/>
    <n v="120"/>
    <n v="0"/>
    <n v="1255"/>
    <m/>
    <n v="325"/>
    <n v="930"/>
    <s v="Mesaj"/>
    <s v="Mesaj"/>
    <s v="Qəbul edilib"/>
    <s v="Təhvil verilib"/>
    <s v="Hörmətli **  ,Sizin ** tarixli sifarişiniz qeydə alındı. Sifariş Məbləğı *1255 AZN* , Qalıq *930 AZN* . Hörmətlə  *AlumPro*"/>
    <s v="Hörmətli ** , sizin ** tarixli  sifarişiniz hazırdır . Bizi seçdiyiniz üçün minnətdarıq. Hörmətlə  *AlumPro*."/>
    <e v="#VALUE!"/>
    <e v="#VALUE!"/>
  </r>
  <r>
    <n v="6"/>
    <s v="*ALUMPRO6*"/>
    <s v="Eli"/>
    <x v="57"/>
    <x v="15"/>
    <m/>
    <m/>
    <m/>
    <m/>
    <n v="0"/>
    <m/>
    <m/>
    <m/>
    <s v="Tapilmadi"/>
    <m/>
    <n v="15"/>
    <s v="2x2  düz"/>
    <s v="Tapilmadi"/>
    <n v="3"/>
    <n v="75"/>
    <m/>
    <s v="Fümə şüşə"/>
    <n v="30"/>
    <n v="750"/>
    <m/>
    <s v="Tapilmadi"/>
    <m/>
    <n v="125"/>
    <m/>
    <s v="Tapilmadi"/>
    <n v="1"/>
    <n v="65"/>
    <n v="120"/>
    <n v="120"/>
    <n v="0"/>
    <n v="1255"/>
    <m/>
    <n v="325"/>
    <n v="930"/>
    <s v="Mesaj"/>
    <s v="Mesaj"/>
    <s v="Qəbul edilib"/>
    <s v="Təhvil verilib"/>
    <s v="Hörmətli **  ,Sizin ** tarixli sifarişiniz qeydə alındı. Sifariş Məbləğı *1255 AZN* , Qalıq *930 AZN* . Hörmətlə  *AlumPro*"/>
    <s v="Hörmətli ** , sizin ** tarixli  sifarişiniz hazırdır . Bizi seçdiyiniz üçün minnətdarıq. Hörmətlə  *AlumPro*."/>
    <e v="#VALUE!"/>
    <e v="#VALUE!"/>
  </r>
  <r>
    <n v="5"/>
    <s v="*ALUMPRO5*"/>
    <s v="Eli"/>
    <x v="57"/>
    <x v="15"/>
    <m/>
    <m/>
    <m/>
    <m/>
    <n v="0"/>
    <m/>
    <m/>
    <m/>
    <s v="Tapilmadi"/>
    <m/>
    <n v="15"/>
    <s v="2x2  düz"/>
    <s v="Tapilmadi"/>
    <n v="3"/>
    <n v="75"/>
    <m/>
    <s v="Fümə şüşə"/>
    <n v="30"/>
    <n v="750"/>
    <m/>
    <s v="Tapilmadi"/>
    <m/>
    <n v="125"/>
    <m/>
    <s v="Tapilmadi"/>
    <n v="1"/>
    <n v="65"/>
    <n v="120"/>
    <n v="120"/>
    <n v="0"/>
    <n v="1255"/>
    <m/>
    <n v="325"/>
    <n v="930"/>
    <s v="Mesaj"/>
    <s v="Mesaj"/>
    <s v="Qəbul edilib"/>
    <s v="Təhvil verilib"/>
    <s v="Hörmətli **  ,Sizin ** tarixli sifarişiniz qeydə alındı. Sifariş Məbləğı *1255 AZN* , Qalıq *930 AZN* . Hörmətlə  *AlumPro*"/>
    <s v="Hörmətli ** , sizin ** tarixli  sifarişiniz hazırdır . Bizi seçdiyiniz üçün minnətdarıq. Hörmətlə  *AlumPro*."/>
    <e v="#VALUE!"/>
    <e v="#VALUE!"/>
  </r>
  <r>
    <n v="4"/>
    <s v="*ALUMPRO4*"/>
    <s v="Eli"/>
    <x v="57"/>
    <x v="15"/>
    <m/>
    <m/>
    <m/>
    <m/>
    <n v="0"/>
    <m/>
    <m/>
    <m/>
    <s v="Tapilmadi"/>
    <m/>
    <n v="15"/>
    <s v="2x2  düz"/>
    <s v="Tapilmadi"/>
    <n v="3"/>
    <n v="75"/>
    <m/>
    <s v="Fümə şüşə"/>
    <n v="30"/>
    <n v="750"/>
    <m/>
    <s v="Tapilmadi"/>
    <m/>
    <n v="125"/>
    <m/>
    <s v="Tapilmadi"/>
    <n v="1"/>
    <n v="65"/>
    <n v="120"/>
    <n v="120"/>
    <n v="0"/>
    <n v="1255"/>
    <m/>
    <n v="325"/>
    <n v="930"/>
    <s v="Mesaj"/>
    <s v="Mesaj"/>
    <s v="Qəbul edilib"/>
    <s v="Təhvil verilib"/>
    <s v="Hörmətli **  ,Sizin ** tarixli sifarişiniz qeydə alındı. Sifariş Məbləğı *1255 AZN* , Qalıq *930 AZN* . Hörmətlə  *AlumPro*"/>
    <s v="Hörmətli ** , sizin ** tarixli  sifarişiniz hazırdır . Bizi seçdiyiniz üçün minnətdarıq. Hörmətlə  *AlumPro*."/>
    <e v="#VALUE!"/>
    <e v="#VALUE!"/>
  </r>
  <r>
    <n v="3"/>
    <s v="*ALUMPRO3*"/>
    <s v="Eli"/>
    <x v="57"/>
    <x v="15"/>
    <m/>
    <m/>
    <m/>
    <m/>
    <n v="0"/>
    <m/>
    <m/>
    <m/>
    <s v="Tapilmadi"/>
    <m/>
    <n v="16"/>
    <s v="2x2  düz"/>
    <s v="Tapilmadi"/>
    <n v="4"/>
    <n v="76"/>
    <m/>
    <s v="Fümə şüşə"/>
    <n v="31"/>
    <n v="751"/>
    <m/>
    <s v="Tapilmadi"/>
    <m/>
    <n v="126"/>
    <m/>
    <s v="Tapilmadi"/>
    <n v="1"/>
    <n v="66"/>
    <n v="121"/>
    <n v="121"/>
    <n v="1"/>
    <n v="1256"/>
    <m/>
    <n v="326"/>
    <n v="930"/>
    <s v="Mesaj"/>
    <s v="Mesaj"/>
    <s v="Qəbul edilib"/>
    <s v="Təhvil verilib"/>
    <s v="Hörmətli **  ,Sizin ** tarixli sifarişiniz qeydə alındı. Sifariş Məbləğı *1256 AZN* , Qalıq *930 AZN* . Hörmətlə  *AlumPro*"/>
    <s v="Hörmətli ** , sizin ** tarixli  sifarişiniz hazırdır . Bizi seçdiyiniz üçün minnətdarıq. Hörmətlə  *AlumPro*."/>
    <e v="#VALUE!"/>
    <e v="#VALUE!"/>
  </r>
  <r>
    <n v="2"/>
    <s v="*ALUMPRO2*"/>
    <s v="Eli"/>
    <x v="57"/>
    <x v="15"/>
    <m/>
    <m/>
    <m/>
    <m/>
    <n v="0"/>
    <m/>
    <m/>
    <m/>
    <s v="Tapilmadi"/>
    <m/>
    <n v="15"/>
    <s v="2x2  düz"/>
    <s v="Tapilmadi"/>
    <n v="3"/>
    <n v="75"/>
    <m/>
    <s v="Fümə şüşə"/>
    <n v="30"/>
    <n v="750"/>
    <m/>
    <s v="Tapilmadi"/>
    <m/>
    <n v="125"/>
    <m/>
    <s v="Tapilmadi"/>
    <n v="1"/>
    <n v="65"/>
    <n v="120"/>
    <n v="120"/>
    <n v="0"/>
    <n v="1255"/>
    <m/>
    <n v="325"/>
    <n v="930"/>
    <s v="Mesaj"/>
    <s v="Mesaj"/>
    <s v="Qəbul edilib"/>
    <s v="Təhvil verilib"/>
    <s v="Hörmətli **  ,Sizin ** tarixli sifarişiniz qeydə alındı. Sifariş Məbləğı *1255 AZN* , Qalıq *930 AZN* . Hörmətlə  *AlumPro*"/>
    <s v="Hörmətli ** , sizin ** tarixli  sifarişiniz hazırdır . Bizi seçdiyiniz üçün minnətdarıq. Hörmətlə  *AlumPro*."/>
    <e v="#VALUE!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F2D623-DBB6-4815-82D2-52B4B033E20A}" name="PivotTable3" cacheId="4796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86">
  <location ref="T16:U22" firstHeaderRow="1" firstDataRow="1" firstDataCol="1"/>
  <pivotFields count="47">
    <pivotField showAll="0"/>
    <pivotField showAll="0"/>
    <pivotField showAll="0"/>
    <pivotField showAll="0"/>
    <pivotField axis="axisRow" showAll="0" measureFilter="1">
      <items count="136"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5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 v="2"/>
    </i>
    <i>
      <x v="12"/>
    </i>
    <i>
      <x v="50"/>
    </i>
    <i>
      <x v="51"/>
    </i>
    <i>
      <x v="52"/>
    </i>
    <i t="grand">
      <x/>
    </i>
  </rowItems>
  <colItems count="1">
    <i/>
  </colItems>
  <dataFields count="1">
    <dataField name="Toplam Qalıq" fld="38" baseField="0" baseItem="0"/>
  </dataFields>
  <formats count="1">
    <format dxfId="128">
      <pivotArea grandRow="1" outline="0" collapsedLevelsAreSubtotals="1" fieldPosition="0"/>
    </format>
  </formats>
  <chartFormats count="3">
    <chartFormat chart="7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92FEC2-9934-4EE3-8542-94981863A8E8}" name="PivotTable1" cacheId="4796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79">
  <location ref="B17:C23" firstHeaderRow="1" firstDataRow="1" firstDataCol="1"/>
  <pivotFields count="47">
    <pivotField showAll="0"/>
    <pivotField showAll="0"/>
    <pivotField showAll="0"/>
    <pivotField axis="axisRow" showAll="0" measureFilter="1" sortType="ascending">
      <items count="60">
        <item x="30"/>
        <item x="48"/>
        <item x="24"/>
        <item x="47"/>
        <item x="4"/>
        <item x="46"/>
        <item x="45"/>
        <item x="23"/>
        <item x="22"/>
        <item x="44"/>
        <item x="20"/>
        <item x="17"/>
        <item x="43"/>
        <item x="18"/>
        <item x="16"/>
        <item x="14"/>
        <item x="5"/>
        <item x="0"/>
        <item m="1" x="58"/>
        <item x="27"/>
        <item x="25"/>
        <item x="21"/>
        <item x="19"/>
        <item x="7"/>
        <item x="13"/>
        <item x="33"/>
        <item x="42"/>
        <item x="41"/>
        <item x="34"/>
        <item x="29"/>
        <item x="28"/>
        <item x="15"/>
        <item x="40"/>
        <item x="6"/>
        <item x="39"/>
        <item x="1"/>
        <item x="3"/>
        <item x="38"/>
        <item x="37"/>
        <item x="12"/>
        <item x="56"/>
        <item x="36"/>
        <item x="55"/>
        <item x="2"/>
        <item x="54"/>
        <item x="35"/>
        <item x="11"/>
        <item x="32"/>
        <item x="10"/>
        <item x="9"/>
        <item x="53"/>
        <item x="8"/>
        <item x="52"/>
        <item x="51"/>
        <item x="26"/>
        <item x="31"/>
        <item x="50"/>
        <item x="49"/>
        <item x="5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5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">
    <i>
      <x v="9"/>
    </i>
    <i>
      <x v="39"/>
    </i>
    <i>
      <x v="46"/>
    </i>
    <i>
      <x v="54"/>
    </i>
    <i>
      <x v="58"/>
    </i>
    <i t="grand">
      <x/>
    </i>
  </rowItems>
  <colItems count="1">
    <i/>
  </colItems>
  <dataFields count="1">
    <dataField name="Toplam Ümumi məbləğ" fld="35" baseField="0" baseItem="0"/>
  </dataFields>
  <formats count="1">
    <format dxfId="127">
      <pivotArea grandRow="1" outline="0" collapsedLevelsAreSubtotals="1" fieldPosition="0"/>
    </format>
  </formats>
  <chartFormats count="7">
    <chartFormat chart="7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3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73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39"/>
          </reference>
        </references>
      </pivotArea>
    </chartFormat>
    <chartFormat chart="73" format="17">
      <pivotArea type="data" outline="0" fieldPosition="0">
        <references count="2">
          <reference field="4294967294" count="1" selected="0">
            <x v="0"/>
          </reference>
          <reference field="3" count="1" selected="0">
            <x v="46"/>
          </reference>
        </references>
      </pivotArea>
    </chartFormat>
    <chartFormat chart="73" format="18">
      <pivotArea type="data" outline="0" fieldPosition="0">
        <references count="2">
          <reference field="4294967294" count="1" selected="0">
            <x v="0"/>
          </reference>
          <reference field="3" count="1" selected="0">
            <x v="54"/>
          </reference>
        </references>
      </pivotArea>
    </chartFormat>
    <chartFormat chart="73" format="19">
      <pivotArea type="data" outline="0" fieldPosition="0">
        <references count="2">
          <reference field="4294967294" count="1" selected="0">
            <x v="0"/>
          </reference>
          <reference field="3" count="1" selected="0">
            <x v="5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ADEE1F-C926-4644-B2BB-D4A74E7344D2}" name="PivotTable2" cacheId="4796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79">
  <location ref="L16:M22" firstHeaderRow="1" firstDataRow="1" firstDataCol="1"/>
  <pivotFields count="47">
    <pivotField showAll="0"/>
    <pivotField showAll="0"/>
    <pivotField showAll="0"/>
    <pivotField showAll="0"/>
    <pivotField axis="axisRow" showAll="0" measureFilter="1">
      <items count="136"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5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12"/>
    </i>
    <i>
      <x v="52"/>
    </i>
    <i t="grand">
      <x/>
    </i>
  </rowItems>
  <colItems count="1">
    <i/>
  </colItems>
  <dataFields count="1">
    <dataField name="Toplam Ümumi məbləğ" fld="35" baseField="0" baseItem="0"/>
  </dataFields>
  <formats count="1">
    <format dxfId="126">
      <pivotArea grandRow="1" outline="0" collapsedLevelsAreSubtotals="1" fieldPosition="0"/>
    </format>
  </formats>
  <chartFormats count="12">
    <chartFormat chart="7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8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78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78" format="17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78" format="18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78" format="19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  <chartFormat chart="76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76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76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76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76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24FEB6-FBCD-4006-B7C0-A568E1D595A0}" name="Tablo7" displayName="Tablo7" ref="D2:AX333" totalsRowShown="0" headerRowDxfId="121" headerRowBorderDxfId="119" tableBorderDxfId="120" totalsRowBorderDxfId="118">
  <tableColumns count="47">
    <tableColumn id="1" xr3:uid="{8D568F62-6451-44C2-86EC-EEEF207D2BFA}" name="Sifariş  №  " dataDxfId="117"/>
    <tableColumn id="2" xr3:uid="{3AB533F0-F87A-432F-8710-ECD6FBDF55A7}" name="Sifariş kodu" dataDxfId="116"/>
    <tableColumn id="3" xr3:uid="{FD8C74D4-478C-4F69-B8DF-BDFFC95124B0}" name="Satıcı" dataDxfId="115"/>
    <tableColumn id="4" xr3:uid="{ABE1601B-B8AD-4A79-8960-5F7054A4A6C4}" name="Tarix" dataDxfId="114"/>
    <tableColumn id="5" xr3:uid="{A32D914A-525C-4B44-980D-70E9E907FCF1}" name="Müştəri" dataDxfId="113"/>
    <tableColumn id="6" xr3:uid="{319900D3-9C44-47A9-AE93-992EAC9D9A65}" name="Telefon" dataDxfId="112"/>
    <tableColumn id="7" xr3:uid="{5C85FAF8-A4AF-46C7-91AC-423985A650A1}" name="Qeyd" dataDxfId="111"/>
    <tableColumn id="8" xr3:uid="{C48637D0-BA1E-49D7-998B-8D19BAF75CE9}" name="Profil" dataDxfId="110"/>
    <tableColumn id="38" xr3:uid="{688AED1B-93D6-49C1-B2ED-5045200BA19F}" name="Yan Profili" dataDxfId="109"/>
    <tableColumn id="40" xr3:uid="{6B1F152F-DEB0-4AAB-95DA-4FA5AC28F582}" name="Profil kodu" dataDxfId="108">
      <calculatedColumnFormula>_xlfn.XLOOKUP(Tablo7[[#This Row],[Yan Profili]],Anbar!$J$3:$J$1000,Anbar!$H$3:$H$1000,"Tapilmadi")</calculatedColumnFormula>
    </tableColumn>
    <tableColumn id="36" xr3:uid="{7C3278B2-74EB-4185-82CE-0DD404AD3A93}" name="Ölçü / 3m " dataDxfId="107"/>
    <tableColumn id="35" xr3:uid="{88486307-05F2-4AB7-8832-1C186B0C4853}" name="Qiymət " dataDxfId="106"/>
    <tableColumn id="37" xr3:uid="{07642763-C976-492A-871D-E06AB34329B9}" name="Qulp növü" dataDxfId="105"/>
    <tableColumn id="41" xr3:uid="{5ECC2E19-15B1-421A-BC66-805CC8E51BC1}" name="Profil kodu " dataDxfId="104">
      <calculatedColumnFormula>_xlfn.XLOOKUP(Tablo7[[#This Row],[Qulp növü]],Anbar!$J$3:$J$1000,Anbar!$H$3:$H$1000,"Tapilmadi")</calculatedColumnFormula>
    </tableColumn>
    <tableColumn id="34" xr3:uid="{BCE21D07-3E56-47A1-AF0A-0C2CDFDFF38B}" name="Ölçü / 3m" dataDxfId="103"/>
    <tableColumn id="9" xr3:uid="{03086CAC-DF1F-4F4A-887D-9DBA0AB81BFE}" name="Qiymət" dataDxfId="102"/>
    <tableColumn id="11" xr3:uid="{32EC75DC-FD70-44B2-A6F4-B558AA5CEACD}" name="Petlə" dataDxfId="101"/>
    <tableColumn id="42" xr3:uid="{AABF102C-B03E-4FA7-91E5-0F817397407F}" name="Petle kodu" dataDxfId="100">
      <calculatedColumnFormula>_xlfn.XLOOKUP(Tablo7[[#This Row],[Petlə]],Anbar!$J$3:$J$1000,Anbar!$H$3:$H$1000,"Tapilmadi")</calculatedColumnFormula>
    </tableColumn>
    <tableColumn id="12" xr3:uid="{1AED7D31-CE24-477E-98F5-2C426585859D}" name="Petlə sayı" dataDxfId="99"/>
    <tableColumn id="10" xr3:uid="{48173CC9-6F59-4374-896E-7F9ACE742BC8}" name="Petlə qiyməti" dataDxfId="98"/>
    <tableColumn id="13" xr3:uid="{DBC4E22D-DA5F-4157-A9B6-243ACC389D54}" name="Fitil qiymeti " dataDxfId="97"/>
    <tableColumn id="14" xr3:uid="{F8C6ABC7-8E7F-4E48-89D6-0907CAEEA2F2}" name="Şüşə" dataDxfId="96"/>
    <tableColumn id="15" xr3:uid="{5B1A9E12-127F-46B7-9CE9-F3BBB1B6A6CC}" name="Ölçüsü m²" dataDxfId="95"/>
    <tableColumn id="16" xr3:uid="{1E5072EB-8658-4BB6-B4DD-91699F5870E6}" name="Şüşə qiyməti" dataDxfId="94"/>
    <tableColumn id="44" xr3:uid="{AD61870C-BDC3-4BD5-8F9B-B2A6796290B7}" name="Bağlantı" dataDxfId="93"/>
    <tableColumn id="43" xr3:uid="{01C5810A-9D79-405F-A144-0B4F07CE0913}" name="Bağlantı kodu" dataDxfId="92">
      <calculatedColumnFormula>_xlfn.XLOOKUP(Tablo7[[#This Row],[Bağlantı]],Anbar!$J$3:$J$1000,Anbar!$H$3:$H$1000,"Tapilmadi")</calculatedColumnFormula>
    </tableColumn>
    <tableColumn id="47" xr3:uid="{F605661A-AFC1-4ACA-8613-7716ADC8235E}" name="Bağlantı sayı" dataDxfId="91"/>
    <tableColumn id="17" xr3:uid="{07706A4B-093E-418F-B9D9-7576F93D920B}" name="Bağlantı qiyməti" dataDxfId="90"/>
    <tableColumn id="46" xr3:uid="{8A619DAD-9864-4676-A971-A31135D8649F}" name="Mexanizm" dataDxfId="89"/>
    <tableColumn id="45" xr3:uid="{EDDA0078-92E1-4481-AB7F-F9E4449B5C6B}" name="Mexanizm kodu" dataDxfId="88">
      <calculatedColumnFormula>_xlfn.XLOOKUP(Tablo7[[#This Row],[Mexanizm]],Anbar!$J$3:$J$1000,Anbar!$H$3:$H$1000,"Tapilmadi")</calculatedColumnFormula>
    </tableColumn>
    <tableColumn id="18" xr3:uid="{A4BB1A37-D7E9-4819-B59E-F528E0F47553}" name="Mexanizm sayı" dataDxfId="87"/>
    <tableColumn id="19" xr3:uid="{5B1686D9-592B-40D2-852B-66C6C3119441}" name="Mexanizm qiyməti" dataDxfId="86"/>
    <tableColumn id="20" xr3:uid="{4C7D8EBF-8296-4A5E-A713-55FE63358823}" name="Petlə yeri qiyməti" dataDxfId="85"/>
    <tableColumn id="21" xr3:uid="{BB033B1A-20AB-4BCC-81F2-5503A46EEFFB}" name="Yığım qiyməti" dataDxfId="84"/>
    <tableColumn id="22" xr3:uid="{701E068B-FD06-435D-A879-5791DA8FE39E}" name="Nəqliyyat" dataDxfId="83"/>
    <tableColumn id="23" xr3:uid="{D710BD0E-2B72-4BBF-82F7-DC3E36D7CC80}" name="Ümumi məbləğ" dataDxfId="82"/>
    <tableColumn id="39" xr3:uid="{7897E80C-2DB2-425D-8BC9-4372AEF7ABAB}" name="Endirim" dataDxfId="81"/>
    <tableColumn id="24" xr3:uid="{B31A9957-C17D-4316-9B26-E6C2B87BF09E}" name="Ödəniş" dataDxfId="80"/>
    <tableColumn id="25" xr3:uid="{970C6115-59B1-44E6-8C0C-EFBF76D0E2D0}" name="Qalıq" dataDxfId="79">
      <calculatedColumnFormula>Tablo7[[#This Row],[Ümumi məbləğ]]-Tablo7[[#This Row],[Ödəniş]]-Tablo7[[#This Row],[Endirim]]</calculatedColumnFormula>
    </tableColumn>
    <tableColumn id="26" xr3:uid="{9760B9E5-75FF-4808-9BF4-CE267EC4CADD}" name="Qəbul" dataDxfId="78">
      <calculatedColumnFormula>HYPERLINK("https://web.whatsapp.com/send?phone="&amp;I3&amp;"&amp;text="&amp;AU3,"Mesaj")</calculatedColumnFormula>
    </tableColumn>
    <tableColumn id="27" xr3:uid="{B0AF515E-8E81-42A4-9122-B06511EC3588}" name="Təhvil" dataDxfId="77">
      <calculatedColumnFormula>HYPERLINK("https://web.whatsapp.com/send?phone="&amp;I3&amp;"&amp;text="&amp;AV3,"Mesaj")</calculatedColumnFormula>
    </tableColumn>
    <tableColumn id="28" xr3:uid="{88C3ACA4-AAAA-4317-9C73-11E69FB82819}" name="Qəbul statusu" dataDxfId="76">
      <calculatedColumnFormula>IF(ISNA(VLOOKUP(Tablo7[[#This Row],[Sifariş kodu]],'Kəsim ve təhvil'!$E$5:$E1001,1,0)),"Qəbul edilməyib","Qəbul edilib")</calculatedColumnFormula>
    </tableColumn>
    <tableColumn id="29" xr3:uid="{01B2660D-5764-49D7-887D-6B0A3F45A410}" name="Təhvil statusu" dataDxfId="75">
      <calculatedColumnFormula>IF(ISNA(VLOOKUP(Tablo7[[#This Row],[Sifariş kodu]],'Kəsim ve təhvil'!$H$5:$H1001,1,0)),"Anbardadır","Təhvil verilib")</calculatedColumnFormula>
    </tableColumn>
    <tableColumn id="30" xr3:uid="{5BC298CC-2819-4BC0-B9B9-898C8C797663}" name="Qəbul mesajı" dataDxfId="74">
      <calculatedColumnFormula>"Hörmətli *"&amp;Tablo7[[#This Row],[Müştəri]]&amp;"*  ,Sizin *"&amp;G3&amp;"* tarixli sifarişiniz qeydə alındı. Sifariş Məbləğı *"&amp;AM3&amp;" AZN* , Qalıq *"&amp;AP3&amp;" AZN* . Hörmətlə  *AlumPro*"</calculatedColumnFormula>
    </tableColumn>
    <tableColumn id="31" xr3:uid="{C7B95CD9-6652-4EA6-9767-680F53D6BB61}" name="Təhvil mesajı" dataDxfId="73">
      <calculatedColumnFormula>"Hörmətli *"&amp;Tablo7[[#This Row],[Müştəri]]&amp;"* , sizin *"&amp;G3&amp;"* tarixli  sifarişiniz hazırdır . Bizi seçdiyiniz üçün minnətdarıq. Hörmətlə  *AlumPro*."</calculatedColumnFormula>
    </tableColumn>
    <tableColumn id="32" xr3:uid="{1F1F9A38-BE77-49D4-8F1B-023F0181FEA3}" name="Ad" dataDxfId="72">
      <calculatedColumnFormula>SUBSTITUTE(AX3," ","")</calculatedColumnFormula>
    </tableColumn>
    <tableColumn id="33" xr3:uid="{B893B681-2762-46D2-8DB5-9B9717576FF1}" name="Ad2" dataDxfId="71">
      <calculatedColumnFormula>LEFT(H3,FIND("*",SUBSTITUTE(H3," ","*",1)))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784781-982E-4590-A5DC-6C333DA836FD}" name="Tablo5" displayName="Tablo5" ref="D2:N313" totalsRowShown="0" headerRowDxfId="70" headerRowBorderDxfId="68" tableBorderDxfId="69" totalsRowBorderDxfId="67">
  <autoFilter ref="D2:N313" xr:uid="{B9784781-982E-4590-A5DC-6C333DA836FD}"/>
  <tableColumns count="11">
    <tableColumn id="1" xr3:uid="{A7748477-3B91-4AD1-8B2C-303BC0DEC930}" name="Müştəri" dataDxfId="66"/>
    <tableColumn id="2" xr3:uid="{79D2A27F-9F29-4800-9A16-581B066E6C3E}" name="Telefon" dataDxfId="65"/>
    <tableColumn id="3" xr3:uid="{AF8501F4-2AF2-4636-BFEA-8DDC01EA10C2}" name="Sifariş sayı" dataDxfId="64"/>
    <tableColumn id="4" xr3:uid="{036C0C1C-739D-49EB-81FC-2965EC4869CE}" name="Ümumi məbləğ" dataDxfId="63"/>
    <tableColumn id="5" xr3:uid="{003F746B-875C-4764-B5B0-11D2A3E7A178}" name="Ödəniş" dataDxfId="62"/>
    <tableColumn id="6" xr3:uid="{86A344AA-442F-4522-97F1-6F3F0FF14F67}" name="Qalıq" dataDxfId="61"/>
    <tableColumn id="7" xr3:uid="{3A0D99D6-4024-4F5C-9473-B9F40AA4174C}" name="Whatsapp" dataDxfId="60"/>
    <tableColumn id="8" xr3:uid="{6799EEA2-7D4D-446B-9C89-165C1DDEEC7C}" name="Ad" dataDxfId="59"/>
    <tableColumn id="9" xr3:uid="{703D6134-7D4A-4515-8C19-04437B1A0720}" name="Ad2" dataDxfId="58">
      <calculatedColumnFormula>LEFT(D3,FIND("*",SUBSTITUTE(D3," ","*",1)))</calculatedColumnFormula>
    </tableColumn>
    <tableColumn id="10" xr3:uid="{D37576E1-9130-4817-A664-26041C37A86A}" name="Ödəniş mesajı" dataDxfId="57"/>
    <tableColumn id="11" xr3:uid="{35A0BDA9-4E23-4BE2-B4AD-1AC91229FD9B}" name="Sütun1" dataDxfId="5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37F400-F279-4737-AA8B-E1641F5E0AF4}" name="Tablo4" displayName="Tablo4" ref="T25:V34" totalsRowShown="0" headerRowDxfId="55" headerRowBorderDxfId="53" tableBorderDxfId="54" totalsRowBorderDxfId="52">
  <autoFilter ref="T25:V34" xr:uid="{3337F400-F279-4737-AA8B-E1641F5E0AF4}">
    <filterColumn colId="0" hiddenButton="1"/>
    <filterColumn colId="1" hiddenButton="1"/>
    <filterColumn colId="2" hiddenButton="1"/>
  </autoFilter>
  <tableColumns count="3">
    <tableColumn id="1" xr3:uid="{F8412952-69F9-4C16-9A67-5E8762A5777F}" name="Şüşə" dataDxfId="51"/>
    <tableColumn id="2" xr3:uid="{F5B61EF3-6C8B-4D21-8079-D308A1A9CA7C}" name="Güzgü" dataDxfId="50"/>
    <tableColumn id="3" xr3:uid="{AAB3E94A-5566-4933-9A50-B14F94A4FC78}" name="Temper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4D0314-00CA-4241-9B65-48D9B65BF849}" name="Tablo3" displayName="Tablo3" ref="D2:I10" totalsRowShown="0" dataDxfId="48" tableBorderDxfId="47">
  <autoFilter ref="D2:I10" xr:uid="{284D0314-00CA-4241-9B65-48D9B65BF8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BF9FE457-E39F-41C4-85C3-274D78FB3503}" name="Tədarükçü" dataDxfId="46"/>
    <tableColumn id="2" xr3:uid="{E7CFC84F-3652-4C58-B663-EDD82DB885D6}" name="Məhsul adı" dataDxfId="45"/>
    <tableColumn id="3" xr3:uid="{9E94AA2A-977F-45BE-B051-922FB47944CE}" name="Tip" dataDxfId="44"/>
    <tableColumn id="4" xr3:uid="{C9730164-493A-4A6E-B54E-C9684764C99D}" name="Giriş m²" dataDxfId="43"/>
    <tableColumn id="5" xr3:uid="{D588B730-5E52-4213-B0DA-461E83E8E4D2}" name="Alış qiyməti" dataDxfId="42">
      <calculatedColumnFormula>_xlfn.XLOOKUP(F3,Məlumatlar!$D$3:$D$17,Məlumatlar!$E$3:$E$17)</calculatedColumnFormula>
    </tableColumn>
    <tableColumn id="6" xr3:uid="{EF9EF26D-0E1A-4866-9A65-7267CCE72D6D}" name="Satış qiyməti" dataDxfId="41">
      <calculatedColumnFormula>_xlfn.XLOOKUP(F3,Məlumatlar!$D$3:$D$17,Məlumatlar!$F$3:$F$17)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D62BEA-F79A-4CF2-ACCC-98CFE54F1FD4}" name="Tablo6" displayName="Tablo6" ref="D2:S184" totalsRowShown="0" headerRowDxfId="40" dataDxfId="39" headerRowBorderDxfId="37" tableBorderDxfId="38" totalsRowBorderDxfId="36">
  <autoFilter ref="D2:S184" xr:uid="{2CD62BEA-F79A-4CF2-ACCC-98CFE54F1FD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F6B36B1-E2A6-4B38-BE88-D4A10D330597}" name="Giriş tarixi" dataDxfId="35">
      <calculatedColumnFormula>DATE(2024,11,20)</calculatedColumnFormula>
    </tableColumn>
    <tableColumn id="2" xr3:uid="{033B0A06-600C-4603-97E8-9510AE003B16}" name="Məhsul adı" dataDxfId="34"/>
    <tableColumn id="13" xr3:uid="{7D6C4D2E-EE91-4046-8E1D-AB25B3D995EC}" name="Tip" dataDxfId="33"/>
    <tableColumn id="4" xr3:uid="{08343A40-1321-4A73-9340-DF96DCD7C678}" name="Rəng" dataDxfId="32"/>
    <tableColumn id="11" xr3:uid="{8D00145F-20D3-4401-B9A7-94153BF56761}" name="Məhsul kodu" dataDxfId="31"/>
    <tableColumn id="3" xr3:uid="{744452F3-3F3E-4EE0-9B9B-B570113B1D24}" name="Qisa ad" dataDxfId="30">
      <calculatedColumnFormula>CONCATENATE(Tablo6[[#This Row],[Məhsul adı]]," ",Tablo6[[#This Row],[Rəng]])</calculatedColumnFormula>
    </tableColumn>
    <tableColumn id="12" xr3:uid="{B9F4ED46-414D-408D-8BC2-4C830CE49DE5}" name="Uzun ad" dataDxfId="29">
      <calculatedColumnFormula>CONCATENATE(Tablo6[[#This Row],[Məhsul adı]]," ",Tablo6[[#This Row],[Tip]]," ",Tablo6[[#This Row],[Rəng]])</calculatedColumnFormula>
    </tableColumn>
    <tableColumn id="5" xr3:uid="{F8D88070-F428-469E-9159-668B42F44E57}" name="Ölçü vahidi" dataDxfId="28"/>
    <tableColumn id="6" xr3:uid="{624AFB32-A2E4-4813-8509-C07843DF7EA9}" name="Giriş sayı" dataDxfId="27"/>
    <tableColumn id="7" xr3:uid="{67F97C26-3BA3-4001-A543-673A67945643}" name="Alış qiyməti" dataDxfId="26"/>
    <tableColumn id="14" xr3:uid="{1BEFECD8-0D90-4D0D-9C75-149F66212795}" name="Ümumi alış məbləği" dataDxfId="25">
      <calculatedColumnFormula>Tablo6[[#This Row],[Alış qiyməti]]*Tablo6[[#This Row],[Giriş sayı]]</calculatedColumnFormula>
    </tableColumn>
    <tableColumn id="8" xr3:uid="{80A92D56-0D66-4C2C-9B7F-0E95F1C3ADCF}" name="Satış qiyməti" dataDxfId="24"/>
    <tableColumn id="15" xr3:uid="{B0ED590D-867B-4EEF-ABC0-E0253033B76F}" name="Ümumi satış məbləği" dataDxfId="23">
      <calculatedColumnFormula>Tablo6[[#This Row],[Satılan sayı]]*Tablo6[[#This Row],[Satış qiyməti]]</calculatedColumnFormula>
    </tableColumn>
    <tableColumn id="16" xr3:uid="{F62163D9-3382-46B7-A00B-4FB0C92098E4}" name="Qazanc" dataDxfId="22">
      <calculatedColumnFormula>(Tablo6[[#This Row],[Satış qiyməti]]-Tablo6[[#This Row],[Alış qiyməti]])*Tablo6[[#This Row],[Satılan sayı]]</calculatedColumnFormula>
    </tableColumn>
    <tableColumn id="9" xr3:uid="{E058C346-A1A3-4E71-B628-F2DCD9313A0C}" name="Satılan sayı" dataDxfId="21">
      <calculatedColumnFormula>SUMIF(Sifarisler!$M:$AH,Tablo6[[#This Row],[Məhsul kodu]],Sifarisler!N:AH)</calculatedColumnFormula>
    </tableColumn>
    <tableColumn id="10" xr3:uid="{8CD574E7-FAC0-482E-B956-9147B670024B}" name="Anbarda qalan" dataDxfId="20">
      <calculatedColumnFormula>Tablo6[[#This Row],[Giriş sayı]]-Tablo6[[#This Row],[Satılan sayı]]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FC464C-A326-4067-9DB4-79B9A9D3D099}" name="Таблица22" displayName="Таблица22" ref="D2:H7" totalsRowShown="0" headerRowDxfId="19" dataDxfId="18" headerRowBorderDxfId="16" tableBorderDxfId="17" totalsRowBorderDxfId="15">
  <autoFilter ref="D2:H7" xr:uid="{23FC464C-A326-4067-9DB4-79B9A9D3D09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016723E-29F2-4071-9A76-A1707D8BAC20}" name="Istifadeci adi" dataDxfId="14"/>
    <tableColumn id="5" xr3:uid="{83316402-A932-4338-9A33-428B86BBE6AB}" name="Sifre" dataDxfId="13"/>
    <tableColumn id="2" xr3:uid="{37F791EE-6F1B-4456-84ED-9B3EEEAF33B3}" name="Adi" dataDxfId="12"/>
    <tableColumn id="3" xr3:uid="{2B8C988D-DE6D-429D-87AB-ECA293100D20}" name="Vezife" dataDxfId="11"/>
    <tableColumn id="4" xr3:uid="{C92C7FD4-F583-482B-93E9-68AAF5A2E2E2}" name="Status" dataDxfId="1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D436CA-E6A4-4CE4-9B49-81EFD684B87D}" name="Таблица223" displayName="Таблица223" ref="D2:H83" totalsRowShown="0" headerRowDxfId="9" dataDxfId="8" headerRowBorderDxfId="6" tableBorderDxfId="7" totalsRowBorderDxfId="5">
  <autoFilter ref="D2:H83" xr:uid="{23FC464C-A326-4067-9DB4-79B9A9D3D09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9409A81-3452-4870-BBD4-E2356851BAF7}" name="Istifadeci adi" dataDxfId="4"/>
    <tableColumn id="5" xr3:uid="{9F13B1C0-F425-4D1F-AA95-15776992F2FE}" name="Sifre" dataDxfId="3"/>
    <tableColumn id="2" xr3:uid="{94F9D41F-1F62-48E9-8E8C-4F6EFDAEC6C2}" name="Giriş tarixi" dataDxfId="2"/>
    <tableColumn id="3" xr3:uid="{CA86584A-B987-4DA7-A5A3-7B8B27ED6E70}" name="Giriş saatı" dataDxfId="1"/>
    <tableColumn id="4" xr3:uid="{708919A6-EBDE-4105-B250-F364F9F6D7CA}" name="Vaxt" dataDxfId="0">
      <calculatedColumnFormula>Таблица223[[#This Row],[Giriş tarixi]]+Таблица223[[#This Row],[Giriş saatı]]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Alumpro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DAD7CD"/>
      </a:accent1>
      <a:accent2>
        <a:srgbClr val="A3B18A"/>
      </a:accent2>
      <a:accent3>
        <a:srgbClr val="588157"/>
      </a:accent3>
      <a:accent4>
        <a:srgbClr val="3A5A40"/>
      </a:accent4>
      <a:accent5>
        <a:srgbClr val="344E41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DB8D0DB-139D-4789-9151-C6B9B0A63D36}">
  <we:reference id="wa104381026" version="1.2.0.0" store="ru-RU" storeType="OMEX"/>
  <we:alternateReferences>
    <we:reference id="WA104381026" version="1.2.0.0" store="" storeType="OMEX"/>
  </we:alternateReferences>
  <we:properties>
    <we:property name="Office.AutoShowTaskpaneWithDocument" value="true"/>
    <we:property name="insertIntoCell" value="&quot;&quot;"/>
    <we:property name="insertIntoSheet2" value="&quot;Kəsim ve təhvil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hyperlink" Target="mailto:aygun44@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FCBF5-370B-4360-9EEB-DEA8622629F4}">
  <sheetPr codeName="Sayfa8"/>
  <dimension ref="A1:AD47"/>
  <sheetViews>
    <sheetView topLeftCell="M1" zoomScale="70" zoomScaleNormal="70" workbookViewId="0">
      <selection activeCell="V3" sqref="V3"/>
    </sheetView>
  </sheetViews>
  <sheetFormatPr defaultRowHeight="15"/>
  <cols>
    <col min="1" max="1" width="7.28515625" style="37" customWidth="1"/>
    <col min="2" max="2" width="23.28515625" style="33" hidden="1" customWidth="1"/>
    <col min="3" max="3" width="5.7109375" style="36" customWidth="1"/>
    <col min="4" max="4" width="7.85546875" customWidth="1"/>
    <col min="5" max="5" width="16.28515625" customWidth="1"/>
    <col min="6" max="6" width="10.5703125" customWidth="1"/>
    <col min="7" max="7" width="2.7109375" customWidth="1"/>
    <col min="8" max="8" width="22.42578125" customWidth="1"/>
    <col min="9" max="9" width="16" customWidth="1"/>
    <col min="10" max="10" width="16.7109375" customWidth="1"/>
    <col min="11" max="11" width="13.140625" customWidth="1"/>
    <col min="12" max="12" width="8.28515625" customWidth="1"/>
    <col min="13" max="13" width="7.85546875" customWidth="1"/>
    <col min="14" max="14" width="10.85546875" customWidth="1"/>
    <col min="15" max="15" width="13.140625" customWidth="1"/>
    <col min="16" max="16" width="12.28515625" customWidth="1"/>
    <col min="17" max="17" width="11.7109375" customWidth="1"/>
    <col min="18" max="18" width="9.140625" customWidth="1"/>
    <col min="19" max="19" width="24.28515625" customWidth="1"/>
    <col min="20" max="20" width="13.5703125" customWidth="1"/>
    <col min="21" max="21" width="22" customWidth="1"/>
    <col min="22" max="22" width="29.28515625" customWidth="1"/>
    <col min="23" max="23" width="14.7109375" customWidth="1"/>
    <col min="24" max="24" width="29.28515625" customWidth="1"/>
    <col min="25" max="26" width="14" customWidth="1"/>
    <col min="27" max="27" width="24.5703125" customWidth="1"/>
    <col min="28" max="28" width="11.140625" customWidth="1"/>
    <col min="29" max="31" width="14" customWidth="1"/>
  </cols>
  <sheetData>
    <row r="1" spans="2:29" ht="66" customHeight="1" thickBot="1">
      <c r="B1" s="25"/>
      <c r="C1" s="34"/>
      <c r="D1" s="22"/>
      <c r="E1" s="22"/>
      <c r="F1" s="22"/>
      <c r="G1" s="22"/>
      <c r="H1" s="280" t="str">
        <f>CONCATENATE("*ALUMPRO",$J$3,"*")</f>
        <v>*ALUMPRO334*</v>
      </c>
      <c r="I1" s="280"/>
      <c r="J1" s="280"/>
      <c r="K1" s="47"/>
      <c r="L1" s="14"/>
      <c r="M1" s="22"/>
      <c r="N1" s="22"/>
      <c r="O1" s="22"/>
      <c r="P1" s="22"/>
      <c r="Q1" s="22"/>
      <c r="R1" s="312" t="str">
        <f>CONCATENATE("*ALUMPRO",$J$3,"*")</f>
        <v>*ALUMPRO334*</v>
      </c>
      <c r="S1" s="312"/>
      <c r="V1" s="333" t="s">
        <v>0</v>
      </c>
      <c r="W1" s="333"/>
      <c r="X1" s="333"/>
      <c r="Y1" s="333"/>
      <c r="Z1" s="333"/>
      <c r="AA1" s="121"/>
    </row>
    <row r="2" spans="2:29" ht="15" customHeight="1" thickBot="1">
      <c r="D2" s="85"/>
      <c r="E2" s="85"/>
      <c r="F2" s="85"/>
      <c r="G2" s="85"/>
      <c r="H2" s="85"/>
      <c r="I2" s="85"/>
      <c r="J2" s="85"/>
      <c r="K2" s="14"/>
      <c r="L2" s="14"/>
      <c r="M2" s="85"/>
      <c r="N2" s="85"/>
      <c r="O2" s="85"/>
      <c r="P2" s="85"/>
      <c r="Q2" s="85"/>
      <c r="R2" s="85"/>
      <c r="S2" s="85"/>
      <c r="V2" s="156" t="s">
        <v>1</v>
      </c>
      <c r="W2" s="124" t="s">
        <v>2</v>
      </c>
      <c r="X2" s="122" t="s">
        <v>3</v>
      </c>
      <c r="Y2" s="42" t="s">
        <v>4</v>
      </c>
      <c r="Z2" s="42" t="s">
        <v>5</v>
      </c>
    </row>
    <row r="3" spans="2:29" ht="19.5" thickBot="1">
      <c r="D3" s="290" t="s">
        <v>6</v>
      </c>
      <c r="E3" s="291"/>
      <c r="F3" s="219" t="s">
        <v>7</v>
      </c>
      <c r="G3" s="292" t="s">
        <v>8</v>
      </c>
      <c r="H3" s="292"/>
      <c r="I3" s="220" t="s">
        <v>9</v>
      </c>
      <c r="J3" s="221">
        <f>Tablo7[[#This Row],[Sifariş  №  ]]+1</f>
        <v>334</v>
      </c>
      <c r="K3" s="29"/>
      <c r="L3" s="30"/>
      <c r="M3" s="313" t="str">
        <f>D3</f>
        <v>23,12,2024</v>
      </c>
      <c r="N3" s="314"/>
      <c r="O3" s="132" t="s">
        <v>7</v>
      </c>
      <c r="P3" s="320" t="str">
        <f>G3</f>
        <v>Elnur Liva Mebel</v>
      </c>
      <c r="Q3" s="321"/>
      <c r="R3" s="133" t="s">
        <v>9</v>
      </c>
      <c r="S3" s="134">
        <f>J3</f>
        <v>334</v>
      </c>
      <c r="U3" s="215" t="str">
        <f>HYPERLINK("https://web.whatsapp.com/send?phone="&amp;V12&amp;"&amp;text="&amp;Y14,"Müştəriyə Göndər")</f>
        <v>Müştəriyə Göndər</v>
      </c>
      <c r="V3" s="214" t="s">
        <v>10</v>
      </c>
      <c r="W3" s="15">
        <f>COUNTIF(Sifarisler!$H3:$H$10345,V3)</f>
        <v>5</v>
      </c>
      <c r="X3" s="123">
        <f>SUMIF(Sifarisler!$H$3:$H$10345,V3,Sifarisler!$AM$3:$AM$10345)</f>
        <v>7194</v>
      </c>
      <c r="Y3" s="123">
        <f>SUMIF(Sifarisler!$H$3:$H$10086,V3,Sifarisler!$AO$3:$AO$10086)</f>
        <v>1265</v>
      </c>
      <c r="Z3" s="123">
        <f>SUMIF(Sifarisler!$H$3:$H$10345,V3,Sifarisler!$AP$3:$AP$10345)</f>
        <v>5929</v>
      </c>
    </row>
    <row r="4" spans="2:29" ht="19.5" thickBot="1">
      <c r="D4" s="222" t="s">
        <v>11</v>
      </c>
      <c r="E4" s="223" t="str">
        <f>Istifadeci!J3</f>
        <v>Vusal</v>
      </c>
      <c r="F4" s="299" t="s">
        <v>12</v>
      </c>
      <c r="G4" s="300"/>
      <c r="H4" s="300"/>
      <c r="I4" s="302"/>
      <c r="J4" s="303"/>
      <c r="K4" s="29"/>
      <c r="L4" s="31"/>
      <c r="M4" s="277" t="s">
        <v>11</v>
      </c>
      <c r="N4" s="135" t="str">
        <f>E4</f>
        <v>Vusal</v>
      </c>
      <c r="O4" s="315" t="s">
        <v>12</v>
      </c>
      <c r="P4" s="316"/>
      <c r="Q4" s="316"/>
      <c r="R4" s="319"/>
      <c r="S4" s="319"/>
      <c r="U4" s="213" t="str">
        <f>HYPERLINK("https://web.whatsapp.com/send?phone=994555821220&amp;text="&amp;AA14,"İstehsalata Göndər")</f>
        <v>İstehsalata Göndər</v>
      </c>
    </row>
    <row r="5" spans="2:29" ht="16.5">
      <c r="D5" s="224" t="s">
        <v>13</v>
      </c>
      <c r="E5" s="301" t="s">
        <v>14</v>
      </c>
      <c r="F5" s="289"/>
      <c r="G5" s="225"/>
      <c r="H5" s="279" t="s">
        <v>15</v>
      </c>
      <c r="I5" s="288" t="s">
        <v>16</v>
      </c>
      <c r="J5" s="289"/>
      <c r="K5" s="29"/>
      <c r="L5" s="29"/>
      <c r="M5" s="136" t="s">
        <v>17</v>
      </c>
      <c r="N5" s="317" t="str">
        <f>E5</f>
        <v>45 Profil  Qara</v>
      </c>
      <c r="O5" s="318"/>
      <c r="P5" s="137"/>
      <c r="Q5" s="138" t="s">
        <v>15</v>
      </c>
      <c r="R5" s="317" t="s">
        <v>18</v>
      </c>
      <c r="S5" s="318"/>
    </row>
    <row r="6" spans="2:29" ht="16.5">
      <c r="D6" s="226"/>
      <c r="E6" s="226"/>
      <c r="F6" s="226"/>
      <c r="G6" s="226"/>
      <c r="H6" s="226"/>
      <c r="I6" s="226"/>
      <c r="J6" s="226"/>
      <c r="K6" s="29"/>
      <c r="L6" s="29"/>
      <c r="M6" s="88"/>
      <c r="N6" s="88"/>
      <c r="O6" s="88"/>
      <c r="P6" s="88"/>
      <c r="Q6" s="88"/>
      <c r="R6" s="88"/>
      <c r="S6" s="88"/>
      <c r="U6" s="334" t="s">
        <v>19</v>
      </c>
      <c r="V6" s="335"/>
    </row>
    <row r="7" spans="2:29" ht="16.5">
      <c r="D7" s="227"/>
      <c r="E7" s="228" t="s">
        <v>20</v>
      </c>
      <c r="F7" s="229" t="s">
        <v>21</v>
      </c>
      <c r="G7" s="228" t="s">
        <v>22</v>
      </c>
      <c r="H7" s="229" t="s">
        <v>23</v>
      </c>
      <c r="I7" s="278" t="s">
        <v>24</v>
      </c>
      <c r="J7" s="227"/>
      <c r="M7" s="131"/>
      <c r="N7" s="126"/>
      <c r="O7" s="307" t="s">
        <v>25</v>
      </c>
      <c r="P7" s="308"/>
      <c r="Q7" s="308"/>
      <c r="R7" s="309"/>
      <c r="S7" s="131"/>
      <c r="U7" s="190" t="s">
        <v>26</v>
      </c>
      <c r="V7" s="157">
        <f>J3</f>
        <v>334</v>
      </c>
      <c r="AC7" s="119" t="str">
        <f>IF(J11="Qulp 110",(1*P9)&amp;"boy",IF(J11="Qulp 110 sol",(1*P9)&amp;"boy",IF(J11="Qulp 110 sağ",(1*P9)&amp;"boy",IF(J11="Qulp 20",(1*P9)&amp;"boy",IF(J11="Qulp 20 sol",(1*P9)&amp;"boy",IF(J11="Qulp 20 sağ",(1*P9)&amp;"boy",IF(J11="B.Q",ROUNDUP((K11*P9)*0.01/3,0)&amp;"boy",IF(J11="3 qulplu",(K11*P9)*0.01,IF(J11="2 qulplu",(K11*P9)*0.01,"Lazim deyil")))))))))</f>
        <v>Lazim deyil</v>
      </c>
    </row>
    <row r="8" spans="2:29" ht="16.5">
      <c r="D8" s="87"/>
      <c r="E8" s="230" t="s">
        <v>27</v>
      </c>
      <c r="F8" s="231">
        <v>278</v>
      </c>
      <c r="G8" s="230" t="s">
        <v>22</v>
      </c>
      <c r="H8" s="231">
        <v>51.4</v>
      </c>
      <c r="I8" s="232">
        <v>1</v>
      </c>
      <c r="J8" s="87"/>
      <c r="M8" s="339" t="s">
        <v>28</v>
      </c>
      <c r="N8" s="340"/>
      <c r="O8" s="129"/>
      <c r="P8" s="129"/>
      <c r="Q8" s="129"/>
      <c r="R8" s="147"/>
      <c r="S8" s="143">
        <v>15</v>
      </c>
      <c r="U8" s="190" t="s">
        <v>29</v>
      </c>
      <c r="V8" s="112" t="str">
        <f>H1</f>
        <v>*ALUMPRO334*</v>
      </c>
      <c r="AC8" s="112" t="str">
        <f>IF(J7="Qulp 110",(K7*#REF!)*0.01,"Lazim deyil")</f>
        <v>Lazim deyil</v>
      </c>
    </row>
    <row r="9" spans="2:29" ht="16.5">
      <c r="D9" s="87"/>
      <c r="E9" s="230" t="s">
        <v>30</v>
      </c>
      <c r="F9" s="231">
        <v>278</v>
      </c>
      <c r="G9" s="230"/>
      <c r="H9" s="231">
        <v>51.4</v>
      </c>
      <c r="I9" s="232">
        <v>1</v>
      </c>
      <c r="J9" s="87"/>
      <c r="K9" s="29"/>
      <c r="M9" s="310" t="s">
        <v>31</v>
      </c>
      <c r="N9" s="311"/>
      <c r="O9" s="152">
        <v>5</v>
      </c>
      <c r="P9" s="139" t="s">
        <v>32</v>
      </c>
      <c r="Q9" s="142">
        <v>3</v>
      </c>
      <c r="R9" s="139" t="s">
        <v>33</v>
      </c>
      <c r="S9" s="142">
        <f>O9*Q9</f>
        <v>15</v>
      </c>
      <c r="U9" s="190" t="s">
        <v>34</v>
      </c>
      <c r="V9" s="112" t="str">
        <f>E4</f>
        <v>Vusal</v>
      </c>
    </row>
    <row r="10" spans="2:29" ht="19.5">
      <c r="D10" s="87"/>
      <c r="E10" s="89"/>
      <c r="F10" s="120"/>
      <c r="G10" s="89"/>
      <c r="H10" s="120"/>
      <c r="I10" s="90"/>
      <c r="J10" s="87"/>
      <c r="K10" s="29"/>
      <c r="M10" s="304" t="s">
        <v>35</v>
      </c>
      <c r="N10" s="306"/>
      <c r="O10" s="153"/>
      <c r="Q10" s="153"/>
      <c r="R10" s="153"/>
      <c r="S10" s="144" t="s">
        <v>36</v>
      </c>
      <c r="U10" s="191" t="s">
        <v>37</v>
      </c>
      <c r="V10" s="211" t="s">
        <v>38</v>
      </c>
    </row>
    <row r="11" spans="2:29" ht="19.5">
      <c r="D11" s="87"/>
      <c r="E11" s="89"/>
      <c r="F11" s="120"/>
      <c r="G11" s="89"/>
      <c r="H11" s="120"/>
      <c r="I11" s="90"/>
      <c r="J11" s="87"/>
      <c r="K11" s="29"/>
      <c r="M11" s="322" t="s">
        <v>39</v>
      </c>
      <c r="N11" s="323"/>
      <c r="O11" s="154">
        <v>30</v>
      </c>
      <c r="P11" s="139" t="s">
        <v>40</v>
      </c>
      <c r="Q11" s="155">
        <f>_xlfn.XLOOKUP(S10,Məlumatlar!$D$3:$D$36,Məlumatlar!$F$3:$F$36)</f>
        <v>25</v>
      </c>
      <c r="R11" s="139" t="s">
        <v>33</v>
      </c>
      <c r="S11" s="145">
        <f>O11*Q11</f>
        <v>750</v>
      </c>
      <c r="U11" s="192" t="s">
        <v>1</v>
      </c>
      <c r="V11" s="112" t="s">
        <v>41</v>
      </c>
    </row>
    <row r="12" spans="2:29" ht="19.5">
      <c r="D12" s="87"/>
      <c r="J12" s="87"/>
      <c r="K12" s="29"/>
      <c r="M12" s="126"/>
      <c r="N12" s="126"/>
      <c r="O12" s="126"/>
      <c r="P12" s="126"/>
      <c r="Q12" s="126"/>
      <c r="R12" s="126"/>
      <c r="S12" s="129"/>
      <c r="U12" s="192" t="s">
        <v>42</v>
      </c>
      <c r="V12" s="112" t="str">
        <f>_xlfn.XLOOKUP(V11,Müştərilər!$D$3:$D$1048,Müştərilər!$E$3:$E$1048)</f>
        <v>994773337525</v>
      </c>
    </row>
    <row r="13" spans="2:29" ht="20.25" thickBot="1">
      <c r="D13" s="87"/>
      <c r="J13" s="87"/>
      <c r="K13" s="29"/>
      <c r="M13" s="126"/>
      <c r="N13" s="126"/>
      <c r="O13" s="307" t="s">
        <v>43</v>
      </c>
      <c r="P13" s="308"/>
      <c r="Q13" s="308"/>
      <c r="R13" s="309"/>
      <c r="S13" s="126"/>
      <c r="U13" s="192" t="s">
        <v>44</v>
      </c>
      <c r="V13" s="112">
        <v>0</v>
      </c>
    </row>
    <row r="14" spans="2:29" ht="19.5">
      <c r="D14" s="87"/>
      <c r="E14" s="87"/>
      <c r="F14" s="87"/>
      <c r="G14" s="87"/>
      <c r="H14" s="87"/>
      <c r="I14" s="87"/>
      <c r="J14" s="87"/>
      <c r="K14" s="29"/>
      <c r="L14" s="29"/>
      <c r="M14" s="304" t="s">
        <v>45</v>
      </c>
      <c r="N14" s="306"/>
      <c r="O14" s="149">
        <v>5</v>
      </c>
      <c r="P14" s="140" t="s">
        <v>46</v>
      </c>
      <c r="Q14" s="151">
        <v>25</v>
      </c>
      <c r="R14" s="139" t="s">
        <v>33</v>
      </c>
      <c r="S14" s="142">
        <f>Q14*O14</f>
        <v>125</v>
      </c>
      <c r="U14" s="192" t="s">
        <v>47</v>
      </c>
      <c r="V14" s="112" t="s">
        <v>48</v>
      </c>
      <c r="Y14" s="324" t="str">
        <f>"Hörmətli *"&amp;V11&amp;"*  ,Sizin *"&amp;V10&amp;"* tarixli sifarişiniz qeydə alındı. Sifariş Məbləğı *"&amp;V42&amp;" AZN* , Qalıq *"&amp;V45&amp;" AZN* . Hörmətlə  *AlumPro*"</f>
        <v>Hörmətli *Fariz Faiq*  ,Sizin *15,01,2024* tarixli sifarişiniz qeydə alındı. Sifariş Məbləğı *1651 AZN* , Qalıq *1651 AZN* . Hörmətlə  *AlumPro*</v>
      </c>
      <c r="Z14" s="325"/>
      <c r="AA14" s="330" t="str">
        <f>"*"&amp;V10&amp;"* tarixli, *"&amp;V8&amp;"* saylı sifariş qeydə alındı və ölçülər çap üçün göndərildi. Sifariş sənədlərini götürün  . Hörmətlə  *AlumPro*"</f>
        <v>*15,01,2024* tarixli, **ALUMPRO334** saylı sifariş qeydə alındı və ölçülər çap üçün göndərildi. Sifariş sənədlərini götürün  . Hörmətlə  *AlumPro*</v>
      </c>
    </row>
    <row r="15" spans="2:29" ht="17.25" customHeight="1">
      <c r="D15" s="293"/>
      <c r="E15" s="294"/>
      <c r="F15" s="294"/>
      <c r="G15" s="294"/>
      <c r="H15" s="294"/>
      <c r="I15" s="294"/>
      <c r="J15" s="295"/>
      <c r="K15" s="29"/>
      <c r="L15" s="29"/>
      <c r="M15" s="322" t="s">
        <v>49</v>
      </c>
      <c r="N15" s="323"/>
      <c r="O15" s="146">
        <v>3</v>
      </c>
      <c r="P15" s="140" t="s">
        <v>50</v>
      </c>
      <c r="Q15" s="151">
        <v>25</v>
      </c>
      <c r="R15" s="141" t="s">
        <v>33</v>
      </c>
      <c r="S15" s="142">
        <f>Q15*O15</f>
        <v>75</v>
      </c>
      <c r="U15" s="192" t="s">
        <v>51</v>
      </c>
      <c r="V15" s="112" t="s">
        <v>52</v>
      </c>
      <c r="Y15" s="326"/>
      <c r="Z15" s="327"/>
      <c r="AA15" s="331"/>
    </row>
    <row r="16" spans="2:29" ht="16.5" customHeight="1" thickBot="1">
      <c r="D16" s="296"/>
      <c r="E16" s="297"/>
      <c r="F16" s="297"/>
      <c r="G16" s="297"/>
      <c r="H16" s="297"/>
      <c r="I16" s="297"/>
      <c r="J16" s="298"/>
      <c r="K16" s="29"/>
      <c r="L16" s="29"/>
      <c r="M16" s="341" t="s">
        <v>53</v>
      </c>
      <c r="N16" s="342"/>
      <c r="O16" s="148">
        <v>1</v>
      </c>
      <c r="P16" s="139" t="s">
        <v>50</v>
      </c>
      <c r="Q16" s="151">
        <v>65</v>
      </c>
      <c r="R16" s="141" t="s">
        <v>33</v>
      </c>
      <c r="S16" s="142">
        <f>Q16*O16</f>
        <v>65</v>
      </c>
      <c r="U16" s="192" t="s">
        <v>54</v>
      </c>
      <c r="V16" s="112" t="str">
        <f>_xlfn.XLOOKUP(V15,Anbar!$J$3:$J$1000,Anbar!$H$3:$H$1000,"Tapilmadi")</f>
        <v>PRF002</v>
      </c>
      <c r="Y16" s="326"/>
      <c r="Z16" s="327"/>
      <c r="AA16" s="332"/>
    </row>
    <row r="17" spans="4:30" ht="18" customHeight="1">
      <c r="D17" s="282"/>
      <c r="E17" s="283"/>
      <c r="F17" s="283"/>
      <c r="G17" s="283"/>
      <c r="H17" s="283"/>
      <c r="I17" s="283"/>
      <c r="J17" s="284"/>
      <c r="K17" s="29"/>
      <c r="L17" s="29"/>
      <c r="M17" s="126"/>
      <c r="N17" s="126"/>
      <c r="O17" s="126"/>
      <c r="P17" s="126"/>
      <c r="Q17" s="126"/>
      <c r="R17" s="126"/>
      <c r="S17" s="129"/>
      <c r="U17" s="192" t="s">
        <v>55</v>
      </c>
      <c r="V17" s="112">
        <v>5</v>
      </c>
      <c r="Y17" s="326"/>
      <c r="Z17" s="327"/>
    </row>
    <row r="18" spans="4:30" ht="19.5">
      <c r="D18" s="285"/>
      <c r="E18" s="286"/>
      <c r="F18" s="286"/>
      <c r="G18" s="286"/>
      <c r="H18" s="286"/>
      <c r="I18" s="286"/>
      <c r="J18" s="287"/>
      <c r="K18" s="29"/>
      <c r="L18" s="29"/>
      <c r="M18" s="127"/>
      <c r="N18" s="126"/>
      <c r="O18" s="336" t="s">
        <v>56</v>
      </c>
      <c r="P18" s="337"/>
      <c r="Q18" s="337"/>
      <c r="R18" s="338"/>
      <c r="S18" s="126"/>
      <c r="U18" s="192" t="s">
        <v>57</v>
      </c>
      <c r="V18" s="112">
        <v>1651</v>
      </c>
      <c r="Y18" s="326"/>
      <c r="Z18" s="327"/>
    </row>
    <row r="19" spans="4:30" ht="20.25" thickBot="1">
      <c r="D19" s="282"/>
      <c r="E19" s="283"/>
      <c r="F19" s="283"/>
      <c r="G19" s="283"/>
      <c r="H19" s="283"/>
      <c r="I19" s="283"/>
      <c r="J19" s="284"/>
      <c r="K19" s="29"/>
      <c r="L19" s="29"/>
      <c r="M19" s="304" t="s">
        <v>58</v>
      </c>
      <c r="N19" s="306"/>
      <c r="O19" s="148">
        <v>12</v>
      </c>
      <c r="P19" s="139" t="s">
        <v>50</v>
      </c>
      <c r="Q19" s="151">
        <v>10</v>
      </c>
      <c r="R19" s="139" t="s">
        <v>33</v>
      </c>
      <c r="S19" s="142">
        <f>Q19*O19</f>
        <v>120</v>
      </c>
      <c r="U19" s="192" t="s">
        <v>59</v>
      </c>
      <c r="V19" s="112" t="s">
        <v>60</v>
      </c>
      <c r="Y19" s="328"/>
      <c r="Z19" s="329"/>
    </row>
    <row r="20" spans="4:30" ht="20.25" thickBot="1">
      <c r="D20" s="285"/>
      <c r="E20" s="286"/>
      <c r="F20" s="286"/>
      <c r="G20" s="286"/>
      <c r="H20" s="286"/>
      <c r="I20" s="286"/>
      <c r="J20" s="287"/>
      <c r="K20" s="29"/>
      <c r="L20" s="29"/>
      <c r="M20" s="322" t="s">
        <v>61</v>
      </c>
      <c r="N20" s="323"/>
      <c r="O20" s="150">
        <v>12</v>
      </c>
      <c r="P20" s="139" t="s">
        <v>50</v>
      </c>
      <c r="Q20" s="151">
        <v>10</v>
      </c>
      <c r="R20" s="141" t="s">
        <v>33</v>
      </c>
      <c r="S20" s="142">
        <f>Q20*O20</f>
        <v>120</v>
      </c>
      <c r="U20" s="192" t="s">
        <v>54</v>
      </c>
      <c r="V20" s="112" t="str">
        <f>_xlfn.XLOOKUP(V19,Anbar!$J$3:$J$1000,Anbar!$H$3:$H$1000,"Tapilmadi")</f>
        <v>PRF007</v>
      </c>
      <c r="Z20" s="113"/>
    </row>
    <row r="21" spans="4:30" ht="20.25" thickBot="1">
      <c r="D21" s="87"/>
      <c r="E21" s="87"/>
      <c r="F21" s="87"/>
      <c r="G21" s="87"/>
      <c r="H21" s="87"/>
      <c r="I21" s="87"/>
      <c r="J21" s="87"/>
      <c r="K21" s="29"/>
      <c r="L21" s="29"/>
      <c r="M21" s="322" t="s">
        <v>62</v>
      </c>
      <c r="N21" s="323"/>
      <c r="O21" s="130"/>
      <c r="P21" s="141"/>
      <c r="Q21" s="130"/>
      <c r="R21" s="141"/>
      <c r="S21" s="142"/>
      <c r="U21" s="192" t="s">
        <v>55</v>
      </c>
      <c r="V21" s="112">
        <v>0</v>
      </c>
      <c r="Z21" s="113"/>
      <c r="AA21" s="264" t="s">
        <v>47</v>
      </c>
      <c r="AB21" s="264" t="s">
        <v>54</v>
      </c>
      <c r="AC21" s="264" t="s">
        <v>20</v>
      </c>
      <c r="AD21" s="44" t="s">
        <v>63</v>
      </c>
    </row>
    <row r="22" spans="4:30" ht="19.5">
      <c r="D22" s="281" t="str">
        <f>G3</f>
        <v>Elnur Liva Mebel</v>
      </c>
      <c r="E22" s="281"/>
      <c r="F22" s="281"/>
      <c r="G22" s="281"/>
      <c r="H22" s="281"/>
      <c r="I22" s="281"/>
      <c r="J22" s="281"/>
      <c r="K22" s="29"/>
      <c r="L22" s="29"/>
      <c r="M22" s="127"/>
      <c r="N22" s="126"/>
      <c r="R22" s="126"/>
      <c r="S22" s="126"/>
      <c r="U22" s="192" t="s">
        <v>57</v>
      </c>
      <c r="V22" s="158">
        <v>0</v>
      </c>
      <c r="Z22" s="113"/>
      <c r="AA22" s="65" t="str">
        <f>V15</f>
        <v>45 Profil  Yan Qızılı</v>
      </c>
      <c r="AB22" s="65"/>
      <c r="AC22" s="115" t="s">
        <v>30</v>
      </c>
      <c r="AD22" s="116">
        <f ca="1">_xlfn.XLOOKUP(AA22,Tablo6[Uzun ad],Tablo6[Anbarda qalan],"Tapilmadi")</f>
        <v>100</v>
      </c>
    </row>
    <row r="23" spans="4:30" ht="18" customHeight="1">
      <c r="D23" s="233"/>
      <c r="E23" s="233"/>
      <c r="F23" s="281" t="s">
        <v>64</v>
      </c>
      <c r="G23" s="281"/>
      <c r="H23" s="281"/>
      <c r="I23" s="233"/>
      <c r="J23" s="233"/>
      <c r="K23" s="32"/>
      <c r="L23" s="32"/>
      <c r="M23" s="127"/>
      <c r="N23" s="126"/>
      <c r="O23" s="307" t="s">
        <v>65</v>
      </c>
      <c r="P23" s="308"/>
      <c r="Q23" s="308"/>
      <c r="R23" s="309"/>
      <c r="S23" s="126"/>
      <c r="U23" s="193" t="s">
        <v>66</v>
      </c>
      <c r="V23" s="159" t="s">
        <v>67</v>
      </c>
      <c r="Z23" s="113"/>
      <c r="AA23" s="23" t="str">
        <f>V19</f>
        <v>45 Profil  Boy Qulp Qızılı</v>
      </c>
      <c r="AB23" s="23"/>
      <c r="AC23" s="103" t="s">
        <v>27</v>
      </c>
      <c r="AD23" s="108">
        <f ca="1">_xlfn.XLOOKUP(AA23,Tablo6[Uzun ad],Tablo6[Anbarda qalan],"Tapilmadi")</f>
        <v>0</v>
      </c>
    </row>
    <row r="24" spans="4:30" ht="19.5">
      <c r="D24" s="226"/>
      <c r="E24" s="278" t="s">
        <v>20</v>
      </c>
      <c r="F24" s="278" t="s">
        <v>21</v>
      </c>
      <c r="G24" s="278" t="s">
        <v>22</v>
      </c>
      <c r="H24" s="278" t="s">
        <v>68</v>
      </c>
      <c r="I24" s="278" t="s">
        <v>24</v>
      </c>
      <c r="J24" s="226"/>
      <c r="K24" s="275" t="s">
        <v>69</v>
      </c>
      <c r="M24" s="304" t="s">
        <v>70</v>
      </c>
      <c r="N24" s="306"/>
      <c r="O24" s="129"/>
      <c r="P24" s="129"/>
      <c r="Q24" s="129"/>
      <c r="R24" s="129"/>
      <c r="S24" s="145">
        <f>SUM(S11,S14,S15,S16,S19,S20,S21)</f>
        <v>1255</v>
      </c>
      <c r="U24" s="193" t="s">
        <v>71</v>
      </c>
      <c r="V24" s="159" t="str">
        <f>_xlfn.XLOOKUP(V23,Anbar!$I$3:$I$1000,Anbar!$H$3:$H$1000,"Tapilmadi")</f>
        <v>PT002</v>
      </c>
      <c r="Z24" s="113"/>
      <c r="AA24" s="23"/>
      <c r="AB24" s="23"/>
      <c r="AC24" s="101"/>
      <c r="AD24" s="102"/>
    </row>
    <row r="25" spans="4:30" ht="19.5">
      <c r="D25" s="226"/>
      <c r="E25" s="239" t="s">
        <v>36</v>
      </c>
      <c r="F25" s="240">
        <f>F8-0.7</f>
        <v>277.3</v>
      </c>
      <c r="G25" s="241" t="s">
        <v>22</v>
      </c>
      <c r="H25" s="242">
        <f>H8-0.6</f>
        <v>50.8</v>
      </c>
      <c r="I25" s="241">
        <v>2</v>
      </c>
      <c r="J25" s="226"/>
      <c r="K25" s="276">
        <f>_xlfn.XLOOKUP(E25,Şüşə!$M$3:$M$100,Şüşə!$P$3:$P$100,"Tapilmadi")</f>
        <v>5684.9</v>
      </c>
      <c r="M25" s="304" t="s">
        <v>72</v>
      </c>
      <c r="N25" s="306"/>
      <c r="O25" s="126"/>
      <c r="P25" s="126"/>
      <c r="Q25" s="126"/>
      <c r="R25" s="126"/>
      <c r="S25" s="145">
        <v>325</v>
      </c>
      <c r="U25" s="193" t="s">
        <v>73</v>
      </c>
      <c r="V25" s="159">
        <v>0</v>
      </c>
      <c r="Z25" s="114"/>
      <c r="AA25" s="125"/>
      <c r="AB25" s="125"/>
      <c r="AC25" s="106"/>
      <c r="AD25" s="107"/>
    </row>
    <row r="26" spans="4:30" ht="19.5">
      <c r="D26" s="238"/>
      <c r="E26" s="234"/>
      <c r="F26" s="235"/>
      <c r="G26" s="236"/>
      <c r="H26" s="237"/>
      <c r="I26" s="236"/>
      <c r="J26" s="226"/>
      <c r="K26" s="276">
        <f>_xlfn.XLOOKUP(E26,Şüşə!$M$3:$M$100,Şüşə!$P$3:$P$100,"Tapilmadi")</f>
        <v>0</v>
      </c>
      <c r="M26" s="304" t="s">
        <v>74</v>
      </c>
      <c r="N26" s="306"/>
      <c r="O26" s="130"/>
      <c r="P26" s="130"/>
      <c r="Q26" s="130"/>
      <c r="R26" s="130"/>
      <c r="S26" s="145">
        <f>S24-S25</f>
        <v>930</v>
      </c>
      <c r="U26" s="193" t="s">
        <v>75</v>
      </c>
      <c r="V26" s="158">
        <v>0</v>
      </c>
    </row>
    <row r="27" spans="4:30" ht="19.5">
      <c r="D27" s="238"/>
      <c r="E27" s="234"/>
      <c r="F27" s="235"/>
      <c r="G27" s="236"/>
      <c r="H27" s="237"/>
      <c r="I27" s="236"/>
      <c r="J27" s="227"/>
      <c r="K27" s="276">
        <f>_xlfn.XLOOKUP(E27,Şüşə!$M$3:$M$100,Şüşə!$P$3:$P$100,"Tapilmadi")</f>
        <v>0</v>
      </c>
      <c r="M27" s="126"/>
      <c r="N27" s="128"/>
      <c r="O27" s="126"/>
      <c r="P27" s="126"/>
      <c r="Q27" s="126"/>
      <c r="R27" s="126"/>
      <c r="S27" s="126"/>
      <c r="U27" s="217" t="s">
        <v>76</v>
      </c>
      <c r="V27" s="158">
        <v>0</v>
      </c>
    </row>
    <row r="28" spans="4:30" ht="19.5">
      <c r="D28" s="238"/>
      <c r="E28" s="234"/>
      <c r="F28" s="235"/>
      <c r="G28" s="236"/>
      <c r="H28" s="237"/>
      <c r="I28" s="236"/>
      <c r="J28" s="227"/>
      <c r="K28" s="276">
        <f>_xlfn.XLOOKUP(E28,Şüşə!$M$3:$M$100,Şüşə!$P$3:$P$100,"Tapilmadi")</f>
        <v>0</v>
      </c>
      <c r="M28" s="304" t="s">
        <v>77</v>
      </c>
      <c r="N28" s="305"/>
      <c r="O28" s="305"/>
      <c r="P28" s="305"/>
      <c r="Q28" s="305"/>
      <c r="R28" s="305"/>
      <c r="S28" s="306"/>
      <c r="U28" s="193" t="s">
        <v>78</v>
      </c>
      <c r="V28" s="112" t="s">
        <v>36</v>
      </c>
    </row>
    <row r="29" spans="4:30" ht="19.5">
      <c r="J29" s="87"/>
      <c r="K29" s="29"/>
      <c r="M29" s="126"/>
      <c r="N29" s="126"/>
      <c r="O29" s="126"/>
      <c r="P29" s="126"/>
      <c r="Q29" s="126"/>
      <c r="R29" s="126"/>
      <c r="S29" s="126"/>
      <c r="U29" s="193" t="s">
        <v>79</v>
      </c>
      <c r="V29" s="160"/>
    </row>
    <row r="30" spans="4:30" ht="19.5">
      <c r="J30" s="87"/>
      <c r="K30" s="29"/>
      <c r="U30" s="193" t="s">
        <v>80</v>
      </c>
      <c r="V30" s="158">
        <v>0</v>
      </c>
    </row>
    <row r="31" spans="4:30" ht="19.5">
      <c r="D31" s="86"/>
      <c r="E31" s="86"/>
      <c r="F31" s="86"/>
      <c r="G31" s="86"/>
      <c r="H31" s="86"/>
      <c r="I31" s="86"/>
      <c r="J31" s="86"/>
      <c r="U31" s="193" t="s">
        <v>81</v>
      </c>
      <c r="V31" s="158" t="s">
        <v>82</v>
      </c>
    </row>
    <row r="32" spans="4:30" ht="19.5">
      <c r="D32" s="84"/>
      <c r="E32" s="84"/>
      <c r="F32" s="84"/>
      <c r="G32" s="84"/>
      <c r="H32" s="84"/>
      <c r="I32" s="84"/>
      <c r="J32" s="84"/>
      <c r="U32" s="193" t="s">
        <v>83</v>
      </c>
      <c r="V32" s="112" t="str">
        <f>_xlfn.XLOOKUP(V31,Anbar!$I$3:$I$1000,Anbar!$H$3:$H$1000,"Tapilmadi")</f>
        <v>BQT001</v>
      </c>
    </row>
    <row r="33" spans="4:22" ht="19.5">
      <c r="D33" s="84"/>
      <c r="E33" s="84"/>
      <c r="F33" s="84"/>
      <c r="G33" s="84"/>
      <c r="H33" s="84"/>
      <c r="I33" s="84"/>
      <c r="J33" s="84"/>
      <c r="U33" s="193" t="s">
        <v>84</v>
      </c>
      <c r="V33" s="112"/>
    </row>
    <row r="34" spans="4:22" ht="19.5">
      <c r="D34" s="84"/>
      <c r="E34" s="84"/>
      <c r="F34" s="84"/>
      <c r="G34" s="84"/>
      <c r="H34" s="84"/>
      <c r="I34" s="84"/>
      <c r="J34" s="84"/>
      <c r="U34" s="193" t="s">
        <v>85</v>
      </c>
      <c r="V34" s="158">
        <v>0</v>
      </c>
    </row>
    <row r="35" spans="4:22" ht="19.5">
      <c r="U35" s="193" t="s">
        <v>86</v>
      </c>
      <c r="V35" s="158" t="s">
        <v>87</v>
      </c>
    </row>
    <row r="36" spans="4:22" ht="19.5">
      <c r="U36" s="193" t="s">
        <v>88</v>
      </c>
      <c r="V36" s="158" t="str">
        <f>_xlfn.XLOOKUP(V35,Anbar!$I$3:$I$1000,Anbar!$H$3:$H$1000,"Tapilmadi")</f>
        <v>AQM001</v>
      </c>
    </row>
    <row r="37" spans="4:22" ht="19.5">
      <c r="D37" s="4"/>
      <c r="U37" s="193" t="s">
        <v>89</v>
      </c>
      <c r="V37" s="159">
        <v>0</v>
      </c>
    </row>
    <row r="38" spans="4:22" ht="19.5">
      <c r="D38" s="4"/>
      <c r="U38" s="193" t="s">
        <v>90</v>
      </c>
      <c r="V38" s="158">
        <v>0</v>
      </c>
    </row>
    <row r="39" spans="4:22" ht="19.5">
      <c r="D39" s="4"/>
      <c r="U39" s="193" t="s">
        <v>91</v>
      </c>
      <c r="V39" s="158">
        <v>0</v>
      </c>
    </row>
    <row r="40" spans="4:22" ht="19.5">
      <c r="D40" s="4"/>
      <c r="U40" s="193" t="s">
        <v>92</v>
      </c>
      <c r="V40" s="158">
        <v>0</v>
      </c>
    </row>
    <row r="41" spans="4:22" ht="19.5">
      <c r="D41" s="4"/>
      <c r="U41" s="193" t="s">
        <v>93</v>
      </c>
      <c r="V41" s="158">
        <v>0</v>
      </c>
    </row>
    <row r="42" spans="4:22" ht="19.5">
      <c r="D42" s="4"/>
      <c r="U42" s="193" t="s">
        <v>94</v>
      </c>
      <c r="V42" s="158">
        <f>(V41+V40+V39+V38+V34+V30+V27+V26+V22+V18)-V43</f>
        <v>1651</v>
      </c>
    </row>
    <row r="43" spans="4:22" ht="19.5">
      <c r="D43" s="4"/>
      <c r="U43" s="193" t="s">
        <v>95</v>
      </c>
      <c r="V43" s="158">
        <v>0</v>
      </c>
    </row>
    <row r="44" spans="4:22" ht="19.5">
      <c r="D44" s="4"/>
      <c r="U44" s="193" t="s">
        <v>4</v>
      </c>
      <c r="V44" s="158">
        <v>0</v>
      </c>
    </row>
    <row r="45" spans="4:22" ht="19.5">
      <c r="D45" s="4"/>
      <c r="U45" s="193" t="s">
        <v>5</v>
      </c>
      <c r="V45" s="158">
        <f>V42-V44</f>
        <v>1651</v>
      </c>
    </row>
    <row r="46" spans="4:22" ht="17.25">
      <c r="D46" s="4"/>
    </row>
    <row r="47" spans="4:22" ht="17.25">
      <c r="D47" s="4"/>
    </row>
  </sheetData>
  <mergeCells count="41">
    <mergeCell ref="Y14:Z19"/>
    <mergeCell ref="AA14:AA16"/>
    <mergeCell ref="V1:Z1"/>
    <mergeCell ref="U6:V6"/>
    <mergeCell ref="M26:N26"/>
    <mergeCell ref="M24:N24"/>
    <mergeCell ref="O23:R23"/>
    <mergeCell ref="M25:N25"/>
    <mergeCell ref="O18:R18"/>
    <mergeCell ref="M10:N10"/>
    <mergeCell ref="M11:N11"/>
    <mergeCell ref="M8:N8"/>
    <mergeCell ref="M21:N21"/>
    <mergeCell ref="M15:N15"/>
    <mergeCell ref="M16:N16"/>
    <mergeCell ref="M14:N14"/>
    <mergeCell ref="M28:S28"/>
    <mergeCell ref="O13:R13"/>
    <mergeCell ref="M9:N9"/>
    <mergeCell ref="O7:R7"/>
    <mergeCell ref="R1:S1"/>
    <mergeCell ref="M3:N3"/>
    <mergeCell ref="O4:Q4"/>
    <mergeCell ref="N5:O5"/>
    <mergeCell ref="R5:S5"/>
    <mergeCell ref="R4:S4"/>
    <mergeCell ref="P3:Q3"/>
    <mergeCell ref="M20:N20"/>
    <mergeCell ref="M19:N19"/>
    <mergeCell ref="H1:J1"/>
    <mergeCell ref="F23:H23"/>
    <mergeCell ref="D19:J20"/>
    <mergeCell ref="I5:J5"/>
    <mergeCell ref="D17:J18"/>
    <mergeCell ref="D3:E3"/>
    <mergeCell ref="G3:H3"/>
    <mergeCell ref="D22:J22"/>
    <mergeCell ref="D15:J16"/>
    <mergeCell ref="F4:H4"/>
    <mergeCell ref="E5:F5"/>
    <mergeCell ref="I4:J4"/>
  </mergeCells>
  <dataValidations count="2">
    <dataValidation type="list" allowBlank="1" showInputMessage="1" showErrorMessage="1" sqref="D25" xr:uid="{BBAC9DA7-31B7-468D-AB24-1B80CBD21EF9}">
      <formula1>#REF!</formula1>
    </dataValidation>
    <dataValidation type="list" allowBlank="1" showInputMessage="1" showErrorMessage="1" sqref="I5:J5 R5:S5" xr:uid="{A5B84FAF-1734-4801-949F-1DE6D979C18B}">
      <formula1>Status</formula1>
    </dataValidation>
  </dataValidations>
  <pageMargins left="0.7" right="0.7" top="0.75" bottom="0.75" header="0.3" footer="0.3"/>
  <pageSetup paperSize="9" scale="82" orientation="portrait" r:id="rId1"/>
  <colBreaks count="1" manualBreakCount="1">
    <brk id="10" max="2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Button 22">
              <controlPr defaultSize="0" print="0" autoFill="0" autoPict="0" macro="[0]!printpdf">
                <anchor>
                  <from>
                    <xdr:col>10</xdr:col>
                    <xdr:colOff>66675</xdr:colOff>
                    <xdr:row>0</xdr:row>
                    <xdr:rowOff>38100</xdr:rowOff>
                  </from>
                  <to>
                    <xdr:col>10</xdr:col>
                    <xdr:colOff>838684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pdf_client">
                <anchor moveWithCells="1" sizeWithCells="1">
                  <from>
                    <xdr:col>19</xdr:col>
                    <xdr:colOff>60290</xdr:colOff>
                    <xdr:row>0</xdr:row>
                    <xdr:rowOff>38100</xdr:rowOff>
                  </from>
                  <to>
                    <xdr:col>19</xdr:col>
                    <xdr:colOff>813917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6" name="Button 42">
              <controlPr defaultSize="0" print="0" autoFill="0" autoPict="0" macro="[0]!yenisifaris1">
                <anchor>
                  <from>
                    <xdr:col>20</xdr:col>
                    <xdr:colOff>67785</xdr:colOff>
                    <xdr:row>0</xdr:row>
                    <xdr:rowOff>84666</xdr:rowOff>
                  </from>
                  <to>
                    <xdr:col>21</xdr:col>
                    <xdr:colOff>375106</xdr:colOff>
                    <xdr:row>0</xdr:row>
                    <xdr:rowOff>656167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F7460998-B371-4B18-A9BC-06703AF71846}">
          <x14:formula1>
            <xm:f>Məlumatlar!$D$3:$D$22</xm:f>
          </x14:formula1>
          <xm:sqref>E25:E28</xm:sqref>
        </x14:dataValidation>
        <x14:dataValidation type="list" allowBlank="1" showInputMessage="1" showErrorMessage="1" xr:uid="{35164428-F10A-4758-8535-08D4E483485D}">
          <x14:formula1>
            <xm:f>Məlumatlar!$H$3:$H$10</xm:f>
          </x14:formula1>
          <xm:sqref>E9</xm:sqref>
        </x14:dataValidation>
        <x14:dataValidation type="list" allowBlank="1" showInputMessage="1" showErrorMessage="1" xr:uid="{FA95CE01-8DBA-431E-90C3-14358232B972}">
          <x14:formula1>
            <xm:f>Məlumatlar!$H$3:$H$13</xm:f>
          </x14:formula1>
          <xm:sqref>AC24:AC25</xm:sqref>
        </x14:dataValidation>
        <x14:dataValidation type="list" allowBlank="1" showInputMessage="1" showErrorMessage="1" xr:uid="{EAF2EBFE-64E2-4220-9127-59731DB8275B}">
          <x14:formula1>
            <xm:f>Məlumatlar!$H$3:$H$20</xm:f>
          </x14:formula1>
          <xm:sqref>E8</xm:sqref>
        </x14:dataValidation>
        <x14:dataValidation type="list" allowBlank="1" showInputMessage="1" showErrorMessage="1" xr:uid="{B0771B49-5C50-4D36-BCB8-E1E29617558F}">
          <x14:formula1>
            <xm:f>Məlumatlar!$D$3:$D$50</xm:f>
          </x14:formula1>
          <xm:sqref>S10</xm:sqref>
        </x14:dataValidation>
        <x14:dataValidation type="list" allowBlank="1" showInputMessage="1" showErrorMessage="1" xr:uid="{FED90F19-DE03-4546-A433-7DC137C3934B}">
          <x14:formula1>
            <xm:f>Anbar!$I$3:$I$1000</xm:f>
          </x14:formula1>
          <xm:sqref>V14 E5:F5 V23 V31 V35</xm:sqref>
        </x14:dataValidation>
        <x14:dataValidation type="list" allowBlank="1" showInputMessage="1" showErrorMessage="1" xr:uid="{4F7DE639-C258-4F15-B1D4-2EBA0F995152}">
          <x14:formula1>
            <xm:f>Məlumatlar!$D$3:$D$100</xm:f>
          </x14:formula1>
          <xm:sqref>V28</xm:sqref>
        </x14:dataValidation>
        <x14:dataValidation type="list" allowBlank="1" showInputMessage="1" showErrorMessage="1" xr:uid="{A82DB7BE-F172-4B0D-B445-C90FA3058081}">
          <x14:formula1>
            <xm:f>Müştərilər!$D$3:$D$1051</xm:f>
          </x14:formula1>
          <xm:sqref>G3:H3</xm:sqref>
        </x14:dataValidation>
        <x14:dataValidation type="list" allowBlank="1" showInputMessage="1" showErrorMessage="1" xr:uid="{D4B21E48-DBB1-4161-85B1-95CF0A71FE30}">
          <x14:formula1>
            <xm:f>Müştərilər!$D$3:$D$10048</xm:f>
          </x14:formula1>
          <xm:sqref>V11</xm:sqref>
        </x14:dataValidation>
        <x14:dataValidation type="list" allowBlank="1" showInputMessage="1" showErrorMessage="1" xr:uid="{3739D9C5-1B4F-4AB6-AFCA-C5543473803F}">
          <x14:formula1>
            <xm:f>Müştərilər!$D$3:$D$10019</xm:f>
          </x14:formula1>
          <xm:sqref>V3</xm:sqref>
        </x14:dataValidation>
        <x14:dataValidation type="list" allowBlank="1" showInputMessage="1" showErrorMessage="1" xr:uid="{BE1FE4F2-D966-4128-A955-243889CE92BA}">
          <x14:formula1>
            <xm:f>Anbar!$J$3:$J$10000</xm:f>
          </x14:formula1>
          <xm:sqref>V15</xm:sqref>
        </x14:dataValidation>
        <x14:dataValidation type="list" allowBlank="1" showInputMessage="1" showErrorMessage="1" xr:uid="{8A2479DF-E234-41D2-B818-F4C097C8AF0B}">
          <x14:formula1>
            <xm:f>Anbar!$J$3:$J$1000</xm:f>
          </x14:formula1>
          <xm:sqref>V19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6E31-9917-4B77-8061-D8FCA22AC0DC}">
  <sheetPr codeName="Sayfa4"/>
  <dimension ref="A1:AZ451"/>
  <sheetViews>
    <sheetView tabSelected="1" zoomScaleNormal="100" workbookViewId="0">
      <selection activeCell="AO117" sqref="AO117"/>
    </sheetView>
  </sheetViews>
  <sheetFormatPr defaultRowHeight="15"/>
  <cols>
    <col min="1" max="1" width="7.28515625" style="37" customWidth="1"/>
    <col min="2" max="2" width="23.28515625" style="33" hidden="1" customWidth="1"/>
    <col min="3" max="3" width="5.7109375" style="36" customWidth="1"/>
    <col min="4" max="4" width="13.140625" style="45" customWidth="1"/>
    <col min="5" max="5" width="17.5703125" style="45" customWidth="1"/>
    <col min="6" max="6" width="11.85546875" style="45" customWidth="1"/>
    <col min="7" max="7" width="14" customWidth="1"/>
    <col min="8" max="8" width="25.85546875" customWidth="1"/>
    <col min="9" max="9" width="17.85546875" customWidth="1"/>
    <col min="10" max="10" width="23.42578125" customWidth="1"/>
    <col min="11" max="12" width="27.42578125" customWidth="1"/>
    <col min="13" max="13" width="12.5703125" customWidth="1"/>
    <col min="14" max="14" width="11.28515625" customWidth="1"/>
    <col min="15" max="15" width="10.28515625" customWidth="1"/>
    <col min="16" max="16" width="29.85546875" customWidth="1"/>
    <col min="17" max="17" width="16.140625" customWidth="1"/>
    <col min="18" max="18" width="13" customWidth="1"/>
    <col min="19" max="19" width="15.28515625" customWidth="1"/>
    <col min="20" max="20" width="21.42578125" customWidth="1"/>
    <col min="21" max="21" width="16.7109375" customWidth="1"/>
    <col min="22" max="22" width="15.42578125" customWidth="1"/>
    <col min="23" max="23" width="12.7109375" customWidth="1"/>
    <col min="24" max="24" width="13" customWidth="1"/>
    <col min="25" max="25" width="21.85546875" customWidth="1"/>
    <col min="26" max="26" width="15.140625" customWidth="1"/>
    <col min="27" max="27" width="16" customWidth="1"/>
    <col min="28" max="28" width="28.42578125" customWidth="1"/>
    <col min="29" max="29" width="17.7109375" customWidth="1"/>
    <col min="30" max="30" width="16.7109375" customWidth="1"/>
    <col min="31" max="31" width="30.42578125" customWidth="1"/>
    <col min="32" max="32" width="28.42578125" customWidth="1"/>
    <col min="33" max="33" width="18.42578125" customWidth="1"/>
    <col min="34" max="34" width="17.140625" customWidth="1"/>
    <col min="35" max="35" width="18.42578125" customWidth="1"/>
    <col min="36" max="36" width="22" customWidth="1"/>
    <col min="37" max="37" width="19.42578125" customWidth="1"/>
    <col min="38" max="38" width="12" customWidth="1"/>
    <col min="39" max="39" width="23" customWidth="1"/>
    <col min="40" max="40" width="21.5703125" customWidth="1"/>
    <col min="41" max="41" width="18.42578125" customWidth="1"/>
    <col min="42" max="42" width="18.140625" customWidth="1"/>
    <col min="43" max="43" width="18.5703125" customWidth="1"/>
    <col min="44" max="47" width="16.85546875" customWidth="1"/>
    <col min="48" max="48" width="13.28515625" customWidth="1"/>
    <col min="49" max="49" width="16.140625" customWidth="1"/>
    <col min="50" max="50" width="13.85546875" customWidth="1"/>
    <col min="52" max="52" width="18.28515625" customWidth="1"/>
  </cols>
  <sheetData>
    <row r="1" spans="2:52" ht="49.5" customHeight="1">
      <c r="B1" s="25"/>
      <c r="C1" s="34"/>
      <c r="D1" s="25"/>
      <c r="E1" s="25"/>
      <c r="F1" s="25"/>
      <c r="G1" s="25"/>
      <c r="H1" s="25"/>
      <c r="I1" s="25"/>
      <c r="J1" s="25"/>
      <c r="K1" s="255" t="s">
        <v>96</v>
      </c>
      <c r="L1" s="255"/>
      <c r="M1" s="255"/>
      <c r="N1" s="25"/>
      <c r="O1" s="25"/>
      <c r="P1" s="25"/>
      <c r="Q1" s="25"/>
      <c r="R1" s="25"/>
      <c r="S1" s="25"/>
      <c r="T1" s="25"/>
      <c r="U1" s="25"/>
      <c r="V1" s="25"/>
      <c r="W1" s="37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11"/>
      <c r="AX1" s="13"/>
      <c r="AY1" s="12"/>
      <c r="AZ1" s="12"/>
    </row>
    <row r="2" spans="2:52" ht="15.75" customHeight="1">
      <c r="D2" s="172" t="s">
        <v>26</v>
      </c>
      <c r="E2" s="173" t="s">
        <v>29</v>
      </c>
      <c r="F2" s="173" t="s">
        <v>34</v>
      </c>
      <c r="G2" s="174" t="s">
        <v>37</v>
      </c>
      <c r="H2" s="175" t="s">
        <v>1</v>
      </c>
      <c r="I2" s="175" t="s">
        <v>42</v>
      </c>
      <c r="J2" s="175" t="s">
        <v>44</v>
      </c>
      <c r="K2" s="175" t="s">
        <v>47</v>
      </c>
      <c r="L2" s="175" t="s">
        <v>97</v>
      </c>
      <c r="M2" s="175" t="s">
        <v>54</v>
      </c>
      <c r="N2" s="175" t="s">
        <v>98</v>
      </c>
      <c r="O2" s="175" t="s">
        <v>99</v>
      </c>
      <c r="P2" s="175" t="s">
        <v>59</v>
      </c>
      <c r="Q2" s="175" t="s">
        <v>100</v>
      </c>
      <c r="R2" s="175" t="s">
        <v>101</v>
      </c>
      <c r="S2" s="175" t="s">
        <v>102</v>
      </c>
      <c r="T2" s="176" t="s">
        <v>66</v>
      </c>
      <c r="U2" s="176" t="s">
        <v>71</v>
      </c>
      <c r="V2" s="176" t="s">
        <v>73</v>
      </c>
      <c r="W2" s="176" t="s">
        <v>75</v>
      </c>
      <c r="X2" s="218" t="s">
        <v>103</v>
      </c>
      <c r="Y2" s="176" t="s">
        <v>78</v>
      </c>
      <c r="Z2" s="176" t="s">
        <v>104</v>
      </c>
      <c r="AA2" s="176" t="s">
        <v>80</v>
      </c>
      <c r="AB2" s="176" t="s">
        <v>81</v>
      </c>
      <c r="AC2" s="176" t="s">
        <v>83</v>
      </c>
      <c r="AD2" s="176" t="s">
        <v>84</v>
      </c>
      <c r="AE2" s="176" t="s">
        <v>85</v>
      </c>
      <c r="AF2" s="176" t="s">
        <v>86</v>
      </c>
      <c r="AG2" s="176" t="s">
        <v>88</v>
      </c>
      <c r="AH2" s="176" t="s">
        <v>89</v>
      </c>
      <c r="AI2" s="176" t="s">
        <v>90</v>
      </c>
      <c r="AJ2" s="176" t="s">
        <v>91</v>
      </c>
      <c r="AK2" s="176" t="s">
        <v>92</v>
      </c>
      <c r="AL2" s="176" t="s">
        <v>93</v>
      </c>
      <c r="AM2" s="176" t="s">
        <v>94</v>
      </c>
      <c r="AN2" s="176" t="s">
        <v>95</v>
      </c>
      <c r="AO2" s="176" t="s">
        <v>4</v>
      </c>
      <c r="AP2" s="176" t="s">
        <v>5</v>
      </c>
      <c r="AQ2" s="175" t="s">
        <v>105</v>
      </c>
      <c r="AR2" s="175" t="s">
        <v>106</v>
      </c>
      <c r="AS2" s="175" t="s">
        <v>107</v>
      </c>
      <c r="AT2" s="175" t="s">
        <v>108</v>
      </c>
      <c r="AU2" s="175" t="s">
        <v>109</v>
      </c>
      <c r="AV2" s="175" t="s">
        <v>110</v>
      </c>
      <c r="AW2" s="175" t="s">
        <v>111</v>
      </c>
      <c r="AX2" s="177" t="s">
        <v>112</v>
      </c>
    </row>
    <row r="3" spans="2:52">
      <c r="D3" s="178">
        <v>333</v>
      </c>
      <c r="E3" s="179" t="s">
        <v>113</v>
      </c>
      <c r="F3" s="179" t="s">
        <v>114</v>
      </c>
      <c r="G3" s="212" t="s">
        <v>115</v>
      </c>
      <c r="H3" s="179" t="s">
        <v>41</v>
      </c>
      <c r="I3" s="179" t="s">
        <v>116</v>
      </c>
      <c r="J3" s="179">
        <v>0</v>
      </c>
      <c r="K3" s="179"/>
      <c r="L3" s="179"/>
      <c r="M3" s="179" t="str">
        <f>_xlfn.XLOOKUP(Tablo7[[#This Row],[Yan Profili]],Anbar!$J$3:$J$1000,Anbar!$H$3:$H$1000,"Tapilmadi")</f>
        <v>Tapilmadi</v>
      </c>
      <c r="N3" s="179">
        <v>0</v>
      </c>
      <c r="O3" s="179">
        <v>1651</v>
      </c>
      <c r="P3" s="179"/>
      <c r="Q3" s="179" t="str">
        <f>_xlfn.XLOOKUP(Tablo7[[#This Row],[Qulp növü]],Anbar!$J$3:$J$1000,Anbar!$H$3:$H$1000,"Tapilmadi")</f>
        <v>Tapilmadi</v>
      </c>
      <c r="R3" s="179">
        <v>0</v>
      </c>
      <c r="S3" s="180">
        <v>0</v>
      </c>
      <c r="T3" s="181"/>
      <c r="U3" s="179" t="str">
        <f>_xlfn.XLOOKUP(Tablo7[[#This Row],[Petlə]],Anbar!$J$3:$J$1000,Anbar!$H$3:$H$1000,"Tapilmadi")</f>
        <v>Tapilmadi</v>
      </c>
      <c r="V3" s="179">
        <v>0</v>
      </c>
      <c r="W3" s="180">
        <v>0</v>
      </c>
      <c r="X3" s="269">
        <v>0</v>
      </c>
      <c r="Y3" s="179" t="s">
        <v>36</v>
      </c>
      <c r="Z3" s="182"/>
      <c r="AA3" s="180">
        <v>0</v>
      </c>
      <c r="AB3" s="180"/>
      <c r="AC3" s="179" t="str">
        <f>_xlfn.XLOOKUP(Tablo7[[#This Row],[Bağlantı]],Anbar!$J$3:$J$1000,Anbar!$H$3:$H$1000,"Tapilmadi")</f>
        <v>Tapilmadi</v>
      </c>
      <c r="AD3" s="179"/>
      <c r="AE3" s="180">
        <v>0</v>
      </c>
      <c r="AF3" s="180"/>
      <c r="AG3" s="179" t="str">
        <f>_xlfn.XLOOKUP(Tablo7[[#This Row],[Mexanizm]],Anbar!$J$3:$J$1000,Anbar!$H$3:$H$1000,"Tapilmadi")</f>
        <v>Tapilmadi</v>
      </c>
      <c r="AH3" s="179">
        <v>1</v>
      </c>
      <c r="AI3" s="180">
        <v>0</v>
      </c>
      <c r="AJ3" s="180">
        <v>0</v>
      </c>
      <c r="AK3" s="180">
        <v>0</v>
      </c>
      <c r="AL3" s="180">
        <v>0</v>
      </c>
      <c r="AM3" s="180">
        <v>1651</v>
      </c>
      <c r="AN3" s="180">
        <v>0</v>
      </c>
      <c r="AO3" s="180">
        <v>0</v>
      </c>
      <c r="AP3" s="194">
        <f>Tablo7[[#This Row],[Ümumi məbləğ]]-Tablo7[[#This Row],[Ödəniş]]-Tablo7[[#This Row],[Endirim]]</f>
        <v>1651</v>
      </c>
      <c r="AQ3" s="183" t="str">
        <f t="shared" ref="AQ3:AQ66" si="0">HYPERLINK("https://web.whatsapp.com/send?phone="&amp;I3&amp;"&amp;text="&amp;AU3,"Mesaj")</f>
        <v>Mesaj</v>
      </c>
      <c r="AR3" s="183" t="str">
        <f t="shared" ref="AR3:AR66" si="1">HYPERLINK("https://web.whatsapp.com/send?phone="&amp;I3&amp;"&amp;text="&amp;AV3,"Mesaj")</f>
        <v>Mesaj</v>
      </c>
      <c r="AS3" s="184" t="str">
        <f>IF(ISNA(VLOOKUP(Tablo7[[#This Row],[Sifariş kodu]],'Kəsim ve təhvil'!$E$5:$E1001,1,0)),"Qəbul edilməyib","Qəbul edilib")</f>
        <v>Qəbul edilməyib</v>
      </c>
      <c r="AT3" s="185" t="str">
        <f>IF(ISNA(VLOOKUP(Tablo7[[#This Row],[Sifariş kodu]],'Kəsim ve təhvil'!$H$5:$H1001,1,0)),"Anbardadır","Təhvil verilib")</f>
        <v>Anbardadır</v>
      </c>
      <c r="AU3" s="265" t="str">
        <f>"Hörmətli *"&amp;Tablo7[[#This Row],[Müştəri]]&amp;"*  ,Sizin *"&amp;G3&amp;"* tarixli sifarişiniz qeydə alındı. Sifariş Məbləğı *"&amp;AM3&amp;" AZN* , Qalıq *"&amp;AP3&amp;" AZN* . Hörmətlə  *AlumPro*"</f>
        <v>Hörmətli *Fariz Faiq*  ,Sizin *8/5/2025* tarixli sifarişiniz qeydə alındı. Sifariş Məbləğı *1651 AZN* , Qalıq *1651 AZN* . Hörmətlə  *AlumPro*</v>
      </c>
      <c r="AV3" s="266" t="str">
        <f>"Hörmətli *"&amp;Tablo7[[#This Row],[Müştəri]]&amp;"* , sizin *"&amp;G3&amp;"* tarixli  sifarişiniz hazırdır . Bizi seçdiyiniz üçün minnətdarıq. Hörmətlə  *AlumPro*."</f>
        <v>Hörmətli *Fariz Faiq* , sizin *8/5/2025* tarixli  sifarişiniz hazırdır . Bizi seçdiyiniz üçün minnətdarıq. Hörmətlə  *AlumPro*.</v>
      </c>
      <c r="AW3" s="267" t="str">
        <f>SUBSTITUTE(AX3," ","")</f>
        <v>Fariz</v>
      </c>
      <c r="AX3" s="253" t="str">
        <f t="shared" ref="AX3:AX66" si="2">LEFT(H3,FIND("*",SUBSTITUTE(H3," ","*",1)))</f>
        <v xml:space="preserve">Fariz </v>
      </c>
    </row>
    <row r="4" spans="2:52">
      <c r="D4" s="178">
        <v>332</v>
      </c>
      <c r="E4" s="179" t="s">
        <v>117</v>
      </c>
      <c r="F4" s="179" t="s">
        <v>118</v>
      </c>
      <c r="G4" s="212" t="s">
        <v>38</v>
      </c>
      <c r="H4" s="179" t="s">
        <v>41</v>
      </c>
      <c r="I4" s="179" t="s">
        <v>116</v>
      </c>
      <c r="J4" s="179">
        <v>0</v>
      </c>
      <c r="K4" s="179"/>
      <c r="L4" s="179"/>
      <c r="M4" s="179" t="str">
        <f>_xlfn.XLOOKUP(Tablo7[[#This Row],[Yan Profili]],Anbar!$J$3:$J$1000,Anbar!$H$3:$H$1000,"Tapilmadi")</f>
        <v>Tapilmadi</v>
      </c>
      <c r="N4" s="179">
        <v>0</v>
      </c>
      <c r="O4" s="179">
        <v>228</v>
      </c>
      <c r="P4" s="179"/>
      <c r="Q4" s="179" t="str">
        <f>_xlfn.XLOOKUP(Tablo7[[#This Row],[Qulp növü]],Anbar!$J$3:$J$1000,Anbar!$H$3:$H$1000,"Tapilmadi")</f>
        <v>Tapilmadi</v>
      </c>
      <c r="R4" s="179">
        <v>0</v>
      </c>
      <c r="S4" s="180">
        <v>0</v>
      </c>
      <c r="T4" s="181"/>
      <c r="U4" s="179" t="str">
        <f>_xlfn.XLOOKUP(Tablo7[[#This Row],[Petlə]],Anbar!$J$3:$J$1000,Anbar!$H$3:$H$1000,"Tapilmadi")</f>
        <v>Tapilmadi</v>
      </c>
      <c r="V4" s="179">
        <v>0</v>
      </c>
      <c r="W4" s="180">
        <v>0</v>
      </c>
      <c r="X4" s="269">
        <v>0</v>
      </c>
      <c r="Y4" s="179" t="s">
        <v>36</v>
      </c>
      <c r="Z4" s="182"/>
      <c r="AA4" s="180">
        <v>0</v>
      </c>
      <c r="AB4" s="180"/>
      <c r="AC4" s="179" t="str">
        <f>_xlfn.XLOOKUP(Tablo7[[#This Row],[Bağlantı]],Anbar!$J$3:$J$1000,Anbar!$H$3:$H$1000,"Tapilmadi")</f>
        <v>Tapilmadi</v>
      </c>
      <c r="AD4" s="179"/>
      <c r="AE4" s="180">
        <v>0</v>
      </c>
      <c r="AF4" s="180"/>
      <c r="AG4" s="179" t="str">
        <f>_xlfn.XLOOKUP(Tablo7[[#This Row],[Mexanizm]],Anbar!$J$3:$J$1000,Anbar!$H$3:$H$1000,"Tapilmadi")</f>
        <v>Tapilmadi</v>
      </c>
      <c r="AH4" s="179">
        <v>1</v>
      </c>
      <c r="AI4" s="180">
        <v>0</v>
      </c>
      <c r="AJ4" s="180">
        <v>0</v>
      </c>
      <c r="AK4" s="180">
        <v>0</v>
      </c>
      <c r="AL4" s="180">
        <v>0</v>
      </c>
      <c r="AM4" s="180">
        <v>228</v>
      </c>
      <c r="AN4" s="180">
        <v>0</v>
      </c>
      <c r="AO4" s="180">
        <v>0</v>
      </c>
      <c r="AP4" s="194">
        <f>Tablo7[[#This Row],[Ümumi məbləğ]]-Tablo7[[#This Row],[Ödəniş]]-Tablo7[[#This Row],[Endirim]]</f>
        <v>228</v>
      </c>
      <c r="AQ4" s="183" t="str">
        <f t="shared" si="0"/>
        <v>Mesaj</v>
      </c>
      <c r="AR4" s="183" t="str">
        <f t="shared" si="1"/>
        <v>Mesaj</v>
      </c>
      <c r="AS4" s="184" t="str">
        <f>IF(ISNA(VLOOKUP(Tablo7[[#This Row],[Sifariş kodu]],'Kəsim ve təhvil'!$E$5:$E1002,1,0)),"Qəbul edilməyib","Qəbul edilib")</f>
        <v>Qəbul edilməyib</v>
      </c>
      <c r="AT4" s="185" t="str">
        <f>IF(ISNA(VLOOKUP(Tablo7[[#This Row],[Sifariş kodu]],'Kəsim ve təhvil'!$H$5:$H1002,1,0)),"Anbardadır","Təhvil verilib")</f>
        <v>Anbardadır</v>
      </c>
      <c r="AU4" s="186" t="str">
        <f>"Hörmətli *"&amp;Tablo7[[#This Row],[Müştəri]]&amp;"*  ,Sizin *"&amp;G4&amp;"* tarixli sifarişiniz qeydə alındı. Sifariş Məbləğı *"&amp;AM4&amp;" AZN* , Qalıq *"&amp;AP4&amp;" AZN* . Hörmətlə  *AlumPro*"</f>
        <v>Hörmətli *Fariz Faiq*  ,Sizin *15,01,2024* tarixli sifarişiniz qeydə alındı. Sifariş Məbləğı *228 AZN* , Qalıq *228 AZN* . Hörmətlə  *AlumPro*</v>
      </c>
      <c r="AV4" s="187" t="str">
        <f>"Hörmətli *"&amp;Tablo7[[#This Row],[Müştəri]]&amp;"* , sizin *"&amp;G4&amp;"* tarixli  sifarişiniz hazırdır . Bizi seçdiyiniz üçün minnətdarıq. Hörmətlə  *AlumPro*."</f>
        <v>Hörmətli *Fariz Faiq* , sizin *15,01,2024* tarixli  sifarişiniz hazırdır . Bizi seçdiyiniz üçün minnətdarıq. Hörmətlə  *AlumPro*.</v>
      </c>
      <c r="AW4" s="188" t="str">
        <f t="shared" ref="AW4" si="3">SUBSTITUTE(AX4," ","")</f>
        <v>Fariz</v>
      </c>
      <c r="AX4" s="253" t="str">
        <f t="shared" si="2"/>
        <v xml:space="preserve">Fariz </v>
      </c>
    </row>
    <row r="5" spans="2:52">
      <c r="D5" s="178">
        <v>331</v>
      </c>
      <c r="E5" s="179" t="s">
        <v>119</v>
      </c>
      <c r="F5" s="179" t="s">
        <v>118</v>
      </c>
      <c r="G5" s="212" t="s">
        <v>120</v>
      </c>
      <c r="H5" s="179" t="s">
        <v>41</v>
      </c>
      <c r="I5" s="179" t="s">
        <v>116</v>
      </c>
      <c r="J5" s="179">
        <v>0</v>
      </c>
      <c r="K5" s="179"/>
      <c r="L5" s="179"/>
      <c r="M5" s="179" t="str">
        <f>_xlfn.XLOOKUP(Tablo7[[#This Row],[Yan Profili]],Anbar!$J$3:$J$1000,Anbar!$H$3:$H$1000,"Tapilmadi")</f>
        <v>Tapilmadi</v>
      </c>
      <c r="N5" s="179">
        <v>0</v>
      </c>
      <c r="O5" s="179">
        <v>283</v>
      </c>
      <c r="P5" s="179"/>
      <c r="Q5" s="179" t="str">
        <f>_xlfn.XLOOKUP(Tablo7[[#This Row],[Qulp növü]],Anbar!$J$3:$J$1000,Anbar!$H$3:$H$1000,"Tapilmadi")</f>
        <v>Tapilmadi</v>
      </c>
      <c r="R5" s="179">
        <v>0</v>
      </c>
      <c r="S5" s="180">
        <v>0</v>
      </c>
      <c r="T5" s="181"/>
      <c r="U5" s="179" t="str">
        <f>_xlfn.XLOOKUP(Tablo7[[#This Row],[Petlə]],Anbar!$J$3:$J$1000,Anbar!$H$3:$H$1000,"Tapilmadi")</f>
        <v>Tapilmadi</v>
      </c>
      <c r="V5" s="179">
        <v>0</v>
      </c>
      <c r="W5" s="180">
        <v>0</v>
      </c>
      <c r="X5" s="269">
        <v>0</v>
      </c>
      <c r="Y5" s="179" t="s">
        <v>36</v>
      </c>
      <c r="Z5" s="182"/>
      <c r="AA5" s="180">
        <v>0</v>
      </c>
      <c r="AB5" s="180"/>
      <c r="AC5" s="179" t="str">
        <f>_xlfn.XLOOKUP(Tablo7[[#This Row],[Bağlantı]],Anbar!$J$3:$J$1000,Anbar!$H$3:$H$1000,"Tapilmadi")</f>
        <v>Tapilmadi</v>
      </c>
      <c r="AD5" s="179"/>
      <c r="AE5" s="180">
        <v>0</v>
      </c>
      <c r="AF5" s="180"/>
      <c r="AG5" s="179" t="str">
        <f>_xlfn.XLOOKUP(Tablo7[[#This Row],[Mexanizm]],Anbar!$J$3:$J$1000,Anbar!$H$3:$H$1000,"Tapilmadi")</f>
        <v>Tapilmadi</v>
      </c>
      <c r="AH5" s="179">
        <v>1</v>
      </c>
      <c r="AI5" s="180">
        <v>0</v>
      </c>
      <c r="AJ5" s="180">
        <v>0</v>
      </c>
      <c r="AK5" s="180">
        <v>0</v>
      </c>
      <c r="AL5" s="180">
        <v>0</v>
      </c>
      <c r="AM5" s="180">
        <v>283</v>
      </c>
      <c r="AN5" s="180">
        <v>0</v>
      </c>
      <c r="AO5" s="180">
        <v>0</v>
      </c>
      <c r="AP5" s="194">
        <f>Tablo7[[#This Row],[Ümumi məbləğ]]-Tablo7[[#This Row],[Ödəniş]]-Tablo7[[#This Row],[Endirim]]</f>
        <v>283</v>
      </c>
      <c r="AQ5" s="183" t="str">
        <f t="shared" si="0"/>
        <v>Mesaj</v>
      </c>
      <c r="AR5" s="183" t="str">
        <f t="shared" si="1"/>
        <v>Mesaj</v>
      </c>
      <c r="AS5" s="184" t="str">
        <f>IF(ISNA(VLOOKUP(Tablo7[[#This Row],[Sifariş kodu]],'Kəsim ve təhvil'!$E$5:$E1003,1,0)),"Qəbul edilməyib","Qəbul edilib")</f>
        <v>Qəbul edilməyib</v>
      </c>
      <c r="AT5" s="185" t="str">
        <f>IF(ISNA(VLOOKUP(Tablo7[[#This Row],[Sifariş kodu]],'Kəsim ve təhvil'!$H$5:$H1003,1,0)),"Anbardadır","Təhvil verilib")</f>
        <v>Anbardadır</v>
      </c>
      <c r="AU5" s="186" t="str">
        <f>"Hörmətli *"&amp;Tablo7[[#This Row],[Müştəri]]&amp;"*  ,Sizin *"&amp;G5&amp;"* tarixli sifarişiniz qeydə alındı. Sifariş Məbləğı *"&amp;AM5&amp;" AZN* , Qalıq *"&amp;AP5&amp;" AZN* . Hörmətlə  *AlumPro*"</f>
        <v>Hörmətli *Fariz Faiq*  ,Sizin *20,12,2024* tarixli sifarişiniz qeydə alındı. Sifariş Məbləğı *283 AZN* , Qalıq *283 AZN* . Hörmətlə  *AlumPro*</v>
      </c>
      <c r="AV5" s="187" t="str">
        <f>"Hörmətli *"&amp;Tablo7[[#This Row],[Müştəri]]&amp;"* , sizin *"&amp;G5&amp;"* tarixli  sifarişiniz hazırdır . Bizi seçdiyiniz üçün minnətdarıq. Hörmətlə  *AlumPro*."</f>
        <v>Hörmətli *Fariz Faiq* , sizin *20,12,2024* tarixli  sifarişiniz hazırdır . Bizi seçdiyiniz üçün minnətdarıq. Hörmətlə  *AlumPro*.</v>
      </c>
      <c r="AW5" s="188" t="str">
        <f t="shared" ref="AW5" si="4">SUBSTITUTE(AX5," ","")</f>
        <v>Fariz</v>
      </c>
      <c r="AX5" s="253" t="str">
        <f t="shared" si="2"/>
        <v xml:space="preserve">Fariz </v>
      </c>
    </row>
    <row r="6" spans="2:52">
      <c r="D6" s="178">
        <v>330</v>
      </c>
      <c r="E6" s="179" t="s">
        <v>121</v>
      </c>
      <c r="F6" s="179" t="s">
        <v>118</v>
      </c>
      <c r="G6" s="212" t="s">
        <v>122</v>
      </c>
      <c r="H6" s="179" t="s">
        <v>123</v>
      </c>
      <c r="I6" s="179" t="s">
        <v>124</v>
      </c>
      <c r="J6" s="179">
        <v>0</v>
      </c>
      <c r="K6" s="179"/>
      <c r="L6" s="179"/>
      <c r="M6" s="179" t="str">
        <f>_xlfn.XLOOKUP(Tablo7[[#This Row],[Yan Profili]],Anbar!$J$3:$J$1000,Anbar!$H$3:$H$1000,"Tapilmadi")</f>
        <v>Tapilmadi</v>
      </c>
      <c r="N6" s="179">
        <v>0</v>
      </c>
      <c r="O6" s="179">
        <v>550</v>
      </c>
      <c r="P6" s="179"/>
      <c r="Q6" s="179" t="str">
        <f>_xlfn.XLOOKUP(Tablo7[[#This Row],[Qulp növü]],Anbar!$J$3:$J$1000,Anbar!$H$3:$H$1000,"Tapilmadi")</f>
        <v>Tapilmadi</v>
      </c>
      <c r="R6" s="179">
        <v>0</v>
      </c>
      <c r="S6" s="180">
        <v>0</v>
      </c>
      <c r="T6" s="181"/>
      <c r="U6" s="179" t="str">
        <f>_xlfn.XLOOKUP(Tablo7[[#This Row],[Petlə]],Anbar!$J$3:$J$1000,Anbar!$H$3:$H$1000,"Tapilmadi")</f>
        <v>Tapilmadi</v>
      </c>
      <c r="V6" s="179">
        <v>0</v>
      </c>
      <c r="W6" s="180">
        <v>0</v>
      </c>
      <c r="X6" s="269">
        <v>0</v>
      </c>
      <c r="Y6" s="179" t="s">
        <v>36</v>
      </c>
      <c r="Z6" s="182"/>
      <c r="AA6" s="180">
        <v>0</v>
      </c>
      <c r="AB6" s="180"/>
      <c r="AC6" s="179" t="str">
        <f>_xlfn.XLOOKUP(Tablo7[[#This Row],[Bağlantı]],Anbar!$J$3:$J$1000,Anbar!$H$3:$H$1000,"Tapilmadi")</f>
        <v>Tapilmadi</v>
      </c>
      <c r="AD6" s="179"/>
      <c r="AE6" s="180">
        <v>0</v>
      </c>
      <c r="AF6" s="180"/>
      <c r="AG6" s="179" t="str">
        <f>_xlfn.XLOOKUP(Tablo7[[#This Row],[Mexanizm]],Anbar!$J$3:$J$1000,Anbar!$H$3:$H$1000,"Tapilmadi")</f>
        <v>Tapilmadi</v>
      </c>
      <c r="AH6" s="179">
        <v>1</v>
      </c>
      <c r="AI6" s="180">
        <v>0</v>
      </c>
      <c r="AJ6" s="180">
        <v>0</v>
      </c>
      <c r="AK6" s="180">
        <v>0</v>
      </c>
      <c r="AL6" s="180">
        <v>0</v>
      </c>
      <c r="AM6" s="180">
        <v>550</v>
      </c>
      <c r="AN6" s="180">
        <v>0</v>
      </c>
      <c r="AO6" s="180">
        <v>0</v>
      </c>
      <c r="AP6" s="194">
        <f>Tablo7[[#This Row],[Ümumi məbləğ]]-Tablo7[[#This Row],[Ödəniş]]-Tablo7[[#This Row],[Endirim]]</f>
        <v>550</v>
      </c>
      <c r="AQ6" s="183" t="str">
        <f t="shared" si="0"/>
        <v>Mesaj</v>
      </c>
      <c r="AR6" s="183" t="str">
        <f t="shared" si="1"/>
        <v>Mesaj</v>
      </c>
      <c r="AS6" s="184" t="str">
        <f>IF(ISNA(VLOOKUP(Tablo7[[#This Row],[Sifariş kodu]],'Kəsim ve təhvil'!$E$5:$E1004,1,0)),"Qəbul edilməyib","Qəbul edilib")</f>
        <v>Qəbul edilməyib</v>
      </c>
      <c r="AT6" s="185" t="str">
        <f>IF(ISNA(VLOOKUP(Tablo7[[#This Row],[Sifariş kodu]],'Kəsim ve təhvil'!$H$5:$H1004,1,0)),"Anbardadır","Təhvil verilib")</f>
        <v>Anbardadır</v>
      </c>
      <c r="AU6" s="186" t="str">
        <f>"Hörmətli *"&amp;Tablo7[[#This Row],[Müştəri]]&amp;"*  ,Sizin *"&amp;G6&amp;"* tarixli sifarişiniz qeydə alındı. Sifariş Məbləğı *"&amp;AM6&amp;" AZN* , Qalıq *"&amp;AP6&amp;" AZN* . Hörmətlə  *AlumPro*"</f>
        <v>Hörmətli *Lux Concept*  ,Sizin *15,01,2025* tarixli sifarişiniz qeydə alındı. Sifariş Məbləğı *550 AZN* , Qalıq *550 AZN* . Hörmətlə  *AlumPro*</v>
      </c>
      <c r="AV6" s="187" t="str">
        <f>"Hörmətli *"&amp;Tablo7[[#This Row],[Müştəri]]&amp;"* , sizin *"&amp;G6&amp;"* tarixli  sifarişiniz hazırdır . Bizi seçdiyiniz üçün minnətdarıq. Hörmətlə  *AlumPro*."</f>
        <v>Hörmətli *Lux Concept* , sizin *15,01,2025* tarixli  sifarişiniz hazırdır . Bizi seçdiyiniz üçün minnətdarıq. Hörmətlə  *AlumPro*.</v>
      </c>
      <c r="AW6" s="188" t="str">
        <f t="shared" ref="AW6" si="5">SUBSTITUTE(AX6," ","")</f>
        <v>Lux</v>
      </c>
      <c r="AX6" s="253" t="str">
        <f t="shared" si="2"/>
        <v xml:space="preserve">Lux </v>
      </c>
    </row>
    <row r="7" spans="2:52">
      <c r="D7" s="178">
        <v>329</v>
      </c>
      <c r="E7" s="179" t="s">
        <v>125</v>
      </c>
      <c r="F7" s="179" t="s">
        <v>118</v>
      </c>
      <c r="G7" s="212" t="s">
        <v>126</v>
      </c>
      <c r="H7" s="179" t="s">
        <v>127</v>
      </c>
      <c r="I7" s="179" t="s">
        <v>128</v>
      </c>
      <c r="J7" s="179">
        <v>0</v>
      </c>
      <c r="K7" s="179"/>
      <c r="L7" s="179"/>
      <c r="M7" s="179" t="str">
        <f>_xlfn.XLOOKUP(Tablo7[[#This Row],[Yan Profili]],Anbar!$J$3:$J$1000,Anbar!$H$3:$H$1000,"Tapilmadi")</f>
        <v>Tapilmadi</v>
      </c>
      <c r="N7" s="179">
        <v>0</v>
      </c>
      <c r="O7" s="179">
        <v>455</v>
      </c>
      <c r="P7" s="179"/>
      <c r="Q7" s="179" t="str">
        <f>_xlfn.XLOOKUP(Tablo7[[#This Row],[Qulp növü]],Anbar!$J$3:$J$1000,Anbar!$H$3:$H$1000,"Tapilmadi")</f>
        <v>Tapilmadi</v>
      </c>
      <c r="R7" s="179">
        <v>0</v>
      </c>
      <c r="S7" s="180">
        <v>0</v>
      </c>
      <c r="T7" s="181"/>
      <c r="U7" s="179" t="str">
        <f>_xlfn.XLOOKUP(Tablo7[[#This Row],[Petlə]],Anbar!$J$3:$J$1000,Anbar!$H$3:$H$1000,"Tapilmadi")</f>
        <v>Tapilmadi</v>
      </c>
      <c r="V7" s="179">
        <v>0</v>
      </c>
      <c r="W7" s="180">
        <v>0</v>
      </c>
      <c r="X7" s="269">
        <v>0</v>
      </c>
      <c r="Y7" s="179" t="s">
        <v>36</v>
      </c>
      <c r="Z7" s="182"/>
      <c r="AA7" s="180">
        <v>0</v>
      </c>
      <c r="AB7" s="180"/>
      <c r="AC7" s="179" t="str">
        <f>_xlfn.XLOOKUP(Tablo7[[#This Row],[Bağlantı]],Anbar!$J$3:$J$1000,Anbar!$H$3:$H$1000,"Tapilmadi")</f>
        <v>Tapilmadi</v>
      </c>
      <c r="AD7" s="179"/>
      <c r="AE7" s="180">
        <v>0</v>
      </c>
      <c r="AF7" s="180"/>
      <c r="AG7" s="179" t="str">
        <f>_xlfn.XLOOKUP(Tablo7[[#This Row],[Mexanizm]],Anbar!$J$3:$J$1000,Anbar!$H$3:$H$1000,"Tapilmadi")</f>
        <v>Tapilmadi</v>
      </c>
      <c r="AH7" s="179">
        <v>1</v>
      </c>
      <c r="AI7" s="180">
        <v>0</v>
      </c>
      <c r="AJ7" s="180">
        <v>0</v>
      </c>
      <c r="AK7" s="180">
        <v>0</v>
      </c>
      <c r="AL7" s="180">
        <v>0</v>
      </c>
      <c r="AM7" s="180">
        <v>455</v>
      </c>
      <c r="AN7" s="180">
        <v>0</v>
      </c>
      <c r="AO7" s="180">
        <v>0</v>
      </c>
      <c r="AP7" s="194">
        <f>Tablo7[[#This Row],[Ümumi məbləğ]]-Tablo7[[#This Row],[Ödəniş]]-Tablo7[[#This Row],[Endirim]]</f>
        <v>455</v>
      </c>
      <c r="AQ7" s="183" t="str">
        <f t="shared" si="0"/>
        <v>Mesaj</v>
      </c>
      <c r="AR7" s="183" t="str">
        <f t="shared" si="1"/>
        <v>Mesaj</v>
      </c>
      <c r="AS7" s="184" t="str">
        <f>IF(ISNA(VLOOKUP(Tablo7[[#This Row],[Sifariş kodu]],'Kəsim ve təhvil'!$E$5:$E1005,1,0)),"Qəbul edilməyib","Qəbul edilib")</f>
        <v>Qəbul edilməyib</v>
      </c>
      <c r="AT7" s="185" t="str">
        <f>IF(ISNA(VLOOKUP(Tablo7[[#This Row],[Sifariş kodu]],'Kəsim ve təhvil'!$H$5:$H1005,1,0)),"Anbardadır","Təhvil verilib")</f>
        <v>Anbardadır</v>
      </c>
      <c r="AU7" s="186" t="str">
        <f>"Hörmətli *"&amp;Tablo7[[#This Row],[Müştəri]]&amp;"*  ,Sizin *"&amp;G7&amp;"* tarixli sifarişiniz qeydə alındı. Sifariş Məbləğı *"&amp;AM7&amp;" AZN* , Qalıq *"&amp;AP7&amp;" AZN* . Hörmətlə  *AlumPro*"</f>
        <v>Hörmətli *Ehed Qorizont*  ,Sizin *04,01,2025* tarixli sifarişiniz qeydə alındı. Sifariş Məbləğı *455 AZN* , Qalıq *455 AZN* . Hörmətlə  *AlumPro*</v>
      </c>
      <c r="AV7" s="187" t="str">
        <f>"Hörmətli *"&amp;Tablo7[[#This Row],[Müştəri]]&amp;"* , sizin *"&amp;G7&amp;"* tarixli  sifarişiniz hazırdır . Bizi seçdiyiniz üçün minnətdarıq. Hörmətlə  *AlumPro*."</f>
        <v>Hörmətli *Ehed Qorizont* , sizin *04,01,2025* tarixli  sifarişiniz hazırdır . Bizi seçdiyiniz üçün minnətdarıq. Hörmətlə  *AlumPro*.</v>
      </c>
      <c r="AW7" s="188" t="str">
        <f t="shared" ref="AW7" si="6">SUBSTITUTE(AX7," ","")</f>
        <v>Ehed</v>
      </c>
      <c r="AX7" s="253" t="str">
        <f t="shared" si="2"/>
        <v xml:space="preserve">Ehed </v>
      </c>
    </row>
    <row r="8" spans="2:52">
      <c r="D8" s="178">
        <v>328</v>
      </c>
      <c r="E8" s="179" t="s">
        <v>129</v>
      </c>
      <c r="F8" s="179" t="s">
        <v>118</v>
      </c>
      <c r="G8" s="212" t="s">
        <v>130</v>
      </c>
      <c r="H8" s="179" t="s">
        <v>131</v>
      </c>
      <c r="I8" s="179" t="s">
        <v>132</v>
      </c>
      <c r="J8" s="179">
        <v>0</v>
      </c>
      <c r="K8" s="179"/>
      <c r="L8" s="179"/>
      <c r="M8" s="179" t="str">
        <f>_xlfn.XLOOKUP(Tablo7[[#This Row],[Yan Profili]],Anbar!$J$3:$J$1000,Anbar!$H$3:$H$1000,"Tapilmadi")</f>
        <v>Tapilmadi</v>
      </c>
      <c r="N8" s="179">
        <v>0</v>
      </c>
      <c r="O8" s="179">
        <v>659</v>
      </c>
      <c r="P8" s="179"/>
      <c r="Q8" s="179">
        <f>_xlfn.XLOOKUP(Tablo7[[#This Row],[Qulp növü]],Anbar!$J$3:$J$1000,Anbar!$H$3:$H$1000,"Tapilmadi")</f>
        <v>0</v>
      </c>
      <c r="R8" s="179">
        <v>0</v>
      </c>
      <c r="S8" s="180">
        <v>0</v>
      </c>
      <c r="T8" s="181"/>
      <c r="U8" s="179" t="str">
        <f>_xlfn.XLOOKUP(Tablo7[[#This Row],[Petlə]],Anbar!$J$3:$J$1000,Anbar!$H$3:$H$1000,"Tapilmadi")</f>
        <v>Tapilmadi</v>
      </c>
      <c r="V8" s="179">
        <v>0</v>
      </c>
      <c r="W8" s="180">
        <v>0</v>
      </c>
      <c r="X8" s="269">
        <v>0</v>
      </c>
      <c r="Y8" s="179" t="s">
        <v>36</v>
      </c>
      <c r="Z8" s="182"/>
      <c r="AA8" s="180">
        <v>0</v>
      </c>
      <c r="AB8" s="180"/>
      <c r="AC8" s="179" t="str">
        <f>_xlfn.XLOOKUP(Tablo7[[#This Row],[Bağlantı]],Anbar!$J$3:$J$1000,Anbar!$H$3:$H$1000,"Tapilmadi")</f>
        <v>Tapilmadi</v>
      </c>
      <c r="AD8" s="179"/>
      <c r="AE8" s="180">
        <v>0</v>
      </c>
      <c r="AF8" s="180"/>
      <c r="AG8" s="179" t="str">
        <f>_xlfn.XLOOKUP(Tablo7[[#This Row],[Mexanizm]],Anbar!$J$3:$J$1000,Anbar!$H$3:$H$1000,"Tapilmadi")</f>
        <v>Tapilmadi</v>
      </c>
      <c r="AH8" s="179">
        <v>1</v>
      </c>
      <c r="AI8" s="180">
        <v>0</v>
      </c>
      <c r="AJ8" s="180">
        <v>0</v>
      </c>
      <c r="AK8" s="180">
        <v>0</v>
      </c>
      <c r="AL8" s="180">
        <v>0</v>
      </c>
      <c r="AM8" s="180">
        <v>659</v>
      </c>
      <c r="AN8" s="180">
        <v>0</v>
      </c>
      <c r="AO8" s="180">
        <v>659</v>
      </c>
      <c r="AP8" s="194">
        <f>Tablo7[[#This Row],[Ümumi məbləğ]]-Tablo7[[#This Row],[Ödəniş]]-Tablo7[[#This Row],[Endirim]]</f>
        <v>0</v>
      </c>
      <c r="AQ8" s="183" t="str">
        <f t="shared" si="0"/>
        <v>Mesaj</v>
      </c>
      <c r="AR8" s="183" t="str">
        <f t="shared" si="1"/>
        <v>Mesaj</v>
      </c>
      <c r="AS8" s="184" t="str">
        <f>IF(ISNA(VLOOKUP(Tablo7[[#This Row],[Sifariş kodu]],'Kəsim ve təhvil'!$E$5:$E1006,1,0)),"Qəbul edilməyib","Qəbul edilib")</f>
        <v>Qəbul edilməyib</v>
      </c>
      <c r="AT8" s="185" t="str">
        <f>IF(ISNA(VLOOKUP(Tablo7[[#This Row],[Sifariş kodu]],'Kəsim ve təhvil'!$H$5:$H1006,1,0)),"Anbardadır","Təhvil verilib")</f>
        <v>Anbardadır</v>
      </c>
      <c r="AU8" s="186" t="str">
        <f>"Hörmətli *"&amp;Tablo7[[#This Row],[Müştəri]]&amp;"*  ,Sizin *"&amp;G8&amp;"* tarixli sifarişiniz qeydə alındı. Sifariş Məbləğı *"&amp;AM8&amp;" AZN* , Qalıq *"&amp;AP8&amp;" AZN* . Hörmətlə  *AlumPro*"</f>
        <v>Hörmətli *Togrul Mikayil*  ,Sizin *1/15/2025* tarixli sifarişiniz qeydə alındı. Sifariş Məbləğı *659 AZN* , Qalıq *0 AZN* . Hörmətlə  *AlumPro*</v>
      </c>
      <c r="AV8" s="187" t="str">
        <f>"Hörmətli *"&amp;Tablo7[[#This Row],[Müştəri]]&amp;"* , sizin *"&amp;G8&amp;"* tarixli  sifarişiniz hazırdır . Bizi seçdiyiniz üçün minnətdarıq. Hörmətlə  *AlumPro*."</f>
        <v>Hörmətli *Togrul Mikayil* , sizin *1/15/2025* tarixli  sifarişiniz hazırdır . Bizi seçdiyiniz üçün minnətdarıq. Hörmətlə  *AlumPro*.</v>
      </c>
      <c r="AW8" s="188" t="str">
        <f t="shared" ref="AW8" si="7">SUBSTITUTE(AX8," ","")</f>
        <v>Togrul</v>
      </c>
      <c r="AX8" s="253" t="str">
        <f t="shared" si="2"/>
        <v xml:space="preserve">Togrul </v>
      </c>
    </row>
    <row r="9" spans="2:52">
      <c r="D9" s="178">
        <v>327</v>
      </c>
      <c r="E9" s="179" t="s">
        <v>133</v>
      </c>
      <c r="F9" s="179" t="s">
        <v>118</v>
      </c>
      <c r="G9" s="212" t="s">
        <v>134</v>
      </c>
      <c r="H9" s="179" t="s">
        <v>135</v>
      </c>
      <c r="I9" s="179" t="s">
        <v>136</v>
      </c>
      <c r="J9" s="179">
        <v>0</v>
      </c>
      <c r="K9" s="179"/>
      <c r="L9" s="179"/>
      <c r="M9" s="179">
        <f>_xlfn.XLOOKUP(Tablo7[[#This Row],[Yan Profili]],Anbar!$J$3:$J$1000,Anbar!$H$3:$H$1000,"Tapilmadi")</f>
        <v>0</v>
      </c>
      <c r="N9" s="179">
        <v>0</v>
      </c>
      <c r="O9" s="179">
        <v>173</v>
      </c>
      <c r="P9" s="179"/>
      <c r="Q9" s="179" t="str">
        <f>_xlfn.XLOOKUP(Tablo7[[#This Row],[Qulp növü]],Anbar!$J$3:$J$1000,Anbar!$H$3:$H$1000,"Tapilmadi")</f>
        <v>Tapilmadi</v>
      </c>
      <c r="R9" s="179">
        <v>0</v>
      </c>
      <c r="S9" s="180">
        <v>0</v>
      </c>
      <c r="T9" s="181"/>
      <c r="U9" s="179" t="str">
        <f>_xlfn.XLOOKUP(Tablo7[[#This Row],[Petlə]],Anbar!$J$3:$J$1000,Anbar!$H$3:$H$1000,"Tapilmadi")</f>
        <v>Tapilmadi</v>
      </c>
      <c r="V9" s="179">
        <v>0</v>
      </c>
      <c r="W9" s="180">
        <v>0</v>
      </c>
      <c r="X9" s="269">
        <v>0</v>
      </c>
      <c r="Y9" s="179" t="s">
        <v>36</v>
      </c>
      <c r="Z9" s="182"/>
      <c r="AA9" s="180">
        <v>0</v>
      </c>
      <c r="AB9" s="180"/>
      <c r="AC9" s="179" t="str">
        <f>_xlfn.XLOOKUP(Tablo7[[#This Row],[Bağlantı]],Anbar!$J$3:$J$1000,Anbar!$H$3:$H$1000,"Tapilmadi")</f>
        <v>Tapilmadi</v>
      </c>
      <c r="AD9" s="179"/>
      <c r="AE9" s="180">
        <v>0</v>
      </c>
      <c r="AF9" s="180"/>
      <c r="AG9" s="179" t="str">
        <f>_xlfn.XLOOKUP(Tablo7[[#This Row],[Mexanizm]],Anbar!$J$3:$J$1000,Anbar!$H$3:$H$1000,"Tapilmadi")</f>
        <v>Tapilmadi</v>
      </c>
      <c r="AH9" s="179">
        <v>1</v>
      </c>
      <c r="AI9" s="180">
        <v>0</v>
      </c>
      <c r="AJ9" s="180">
        <v>0</v>
      </c>
      <c r="AK9" s="180">
        <v>0</v>
      </c>
      <c r="AL9" s="180">
        <v>0</v>
      </c>
      <c r="AM9" s="180">
        <v>173</v>
      </c>
      <c r="AN9" s="180">
        <v>0</v>
      </c>
      <c r="AO9" s="180">
        <v>173</v>
      </c>
      <c r="AP9" s="194">
        <f>Tablo7[[#This Row],[Ümumi məbləğ]]-Tablo7[[#This Row],[Ödəniş]]-Tablo7[[#This Row],[Endirim]]</f>
        <v>0</v>
      </c>
      <c r="AQ9" s="183" t="str">
        <f t="shared" si="0"/>
        <v>Mesaj</v>
      </c>
      <c r="AR9" s="183" t="str">
        <f t="shared" si="1"/>
        <v>Mesaj</v>
      </c>
      <c r="AS9" s="184" t="str">
        <f>IF(ISNA(VLOOKUP(Tablo7[[#This Row],[Sifariş kodu]],'Kəsim ve təhvil'!$E$5:$E1007,1,0)),"Qəbul edilməyib","Qəbul edilib")</f>
        <v>Qəbul edilməyib</v>
      </c>
      <c r="AT9" s="185" t="str">
        <f>IF(ISNA(VLOOKUP(Tablo7[[#This Row],[Sifariş kodu]],'Kəsim ve təhvil'!$H$5:$H1007,1,0)),"Anbardadır","Təhvil verilib")</f>
        <v>Anbardadır</v>
      </c>
      <c r="AU9" s="186" t="str">
        <f>"Hörmətli *"&amp;Tablo7[[#This Row],[Müştəri]]&amp;"*  ,Sizin *"&amp;G9&amp;"* tarixli sifarişiniz qeydə alındı. Sifariş Məbləğı *"&amp;AM9&amp;" AZN* , Qalıq *"&amp;AP9&amp;" AZN* . Hörmətlə  *AlumPro*"</f>
        <v>Hörmətli *Ramal Subhan*  ,Sizin *14,01,2025* tarixli sifarişiniz qeydə alındı. Sifariş Məbləğı *173 AZN* , Qalıq *0 AZN* . Hörmətlə  *AlumPro*</v>
      </c>
      <c r="AV9" s="187" t="str">
        <f>"Hörmətli *"&amp;Tablo7[[#This Row],[Müştəri]]&amp;"* , sizin *"&amp;G9&amp;"* tarixli  sifarişiniz hazırdır . Bizi seçdiyiniz üçün minnətdarıq. Hörmətlə  *AlumPro*."</f>
        <v>Hörmətli *Ramal Subhan* , sizin *14,01,2025* tarixli  sifarişiniz hazırdır . Bizi seçdiyiniz üçün minnətdarıq. Hörmətlə  *AlumPro*.</v>
      </c>
      <c r="AW9" s="188" t="str">
        <f t="shared" ref="AW9" si="8">SUBSTITUTE(AX9," ","")</f>
        <v>Ramal</v>
      </c>
      <c r="AX9" s="253" t="str">
        <f t="shared" si="2"/>
        <v xml:space="preserve">Ramal </v>
      </c>
    </row>
    <row r="10" spans="2:52">
      <c r="D10" s="178">
        <v>325</v>
      </c>
      <c r="E10" s="179" t="s">
        <v>137</v>
      </c>
      <c r="F10" s="179" t="s">
        <v>118</v>
      </c>
      <c r="G10" s="212" t="s">
        <v>134</v>
      </c>
      <c r="H10" s="179" t="s">
        <v>138</v>
      </c>
      <c r="I10" s="179" t="s">
        <v>139</v>
      </c>
      <c r="J10" s="179">
        <v>0</v>
      </c>
      <c r="K10" s="179"/>
      <c r="L10" s="179"/>
      <c r="M10" s="179" t="str">
        <f>_xlfn.XLOOKUP(Tablo7[[#This Row],[Yan Profili]],Anbar!$J$3:$J$1000,Anbar!$H$3:$H$1000,"Tapilmadi")</f>
        <v>Tapilmadi</v>
      </c>
      <c r="N10" s="179">
        <v>0</v>
      </c>
      <c r="O10" s="179">
        <v>363</v>
      </c>
      <c r="P10" s="179"/>
      <c r="Q10" s="179" t="str">
        <f>_xlfn.XLOOKUP(Tablo7[[#This Row],[Qulp növü]],Anbar!$J$3:$J$1000,Anbar!$H$3:$H$1000,"Tapilmadi")</f>
        <v>Tapilmadi</v>
      </c>
      <c r="R10" s="179">
        <v>0</v>
      </c>
      <c r="S10" s="180">
        <v>0</v>
      </c>
      <c r="T10" s="181"/>
      <c r="U10" s="179" t="str">
        <f>_xlfn.XLOOKUP(Tablo7[[#This Row],[Petlə]],Anbar!$J$3:$J$1000,Anbar!$H$3:$H$1000,"Tapilmadi")</f>
        <v>Tapilmadi</v>
      </c>
      <c r="V10" s="179">
        <v>0</v>
      </c>
      <c r="W10" s="180">
        <v>0</v>
      </c>
      <c r="X10" s="269">
        <v>0</v>
      </c>
      <c r="Y10" s="179" t="s">
        <v>36</v>
      </c>
      <c r="Z10" s="182"/>
      <c r="AA10" s="180">
        <v>0</v>
      </c>
      <c r="AB10" s="180"/>
      <c r="AC10" s="179" t="str">
        <f>_xlfn.XLOOKUP(Tablo7[[#This Row],[Bağlantı]],Anbar!$J$3:$J$1000,Anbar!$H$3:$H$1000,"Tapilmadi")</f>
        <v>Tapilmadi</v>
      </c>
      <c r="AD10" s="179"/>
      <c r="AE10" s="180">
        <v>0</v>
      </c>
      <c r="AF10" s="180"/>
      <c r="AG10" s="179" t="str">
        <f>_xlfn.XLOOKUP(Tablo7[[#This Row],[Mexanizm]],Anbar!$J$3:$J$1000,Anbar!$H$3:$H$1000,"Tapilmadi")</f>
        <v>Tapilmadi</v>
      </c>
      <c r="AH10" s="179">
        <v>1</v>
      </c>
      <c r="AI10" s="180">
        <v>0</v>
      </c>
      <c r="AJ10" s="180">
        <v>0</v>
      </c>
      <c r="AK10" s="180">
        <v>0</v>
      </c>
      <c r="AL10" s="180">
        <v>0</v>
      </c>
      <c r="AM10" s="180">
        <v>363</v>
      </c>
      <c r="AN10" s="180">
        <v>0</v>
      </c>
      <c r="AO10" s="180">
        <v>200</v>
      </c>
      <c r="AP10" s="194">
        <f>Tablo7[[#This Row],[Ümumi məbləğ]]-Tablo7[[#This Row],[Ödəniş]]-Tablo7[[#This Row],[Endirim]]</f>
        <v>163</v>
      </c>
      <c r="AQ10" s="183" t="str">
        <f t="shared" si="0"/>
        <v>Mesaj</v>
      </c>
      <c r="AR10" s="183" t="str">
        <f t="shared" si="1"/>
        <v>Mesaj</v>
      </c>
      <c r="AS10" s="184" t="str">
        <f>IF(ISNA(VLOOKUP(Tablo7[[#This Row],[Sifariş kodu]],'Kəsim ve təhvil'!$E$5:$E1008,1,0)),"Qəbul edilməyib","Qəbul edilib")</f>
        <v>Qəbul edilməyib</v>
      </c>
      <c r="AT10" s="185" t="str">
        <f>IF(ISNA(VLOOKUP(Tablo7[[#This Row],[Sifariş kodu]],'Kəsim ve təhvil'!$H$5:$H1008,1,0)),"Anbardadır","Təhvil verilib")</f>
        <v>Anbardadır</v>
      </c>
      <c r="AU10" s="186" t="str">
        <f>"Hörmətli *"&amp;Tablo7[[#This Row],[Müştəri]]&amp;"*  ,Sizin *"&amp;G10&amp;"* tarixli sifarişiniz qeydə alındı. Sifariş Məbləğı *"&amp;AM10&amp;" AZN* , Qalıq *"&amp;AP10&amp;" AZN* . Hörmətlə  *AlumPro*"</f>
        <v>Hörmətli *Omer Isazade*  ,Sizin *14,01,2025* tarixli sifarişiniz qeydə alındı. Sifariş Məbləğı *363 AZN* , Qalıq *163 AZN* . Hörmətlə  *AlumPro*</v>
      </c>
      <c r="AV10" s="187" t="str">
        <f>"Hörmətli *"&amp;Tablo7[[#This Row],[Müştəri]]&amp;"* , sizin *"&amp;G10&amp;"* tarixli  sifarişiniz hazırdır . Bizi seçdiyiniz üçün minnətdarıq. Hörmətlə  *AlumPro*."</f>
        <v>Hörmətli *Omer Isazade* , sizin *14,01,2025* tarixli  sifarişiniz hazırdır . Bizi seçdiyiniz üçün minnətdarıq. Hörmətlə  *AlumPro*.</v>
      </c>
      <c r="AW10" s="188" t="str">
        <f t="shared" ref="AW10" si="9">SUBSTITUTE(AX10," ","")</f>
        <v>Omer</v>
      </c>
      <c r="AX10" s="253" t="str">
        <f t="shared" si="2"/>
        <v xml:space="preserve">Omer </v>
      </c>
    </row>
    <row r="11" spans="2:52">
      <c r="D11" s="178">
        <v>324</v>
      </c>
      <c r="E11" s="179" t="s">
        <v>140</v>
      </c>
      <c r="F11" s="179" t="s">
        <v>118</v>
      </c>
      <c r="G11" s="212" t="s">
        <v>134</v>
      </c>
      <c r="H11" s="179" t="s">
        <v>141</v>
      </c>
      <c r="I11" s="179" t="s">
        <v>142</v>
      </c>
      <c r="J11" s="179">
        <v>0</v>
      </c>
      <c r="K11" s="179"/>
      <c r="L11" s="179"/>
      <c r="M11" s="179" t="str">
        <f>_xlfn.XLOOKUP(Tablo7[[#This Row],[Yan Profili]],Anbar!$J$3:$J$1000,Anbar!$H$3:$H$1000,"Tapilmadi")</f>
        <v>Tapilmadi</v>
      </c>
      <c r="N11" s="179">
        <v>0</v>
      </c>
      <c r="O11" s="179">
        <v>99</v>
      </c>
      <c r="P11" s="179"/>
      <c r="Q11" s="179" t="str">
        <f>_xlfn.XLOOKUP(Tablo7[[#This Row],[Qulp növü]],Anbar!$J$3:$J$1000,Anbar!$H$3:$H$1000,"Tapilmadi")</f>
        <v>Tapilmadi</v>
      </c>
      <c r="R11" s="179">
        <v>0</v>
      </c>
      <c r="S11" s="180">
        <v>0</v>
      </c>
      <c r="T11" s="181"/>
      <c r="U11" s="179" t="str">
        <f>_xlfn.XLOOKUP(Tablo7[[#This Row],[Petlə]],Anbar!$J$3:$J$1000,Anbar!$H$3:$H$1000,"Tapilmadi")</f>
        <v>Tapilmadi</v>
      </c>
      <c r="V11" s="179">
        <v>0</v>
      </c>
      <c r="W11" s="180">
        <v>0</v>
      </c>
      <c r="X11" s="269">
        <v>0</v>
      </c>
      <c r="Y11" s="179" t="s">
        <v>36</v>
      </c>
      <c r="Z11" s="182"/>
      <c r="AA11" s="180">
        <v>0</v>
      </c>
      <c r="AB11" s="180"/>
      <c r="AC11" s="179" t="str">
        <f>_xlfn.XLOOKUP(Tablo7[[#This Row],[Bağlantı]],Anbar!$J$3:$J$1000,Anbar!$H$3:$H$1000,"Tapilmadi")</f>
        <v>Tapilmadi</v>
      </c>
      <c r="AD11" s="179"/>
      <c r="AE11" s="180">
        <v>0</v>
      </c>
      <c r="AF11" s="180"/>
      <c r="AG11" s="179" t="str">
        <f>_xlfn.XLOOKUP(Tablo7[[#This Row],[Mexanizm]],Anbar!$J$3:$J$1000,Anbar!$H$3:$H$1000,"Tapilmadi")</f>
        <v>Tapilmadi</v>
      </c>
      <c r="AH11" s="179">
        <v>1</v>
      </c>
      <c r="AI11" s="180">
        <v>0</v>
      </c>
      <c r="AJ11" s="180">
        <v>0</v>
      </c>
      <c r="AK11" s="180">
        <v>0</v>
      </c>
      <c r="AL11" s="180">
        <v>0</v>
      </c>
      <c r="AM11" s="180">
        <v>99</v>
      </c>
      <c r="AN11" s="180">
        <v>0</v>
      </c>
      <c r="AO11" s="180">
        <v>45</v>
      </c>
      <c r="AP11" s="194">
        <f>Tablo7[[#This Row],[Ümumi məbləğ]]-Tablo7[[#This Row],[Ödəniş]]-Tablo7[[#This Row],[Endirim]]</f>
        <v>54</v>
      </c>
      <c r="AQ11" s="183" t="str">
        <f t="shared" si="0"/>
        <v>Mesaj</v>
      </c>
      <c r="AR11" s="183" t="str">
        <f t="shared" si="1"/>
        <v>Mesaj</v>
      </c>
      <c r="AS11" s="184" t="str">
        <f>IF(ISNA(VLOOKUP(Tablo7[[#This Row],[Sifariş kodu]],'Kəsim ve təhvil'!$E$5:$E1009,1,0)),"Qəbul edilməyib","Qəbul edilib")</f>
        <v>Qəbul edilməyib</v>
      </c>
      <c r="AT11" s="185" t="str">
        <f>IF(ISNA(VLOOKUP(Tablo7[[#This Row],[Sifariş kodu]],'Kəsim ve təhvil'!$H$5:$H1009,1,0)),"Anbardadır","Təhvil verilib")</f>
        <v>Anbardadır</v>
      </c>
      <c r="AU11" s="186" t="str">
        <f>"Hörmətli *"&amp;Tablo7[[#This Row],[Müştəri]]&amp;"*  ,Sizin *"&amp;G11&amp;"* tarixli sifarişiniz qeydə alındı. Sifariş Məbləğı *"&amp;AM11&amp;" AZN* , Qalıq *"&amp;AP11&amp;" AZN* . Hörmətlə  *AlumPro*"</f>
        <v>Hörmətli *Huseyn Ozturk*  ,Sizin *14,01,2025* tarixli sifarişiniz qeydə alındı. Sifariş Məbləğı *99 AZN* , Qalıq *54 AZN* . Hörmətlə  *AlumPro*</v>
      </c>
      <c r="AV11" s="187" t="str">
        <f>"Hörmətli *"&amp;Tablo7[[#This Row],[Müştəri]]&amp;"* , sizin *"&amp;G11&amp;"* tarixli  sifarişiniz hazırdır . Bizi seçdiyiniz üçün minnətdarıq. Hörmətlə  *AlumPro*."</f>
        <v>Hörmətli *Huseyn Ozturk* , sizin *14,01,2025* tarixli  sifarişiniz hazırdır . Bizi seçdiyiniz üçün minnətdarıq. Hörmətlə  *AlumPro*.</v>
      </c>
      <c r="AW11" s="188" t="str">
        <f t="shared" ref="AW11" si="10">SUBSTITUTE(AX11," ","")</f>
        <v>Huseyn</v>
      </c>
      <c r="AX11" s="253" t="str">
        <f t="shared" si="2"/>
        <v xml:space="preserve">Huseyn </v>
      </c>
    </row>
    <row r="12" spans="2:52">
      <c r="D12" s="178">
        <v>323</v>
      </c>
      <c r="E12" s="179" t="s">
        <v>143</v>
      </c>
      <c r="F12" s="179" t="s">
        <v>118</v>
      </c>
      <c r="G12" s="212" t="s">
        <v>134</v>
      </c>
      <c r="H12" s="179" t="s">
        <v>144</v>
      </c>
      <c r="I12" s="179" t="s">
        <v>145</v>
      </c>
      <c r="J12" s="179">
        <v>0</v>
      </c>
      <c r="K12" s="179"/>
      <c r="L12" s="179"/>
      <c r="M12" s="179" t="str">
        <f>_xlfn.XLOOKUP(Tablo7[[#This Row],[Yan Profili]],Anbar!$J$3:$J$1000,Anbar!$H$3:$H$1000,"Tapilmadi")</f>
        <v>Tapilmadi</v>
      </c>
      <c r="N12" s="179">
        <v>0</v>
      </c>
      <c r="O12" s="179">
        <v>259</v>
      </c>
      <c r="P12" s="179"/>
      <c r="Q12" s="179" t="str">
        <f>_xlfn.XLOOKUP(Tablo7[[#This Row],[Qulp növü]],Anbar!$J$3:$J$1000,Anbar!$H$3:$H$1000,"Tapilmadi")</f>
        <v>Tapilmadi</v>
      </c>
      <c r="R12" s="179">
        <v>0</v>
      </c>
      <c r="S12" s="180">
        <v>0</v>
      </c>
      <c r="T12" s="181"/>
      <c r="U12" s="179" t="str">
        <f>_xlfn.XLOOKUP(Tablo7[[#This Row],[Petlə]],Anbar!$J$3:$J$1000,Anbar!$H$3:$H$1000,"Tapilmadi")</f>
        <v>Tapilmadi</v>
      </c>
      <c r="V12" s="179">
        <v>0</v>
      </c>
      <c r="W12" s="180">
        <v>0</v>
      </c>
      <c r="X12" s="269">
        <v>0</v>
      </c>
      <c r="Y12" s="179" t="s">
        <v>36</v>
      </c>
      <c r="Z12" s="182"/>
      <c r="AA12" s="180">
        <v>0</v>
      </c>
      <c r="AB12" s="180"/>
      <c r="AC12" s="179" t="str">
        <f>_xlfn.XLOOKUP(Tablo7[[#This Row],[Bağlantı]],Anbar!$J$3:$J$1000,Anbar!$H$3:$H$1000,"Tapilmadi")</f>
        <v>Tapilmadi</v>
      </c>
      <c r="AD12" s="179"/>
      <c r="AE12" s="180">
        <v>0</v>
      </c>
      <c r="AF12" s="180"/>
      <c r="AG12" s="179" t="str">
        <f>_xlfn.XLOOKUP(Tablo7[[#This Row],[Mexanizm]],Anbar!$J$3:$J$1000,Anbar!$H$3:$H$1000,"Tapilmadi")</f>
        <v>Tapilmadi</v>
      </c>
      <c r="AH12" s="179">
        <v>1</v>
      </c>
      <c r="AI12" s="180">
        <v>0</v>
      </c>
      <c r="AJ12" s="180">
        <v>0</v>
      </c>
      <c r="AK12" s="180">
        <v>0</v>
      </c>
      <c r="AL12" s="180">
        <v>0</v>
      </c>
      <c r="AM12" s="180">
        <v>259</v>
      </c>
      <c r="AN12" s="180">
        <v>0</v>
      </c>
      <c r="AO12" s="180">
        <v>259</v>
      </c>
      <c r="AP12" s="194">
        <f>Tablo7[[#This Row],[Ümumi məbləğ]]-Tablo7[[#This Row],[Ödəniş]]-Tablo7[[#This Row],[Endirim]]</f>
        <v>0</v>
      </c>
      <c r="AQ12" s="183" t="str">
        <f t="shared" si="0"/>
        <v>Mesaj</v>
      </c>
      <c r="AR12" s="183" t="str">
        <f t="shared" si="1"/>
        <v>Mesaj</v>
      </c>
      <c r="AS12" s="184" t="str">
        <f>IF(ISNA(VLOOKUP(Tablo7[[#This Row],[Sifariş kodu]],'Kəsim ve təhvil'!$E$5:$E1010,1,0)),"Qəbul edilməyib","Qəbul edilib")</f>
        <v>Qəbul edilməyib</v>
      </c>
      <c r="AT12" s="185" t="str">
        <f>IF(ISNA(VLOOKUP(Tablo7[[#This Row],[Sifariş kodu]],'Kəsim ve təhvil'!$H$5:$H1010,1,0)),"Anbardadır","Təhvil verilib")</f>
        <v>Anbardadır</v>
      </c>
      <c r="AU12" s="186" t="str">
        <f>"Hörmətli *"&amp;Tablo7[[#This Row],[Müştəri]]&amp;"*  ,Sizin *"&amp;G12&amp;"* tarixli sifarişiniz qeydə alındı. Sifariş Məbləğı *"&amp;AM12&amp;" AZN* , Qalıq *"&amp;AP12&amp;" AZN* . Hörmətlə  *AlumPro*"</f>
        <v>Hörmətli *Emin Serkerli*  ,Sizin *14,01,2025* tarixli sifarişiniz qeydə alındı. Sifariş Məbləğı *259 AZN* , Qalıq *0 AZN* . Hörmətlə  *AlumPro*</v>
      </c>
      <c r="AV12" s="187" t="str">
        <f>"Hörmətli *"&amp;Tablo7[[#This Row],[Müştəri]]&amp;"* , sizin *"&amp;G12&amp;"* tarixli  sifarişiniz hazırdır . Bizi seçdiyiniz üçün minnətdarıq. Hörmətlə  *AlumPro*."</f>
        <v>Hörmətli *Emin Serkerli* , sizin *14,01,2025* tarixli  sifarişiniz hazırdır . Bizi seçdiyiniz üçün minnətdarıq. Hörmətlə  *AlumPro*.</v>
      </c>
      <c r="AW12" s="188" t="str">
        <f t="shared" ref="AW12" si="11">SUBSTITUTE(AX12," ","")</f>
        <v>Emin</v>
      </c>
      <c r="AX12" s="253" t="str">
        <f t="shared" si="2"/>
        <v xml:space="preserve">Emin </v>
      </c>
    </row>
    <row r="13" spans="2:52">
      <c r="D13" s="178">
        <v>322</v>
      </c>
      <c r="E13" s="179" t="s">
        <v>146</v>
      </c>
      <c r="F13" s="179" t="s">
        <v>118</v>
      </c>
      <c r="G13" s="212" t="s">
        <v>134</v>
      </c>
      <c r="H13" s="179" t="s">
        <v>147</v>
      </c>
      <c r="I13" s="179" t="s">
        <v>148</v>
      </c>
      <c r="J13" s="179">
        <v>0</v>
      </c>
      <c r="K13" s="179"/>
      <c r="L13" s="179"/>
      <c r="M13" s="179" t="str">
        <f>_xlfn.XLOOKUP(Tablo7[[#This Row],[Yan Profili]],Anbar!$J$3:$J$1000,Anbar!$H$3:$H$1000,"Tapilmadi")</f>
        <v>Tapilmadi</v>
      </c>
      <c r="N13" s="179">
        <v>0</v>
      </c>
      <c r="O13" s="179">
        <v>940</v>
      </c>
      <c r="P13" s="179"/>
      <c r="Q13" s="179" t="str">
        <f>_xlfn.XLOOKUP(Tablo7[[#This Row],[Qulp növü]],Anbar!$J$3:$J$1000,Anbar!$H$3:$H$1000,"Tapilmadi")</f>
        <v>Tapilmadi</v>
      </c>
      <c r="R13" s="179">
        <v>0</v>
      </c>
      <c r="S13" s="180">
        <v>0</v>
      </c>
      <c r="T13" s="181"/>
      <c r="U13" s="179" t="str">
        <f>_xlfn.XLOOKUP(Tablo7[[#This Row],[Petlə]],Anbar!$J$3:$J$1000,Anbar!$H$3:$H$1000,"Tapilmadi")</f>
        <v>Tapilmadi</v>
      </c>
      <c r="V13" s="179">
        <v>0</v>
      </c>
      <c r="W13" s="180">
        <v>0</v>
      </c>
      <c r="X13" s="269">
        <v>0</v>
      </c>
      <c r="Y13" s="179" t="s">
        <v>36</v>
      </c>
      <c r="Z13" s="182"/>
      <c r="AA13" s="180">
        <v>0</v>
      </c>
      <c r="AB13" s="180"/>
      <c r="AC13" s="179" t="str">
        <f>_xlfn.XLOOKUP(Tablo7[[#This Row],[Bağlantı]],Anbar!$J$3:$J$1000,Anbar!$H$3:$H$1000,"Tapilmadi")</f>
        <v>Tapilmadi</v>
      </c>
      <c r="AD13" s="179"/>
      <c r="AE13" s="180">
        <v>0</v>
      </c>
      <c r="AF13" s="180"/>
      <c r="AG13" s="179" t="str">
        <f>_xlfn.XLOOKUP(Tablo7[[#This Row],[Mexanizm]],Anbar!$J$3:$J$1000,Anbar!$H$3:$H$1000,"Tapilmadi")</f>
        <v>Tapilmadi</v>
      </c>
      <c r="AH13" s="179">
        <v>1</v>
      </c>
      <c r="AI13" s="180">
        <v>0</v>
      </c>
      <c r="AJ13" s="180">
        <v>0</v>
      </c>
      <c r="AK13" s="180">
        <v>0</v>
      </c>
      <c r="AL13" s="180">
        <v>0</v>
      </c>
      <c r="AM13" s="180">
        <v>940</v>
      </c>
      <c r="AN13" s="180">
        <v>40</v>
      </c>
      <c r="AO13" s="180">
        <v>200</v>
      </c>
      <c r="AP13" s="194">
        <f>Tablo7[[#This Row],[Ümumi məbləğ]]-Tablo7[[#This Row],[Ödəniş]]-Tablo7[[#This Row],[Endirim]]</f>
        <v>700</v>
      </c>
      <c r="AQ13" s="183" t="str">
        <f t="shared" si="0"/>
        <v>Mesaj</v>
      </c>
      <c r="AR13" s="183" t="str">
        <f t="shared" si="1"/>
        <v>Mesaj</v>
      </c>
      <c r="AS13" s="184" t="str">
        <f>IF(ISNA(VLOOKUP(Tablo7[[#This Row],[Sifariş kodu]],'Kəsim ve təhvil'!$E$5:$E1011,1,0)),"Qəbul edilməyib","Qəbul edilib")</f>
        <v>Qəbul edilməyib</v>
      </c>
      <c r="AT13" s="185" t="str">
        <f>IF(ISNA(VLOOKUP(Tablo7[[#This Row],[Sifariş kodu]],'Kəsim ve təhvil'!$H$5:$H1011,1,0)),"Anbardadır","Təhvil verilib")</f>
        <v>Anbardadır</v>
      </c>
      <c r="AU13" s="186" t="str">
        <f>"Hörmətli *"&amp;Tablo7[[#This Row],[Müştəri]]&amp;"*  ,Sizin *"&amp;G13&amp;"* tarixli sifarişiniz qeydə alındı. Sifariş Məbləğı *"&amp;AM13&amp;" AZN* , Qalıq *"&amp;AP13&amp;" AZN* . Hörmətlə  *AlumPro*"</f>
        <v>Hörmətli *Samir Gold Wood*  ,Sizin *14,01,2025* tarixli sifarişiniz qeydə alındı. Sifariş Məbləğı *940 AZN* , Qalıq *700 AZN* . Hörmətlə  *AlumPro*</v>
      </c>
      <c r="AV13" s="187" t="str">
        <f>"Hörmətli *"&amp;Tablo7[[#This Row],[Müştəri]]&amp;"* , sizin *"&amp;G13&amp;"* tarixli  sifarişiniz hazırdır . Bizi seçdiyiniz üçün minnətdarıq. Hörmətlə  *AlumPro*."</f>
        <v>Hörmətli *Samir Gold Wood* , sizin *14,01,2025* tarixli  sifarişiniz hazırdır . Bizi seçdiyiniz üçün minnətdarıq. Hörmətlə  *AlumPro*.</v>
      </c>
      <c r="AW13" s="188" t="str">
        <f t="shared" ref="AW13" si="12">SUBSTITUTE(AX13," ","")</f>
        <v>Samir</v>
      </c>
      <c r="AX13" s="253" t="str">
        <f t="shared" si="2"/>
        <v xml:space="preserve">Samir </v>
      </c>
    </row>
    <row r="14" spans="2:52">
      <c r="D14" s="178">
        <v>321</v>
      </c>
      <c r="E14" s="179" t="s">
        <v>149</v>
      </c>
      <c r="F14" s="179" t="s">
        <v>118</v>
      </c>
      <c r="G14" s="212" t="s">
        <v>134</v>
      </c>
      <c r="H14" s="179" t="s">
        <v>147</v>
      </c>
      <c r="I14" s="179" t="s">
        <v>148</v>
      </c>
      <c r="J14" s="179">
        <v>0</v>
      </c>
      <c r="K14" s="179"/>
      <c r="L14" s="179"/>
      <c r="M14" s="179" t="str">
        <f>_xlfn.XLOOKUP(Tablo7[[#This Row],[Yan Profili]],Anbar!$J$3:$J$1000,Anbar!$H$3:$H$1000,"Tapilmadi")</f>
        <v>Tapilmadi</v>
      </c>
      <c r="N14" s="179">
        <v>0</v>
      </c>
      <c r="O14" s="179">
        <v>1840</v>
      </c>
      <c r="P14" s="179"/>
      <c r="Q14" s="179" t="str">
        <f>_xlfn.XLOOKUP(Tablo7[[#This Row],[Qulp növü]],Anbar!$J$3:$J$1000,Anbar!$H$3:$H$1000,"Tapilmadi")</f>
        <v>Tapilmadi</v>
      </c>
      <c r="R14" s="179">
        <v>0</v>
      </c>
      <c r="S14" s="180">
        <v>0</v>
      </c>
      <c r="T14" s="181"/>
      <c r="U14" s="179" t="str">
        <f>_xlfn.XLOOKUP(Tablo7[[#This Row],[Petlə]],Anbar!$J$3:$J$1000,Anbar!$H$3:$H$1000,"Tapilmadi")</f>
        <v>Tapilmadi</v>
      </c>
      <c r="V14" s="179">
        <v>0</v>
      </c>
      <c r="W14" s="180">
        <v>0</v>
      </c>
      <c r="X14" s="269">
        <v>0</v>
      </c>
      <c r="Y14" s="179" t="s">
        <v>36</v>
      </c>
      <c r="Z14" s="182"/>
      <c r="AA14" s="180">
        <v>0</v>
      </c>
      <c r="AB14" s="180"/>
      <c r="AC14" s="179" t="str">
        <f>_xlfn.XLOOKUP(Tablo7[[#This Row],[Bağlantı]],Anbar!$J$3:$J$1000,Anbar!$H$3:$H$1000,"Tapilmadi")</f>
        <v>Tapilmadi</v>
      </c>
      <c r="AD14" s="179"/>
      <c r="AE14" s="180">
        <v>0</v>
      </c>
      <c r="AF14" s="180"/>
      <c r="AG14" s="179" t="str">
        <f>_xlfn.XLOOKUP(Tablo7[[#This Row],[Mexanizm]],Anbar!$J$3:$J$1000,Anbar!$H$3:$H$1000,"Tapilmadi")</f>
        <v>Tapilmadi</v>
      </c>
      <c r="AH14" s="179">
        <v>1</v>
      </c>
      <c r="AI14" s="180">
        <v>0</v>
      </c>
      <c r="AJ14" s="180">
        <v>0</v>
      </c>
      <c r="AK14" s="180">
        <v>0</v>
      </c>
      <c r="AL14" s="180">
        <v>0</v>
      </c>
      <c r="AM14" s="180">
        <v>1840</v>
      </c>
      <c r="AN14" s="180">
        <v>40</v>
      </c>
      <c r="AO14" s="180">
        <v>0</v>
      </c>
      <c r="AP14" s="194">
        <f>Tablo7[[#This Row],[Ümumi məbləğ]]-Tablo7[[#This Row],[Ödəniş]]-Tablo7[[#This Row],[Endirim]]</f>
        <v>1800</v>
      </c>
      <c r="AQ14" s="183" t="str">
        <f t="shared" si="0"/>
        <v>Mesaj</v>
      </c>
      <c r="AR14" s="183" t="str">
        <f t="shared" si="1"/>
        <v>Mesaj</v>
      </c>
      <c r="AS14" s="184" t="str">
        <f>IF(ISNA(VLOOKUP(Tablo7[[#This Row],[Sifariş kodu]],'Kəsim ve təhvil'!$E$5:$E1012,1,0)),"Qəbul edilməyib","Qəbul edilib")</f>
        <v>Qəbul edilməyib</v>
      </c>
      <c r="AT14" s="185" t="str">
        <f>IF(ISNA(VLOOKUP(Tablo7[[#This Row],[Sifariş kodu]],'Kəsim ve təhvil'!$H$5:$H1012,1,0)),"Anbardadır","Təhvil verilib")</f>
        <v>Anbardadır</v>
      </c>
      <c r="AU14" s="186" t="str">
        <f>"Hörmətli *"&amp;Tablo7[[#This Row],[Müştəri]]&amp;"*  ,Sizin *"&amp;G14&amp;"* tarixli sifarişiniz qeydə alındı. Sifariş Məbləğı *"&amp;AM14&amp;" AZN* , Qalıq *"&amp;AP14&amp;" AZN* . Hörmətlə  *AlumPro*"</f>
        <v>Hörmətli *Samir Gold Wood*  ,Sizin *14,01,2025* tarixli sifarişiniz qeydə alındı. Sifariş Məbləğı *1840 AZN* , Qalıq *1800 AZN* . Hörmətlə  *AlumPro*</v>
      </c>
      <c r="AV14" s="187" t="str">
        <f>"Hörmətli *"&amp;Tablo7[[#This Row],[Müştəri]]&amp;"* , sizin *"&amp;G14&amp;"* tarixli  sifarişiniz hazırdır . Bizi seçdiyiniz üçün minnətdarıq. Hörmətlə  *AlumPro*."</f>
        <v>Hörmətli *Samir Gold Wood* , sizin *14,01,2025* tarixli  sifarişiniz hazırdır . Bizi seçdiyiniz üçün minnətdarıq. Hörmətlə  *AlumPro*.</v>
      </c>
      <c r="AW14" s="188" t="str">
        <f t="shared" ref="AW14" si="13">SUBSTITUTE(AX14," ","")</f>
        <v>Samir</v>
      </c>
      <c r="AX14" s="253" t="str">
        <f t="shared" si="2"/>
        <v xml:space="preserve">Samir </v>
      </c>
    </row>
    <row r="15" spans="2:52">
      <c r="D15" s="178">
        <v>320</v>
      </c>
      <c r="E15" s="179" t="s">
        <v>150</v>
      </c>
      <c r="F15" s="179" t="s">
        <v>118</v>
      </c>
      <c r="G15" s="212" t="s">
        <v>134</v>
      </c>
      <c r="H15" s="179" t="s">
        <v>151</v>
      </c>
      <c r="I15" s="179" t="s">
        <v>152</v>
      </c>
      <c r="J15" s="179">
        <v>0</v>
      </c>
      <c r="K15" s="179"/>
      <c r="L15" s="179"/>
      <c r="M15" s="179" t="str">
        <f>_xlfn.XLOOKUP(Tablo7[[#This Row],[Yan Profili]],Anbar!$J$3:$J$1000,Anbar!$H$3:$H$1000,"Tapilmadi")</f>
        <v>Tapilmadi</v>
      </c>
      <c r="N15" s="179">
        <v>0</v>
      </c>
      <c r="O15" s="179">
        <v>430</v>
      </c>
      <c r="P15" s="179"/>
      <c r="Q15" s="179" t="str">
        <f>_xlfn.XLOOKUP(Tablo7[[#This Row],[Qulp növü]],Anbar!$J$3:$J$1000,Anbar!$H$3:$H$1000,"Tapilmadi")</f>
        <v>Tapilmadi</v>
      </c>
      <c r="R15" s="179">
        <v>0</v>
      </c>
      <c r="S15" s="180">
        <v>0</v>
      </c>
      <c r="T15" s="181"/>
      <c r="U15" s="179" t="str">
        <f>_xlfn.XLOOKUP(Tablo7[[#This Row],[Petlə]],Anbar!$J$3:$J$1000,Anbar!$H$3:$H$1000,"Tapilmadi")</f>
        <v>Tapilmadi</v>
      </c>
      <c r="V15" s="179">
        <v>0</v>
      </c>
      <c r="W15" s="180">
        <v>0</v>
      </c>
      <c r="X15" s="269">
        <v>0</v>
      </c>
      <c r="Y15" s="179" t="s">
        <v>36</v>
      </c>
      <c r="Z15" s="182"/>
      <c r="AA15" s="180">
        <v>0</v>
      </c>
      <c r="AB15" s="180"/>
      <c r="AC15" s="179" t="str">
        <f>_xlfn.XLOOKUP(Tablo7[[#This Row],[Bağlantı]],Anbar!$J$3:$J$1000,Anbar!$H$3:$H$1000,"Tapilmadi")</f>
        <v>Tapilmadi</v>
      </c>
      <c r="AD15" s="179"/>
      <c r="AE15" s="180">
        <v>0</v>
      </c>
      <c r="AF15" s="180"/>
      <c r="AG15" s="179" t="str">
        <f>_xlfn.XLOOKUP(Tablo7[[#This Row],[Mexanizm]],Anbar!$J$3:$J$1000,Anbar!$H$3:$H$1000,"Tapilmadi")</f>
        <v>Tapilmadi</v>
      </c>
      <c r="AH15" s="179">
        <v>1</v>
      </c>
      <c r="AI15" s="180">
        <v>0</v>
      </c>
      <c r="AJ15" s="180">
        <v>0</v>
      </c>
      <c r="AK15" s="180">
        <v>0</v>
      </c>
      <c r="AL15" s="180">
        <v>0</v>
      </c>
      <c r="AM15" s="180">
        <v>430</v>
      </c>
      <c r="AN15" s="180">
        <v>60</v>
      </c>
      <c r="AO15" s="180">
        <v>0</v>
      </c>
      <c r="AP15" s="194">
        <f>Tablo7[[#This Row],[Ümumi məbləğ]]-Tablo7[[#This Row],[Ödəniş]]-Tablo7[[#This Row],[Endirim]]</f>
        <v>370</v>
      </c>
      <c r="AQ15" s="183" t="str">
        <f t="shared" si="0"/>
        <v>Mesaj</v>
      </c>
      <c r="AR15" s="183" t="str">
        <f t="shared" si="1"/>
        <v>Mesaj</v>
      </c>
      <c r="AS15" s="184" t="str">
        <f>IF(ISNA(VLOOKUP(Tablo7[[#This Row],[Sifariş kodu]],'Kəsim ve təhvil'!$E$5:$E1013,1,0)),"Qəbul edilməyib","Qəbul edilib")</f>
        <v>Qəbul edilməyib</v>
      </c>
      <c r="AT15" s="185" t="str">
        <f>IF(ISNA(VLOOKUP(Tablo7[[#This Row],[Sifariş kodu]],'Kəsim ve təhvil'!$H$5:$H1013,1,0)),"Anbardadır","Təhvil verilib")</f>
        <v>Anbardadır</v>
      </c>
      <c r="AU15" s="186" t="str">
        <f>"Hörmətli *"&amp;Tablo7[[#This Row],[Müştəri]]&amp;"*  ,Sizin *"&amp;G15&amp;"* tarixli sifarişiniz qeydə alındı. Sifariş Məbləğı *"&amp;AM15&amp;" AZN* , Qalıq *"&amp;AP15&amp;" AZN* . Hörmətlə  *AlumPro*"</f>
        <v>Hörmətli *Ibrahim Vusal Koryan*  ,Sizin *14,01,2025* tarixli sifarişiniz qeydə alındı. Sifariş Məbləğı *430 AZN* , Qalıq *370 AZN* . Hörmətlə  *AlumPro*</v>
      </c>
      <c r="AV15" s="187" t="str">
        <f>"Hörmətli *"&amp;Tablo7[[#This Row],[Müştəri]]&amp;"* , sizin *"&amp;G15&amp;"* tarixli  sifarişiniz hazırdır . Bizi seçdiyiniz üçün minnətdarıq. Hörmətlə  *AlumPro*."</f>
        <v>Hörmətli *Ibrahim Vusal Koryan* , sizin *14,01,2025* tarixli  sifarişiniz hazırdır . Bizi seçdiyiniz üçün minnətdarıq. Hörmətlə  *AlumPro*.</v>
      </c>
      <c r="AW15" s="188" t="str">
        <f t="shared" ref="AW15" si="14">SUBSTITUTE(AX15," ","")</f>
        <v>Ibrahim</v>
      </c>
      <c r="AX15" s="253" t="str">
        <f t="shared" si="2"/>
        <v xml:space="preserve">Ibrahim </v>
      </c>
    </row>
    <row r="16" spans="2:52">
      <c r="D16" s="178">
        <v>319</v>
      </c>
      <c r="E16" s="179" t="s">
        <v>153</v>
      </c>
      <c r="F16" s="179" t="s">
        <v>118</v>
      </c>
      <c r="G16" s="212" t="s">
        <v>154</v>
      </c>
      <c r="H16" s="179" t="s">
        <v>155</v>
      </c>
      <c r="I16" s="179">
        <v>0</v>
      </c>
      <c r="J16" s="179" t="s">
        <v>156</v>
      </c>
      <c r="K16" s="179"/>
      <c r="L16" s="179"/>
      <c r="M16" s="179" t="str">
        <f>_xlfn.XLOOKUP(Tablo7[[#This Row],[Yan Profili]],Anbar!$J$3:$J$1000,Anbar!$H$3:$H$1000,"Tapilmadi")</f>
        <v>Tapilmadi</v>
      </c>
      <c r="N16" s="179">
        <v>0</v>
      </c>
      <c r="O16" s="179">
        <v>500</v>
      </c>
      <c r="P16" s="179"/>
      <c r="Q16" s="179">
        <f>_xlfn.XLOOKUP(Tablo7[[#This Row],[Qulp növü]],Anbar!$J$3:$J$1000,Anbar!$H$3:$H$1000,"Tapilmadi")</f>
        <v>0</v>
      </c>
      <c r="R16" s="179">
        <v>0</v>
      </c>
      <c r="S16" s="180">
        <v>0</v>
      </c>
      <c r="T16" s="181"/>
      <c r="U16" s="179" t="str">
        <f>_xlfn.XLOOKUP(Tablo7[[#This Row],[Petlə]],Anbar!$J$3:$J$1000,Anbar!$H$3:$H$1000,"Tapilmadi")</f>
        <v>Tapilmadi</v>
      </c>
      <c r="V16" s="179">
        <v>0</v>
      </c>
      <c r="W16" s="180">
        <v>0</v>
      </c>
      <c r="X16" s="269">
        <v>0</v>
      </c>
      <c r="Y16" s="179" t="s">
        <v>36</v>
      </c>
      <c r="Z16" s="182"/>
      <c r="AA16" s="180">
        <v>0</v>
      </c>
      <c r="AB16" s="180"/>
      <c r="AC16" s="179" t="str">
        <f>_xlfn.XLOOKUP(Tablo7[[#This Row],[Bağlantı]],Anbar!$J$3:$J$1000,Anbar!$H$3:$H$1000,"Tapilmadi")</f>
        <v>Tapilmadi</v>
      </c>
      <c r="AD16" s="179"/>
      <c r="AE16" s="180">
        <v>0</v>
      </c>
      <c r="AF16" s="180"/>
      <c r="AG16" s="179" t="str">
        <f>_xlfn.XLOOKUP(Tablo7[[#This Row],[Mexanizm]],Anbar!$J$3:$J$1000,Anbar!$H$3:$H$1000,"Tapilmadi")</f>
        <v>Tapilmadi</v>
      </c>
      <c r="AH16" s="179">
        <v>1</v>
      </c>
      <c r="AI16" s="180">
        <v>0</v>
      </c>
      <c r="AJ16" s="180">
        <v>0</v>
      </c>
      <c r="AK16" s="180">
        <v>0</v>
      </c>
      <c r="AL16" s="180">
        <v>0</v>
      </c>
      <c r="AM16" s="180">
        <v>500</v>
      </c>
      <c r="AN16" s="180">
        <v>0</v>
      </c>
      <c r="AO16" s="180">
        <v>500</v>
      </c>
      <c r="AP16" s="194">
        <f>Tablo7[[#This Row],[Ümumi məbləğ]]-Tablo7[[#This Row],[Ödəniş]]-Tablo7[[#This Row],[Endirim]]</f>
        <v>0</v>
      </c>
      <c r="AQ16" s="183" t="str">
        <f t="shared" si="0"/>
        <v>Mesaj</v>
      </c>
      <c r="AR16" s="183" t="str">
        <f t="shared" si="1"/>
        <v>Mesaj</v>
      </c>
      <c r="AS16" s="184" t="str">
        <f>IF(ISNA(VLOOKUP(Tablo7[[#This Row],[Sifariş kodu]],'Kəsim ve təhvil'!$E$5:$E1014,1,0)),"Qəbul edilməyib","Qəbul edilib")</f>
        <v>Qəbul edilməyib</v>
      </c>
      <c r="AT16" s="185" t="str">
        <f>IF(ISNA(VLOOKUP(Tablo7[[#This Row],[Sifariş kodu]],'Kəsim ve təhvil'!$H$5:$H1014,1,0)),"Anbardadır","Təhvil verilib")</f>
        <v>Anbardadır</v>
      </c>
      <c r="AU16" s="186" t="str">
        <f>"Hörmətli *"&amp;Tablo7[[#This Row],[Müştəri]]&amp;"*  ,Sizin *"&amp;G16&amp;"* tarixli sifarişiniz qeydə alındı. Sifariş Məbləğı *"&amp;AM16&amp;" AZN* , Qalıq *"&amp;AP16&amp;" AZN* . Hörmətlə  *AlumPro*"</f>
        <v>Hörmətli *Celal Alumpro*  ,Sizin *10,01,2025* tarixli sifarişiniz qeydə alındı. Sifariş Məbləğı *500 AZN* , Qalıq *0 AZN* . Hörmətlə  *AlumPro*</v>
      </c>
      <c r="AV16" s="187" t="str">
        <f>"Hörmətli *"&amp;Tablo7[[#This Row],[Müştəri]]&amp;"* , sizin *"&amp;G16&amp;"* tarixli  sifarişiniz hazırdır . Bizi seçdiyiniz üçün minnətdarıq. Hörmətlə  *AlumPro*."</f>
        <v>Hörmətli *Celal Alumpro* , sizin *10,01,2025* tarixli  sifarişiniz hazırdır . Bizi seçdiyiniz üçün minnətdarıq. Hörmətlə  *AlumPro*.</v>
      </c>
      <c r="AW16" s="188" t="str">
        <f t="shared" ref="AW16" si="15">SUBSTITUTE(AX16," ","")</f>
        <v>Celal</v>
      </c>
      <c r="AX16" s="253" t="str">
        <f t="shared" si="2"/>
        <v xml:space="preserve">Celal </v>
      </c>
    </row>
    <row r="17" spans="4:50">
      <c r="D17" s="178">
        <v>318</v>
      </c>
      <c r="E17" s="179" t="s">
        <v>157</v>
      </c>
      <c r="F17" s="179" t="s">
        <v>118</v>
      </c>
      <c r="G17" s="212" t="s">
        <v>154</v>
      </c>
      <c r="H17" s="179" t="s">
        <v>158</v>
      </c>
      <c r="I17" s="179" t="s">
        <v>159</v>
      </c>
      <c r="J17" s="179" t="s">
        <v>156</v>
      </c>
      <c r="K17" s="179"/>
      <c r="L17" s="179"/>
      <c r="M17" s="179" t="str">
        <f>_xlfn.XLOOKUP(Tablo7[[#This Row],[Yan Profili]],Anbar!$J$3:$J$1000,Anbar!$H$3:$H$1000,"Tapilmadi")</f>
        <v>Tapilmadi</v>
      </c>
      <c r="N17" s="179">
        <v>0</v>
      </c>
      <c r="O17" s="179">
        <v>284</v>
      </c>
      <c r="P17" s="179"/>
      <c r="Q17" s="179" t="str">
        <f>_xlfn.XLOOKUP(Tablo7[[#This Row],[Qulp növü]],Anbar!$J$3:$J$1000,Anbar!$H$3:$H$1000,"Tapilmadi")</f>
        <v>Tapilmadi</v>
      </c>
      <c r="R17" s="179">
        <v>0</v>
      </c>
      <c r="S17" s="180">
        <v>0</v>
      </c>
      <c r="T17" s="181"/>
      <c r="U17" s="179" t="str">
        <f>_xlfn.XLOOKUP(Tablo7[[#This Row],[Petlə]],Anbar!$J$3:$J$1000,Anbar!$H$3:$H$1000,"Tapilmadi")</f>
        <v>Tapilmadi</v>
      </c>
      <c r="V17" s="179">
        <v>0</v>
      </c>
      <c r="W17" s="180">
        <v>0</v>
      </c>
      <c r="X17" s="269">
        <v>0</v>
      </c>
      <c r="Y17" s="179" t="s">
        <v>36</v>
      </c>
      <c r="Z17" s="182"/>
      <c r="AA17" s="180">
        <v>0</v>
      </c>
      <c r="AB17" s="180"/>
      <c r="AC17" s="179" t="str">
        <f>_xlfn.XLOOKUP(Tablo7[[#This Row],[Bağlantı]],Anbar!$J$3:$J$1000,Anbar!$H$3:$H$1000,"Tapilmadi")</f>
        <v>Tapilmadi</v>
      </c>
      <c r="AD17" s="179"/>
      <c r="AE17" s="180">
        <v>0</v>
      </c>
      <c r="AF17" s="180"/>
      <c r="AG17" s="179" t="str">
        <f>_xlfn.XLOOKUP(Tablo7[[#This Row],[Mexanizm]],Anbar!$J$3:$J$1000,Anbar!$H$3:$H$1000,"Tapilmadi")</f>
        <v>Tapilmadi</v>
      </c>
      <c r="AH17" s="179">
        <v>1</v>
      </c>
      <c r="AI17" s="180">
        <v>0</v>
      </c>
      <c r="AJ17" s="180">
        <v>0</v>
      </c>
      <c r="AK17" s="180">
        <v>0</v>
      </c>
      <c r="AL17" s="180">
        <v>0</v>
      </c>
      <c r="AM17" s="180">
        <v>284</v>
      </c>
      <c r="AN17" s="180">
        <v>0</v>
      </c>
      <c r="AO17" s="180">
        <v>0</v>
      </c>
      <c r="AP17" s="194">
        <f>Tablo7[[#This Row],[Ümumi məbləğ]]-Tablo7[[#This Row],[Ödəniş]]-Tablo7[[#This Row],[Endirim]]</f>
        <v>284</v>
      </c>
      <c r="AQ17" s="183" t="str">
        <f t="shared" si="0"/>
        <v>Mesaj</v>
      </c>
      <c r="AR17" s="183" t="str">
        <f t="shared" si="1"/>
        <v>Mesaj</v>
      </c>
      <c r="AS17" s="184" t="str">
        <f>IF(ISNA(VLOOKUP(Tablo7[[#This Row],[Sifariş kodu]],'Kəsim ve təhvil'!$E$5:$E1015,1,0)),"Qəbul edilməyib","Qəbul edilib")</f>
        <v>Qəbul edilməyib</v>
      </c>
      <c r="AT17" s="185" t="str">
        <f>IF(ISNA(VLOOKUP(Tablo7[[#This Row],[Sifariş kodu]],'Kəsim ve təhvil'!$H$5:$H1015,1,0)),"Anbardadır","Təhvil verilib")</f>
        <v>Anbardadır</v>
      </c>
      <c r="AU17" s="186" t="str">
        <f>"Hörmətli *"&amp;Tablo7[[#This Row],[Müştəri]]&amp;"*  ,Sizin *"&amp;G17&amp;"* tarixli sifarişiniz qeydə alındı. Sifariş Məbləğı *"&amp;AM17&amp;" AZN* , Qalıq *"&amp;AP17&amp;" AZN* . Hörmətlə  *AlumPro*"</f>
        <v>Hörmətli *My Concept*  ,Sizin *10,01,2025* tarixli sifarişiniz qeydə alındı. Sifariş Məbləğı *284 AZN* , Qalıq *284 AZN* . Hörmətlə  *AlumPro*</v>
      </c>
      <c r="AV17" s="187" t="str">
        <f>"Hörmətli *"&amp;Tablo7[[#This Row],[Müştəri]]&amp;"* , sizin *"&amp;G17&amp;"* tarixli  sifarişiniz hazırdır . Bizi seçdiyiniz üçün minnətdarıq. Hörmətlə  *AlumPro*."</f>
        <v>Hörmətli *My Concept* , sizin *10,01,2025* tarixli  sifarişiniz hazırdır . Bizi seçdiyiniz üçün minnətdarıq. Hörmətlə  *AlumPro*.</v>
      </c>
      <c r="AW17" s="188" t="str">
        <f t="shared" ref="AW17" si="16">SUBSTITUTE(AX17," ","")</f>
        <v>My</v>
      </c>
      <c r="AX17" s="253" t="str">
        <f t="shared" si="2"/>
        <v xml:space="preserve">My </v>
      </c>
    </row>
    <row r="18" spans="4:50">
      <c r="D18" s="178">
        <v>317</v>
      </c>
      <c r="E18" s="179" t="s">
        <v>160</v>
      </c>
      <c r="F18" s="179" t="s">
        <v>118</v>
      </c>
      <c r="G18" s="212" t="s">
        <v>154</v>
      </c>
      <c r="H18" s="179" t="s">
        <v>158</v>
      </c>
      <c r="I18" s="179" t="s">
        <v>159</v>
      </c>
      <c r="J18" s="179" t="s">
        <v>161</v>
      </c>
      <c r="K18" s="179"/>
      <c r="L18" s="179"/>
      <c r="M18" s="179">
        <f>_xlfn.XLOOKUP(Tablo7[[#This Row],[Yan Profili]],Anbar!$J$3:$J$1000,Anbar!$H$3:$H$1000,"Tapilmadi")</f>
        <v>0</v>
      </c>
      <c r="N18" s="179">
        <v>0</v>
      </c>
      <c r="O18" s="179">
        <v>320</v>
      </c>
      <c r="P18" s="179"/>
      <c r="Q18" s="179" t="str">
        <f>_xlfn.XLOOKUP(Tablo7[[#This Row],[Qulp növü]],Anbar!$J$3:$J$1000,Anbar!$H$3:$H$1000,"Tapilmadi")</f>
        <v>Tapilmadi</v>
      </c>
      <c r="R18" s="179">
        <v>0</v>
      </c>
      <c r="S18" s="180">
        <v>0</v>
      </c>
      <c r="T18" s="181"/>
      <c r="U18" s="179" t="str">
        <f>_xlfn.XLOOKUP(Tablo7[[#This Row],[Petlə]],Anbar!$J$3:$J$1000,Anbar!$H$3:$H$1000,"Tapilmadi")</f>
        <v>Tapilmadi</v>
      </c>
      <c r="V18" s="179">
        <v>0</v>
      </c>
      <c r="W18" s="180">
        <v>0</v>
      </c>
      <c r="X18" s="269">
        <v>0</v>
      </c>
      <c r="Y18" s="179" t="s">
        <v>36</v>
      </c>
      <c r="Z18" s="182"/>
      <c r="AA18" s="180">
        <v>0</v>
      </c>
      <c r="AB18" s="180"/>
      <c r="AC18" s="179" t="str">
        <f>_xlfn.XLOOKUP(Tablo7[[#This Row],[Bağlantı]],Anbar!$J$3:$J$1000,Anbar!$H$3:$H$1000,"Tapilmadi")</f>
        <v>Tapilmadi</v>
      </c>
      <c r="AD18" s="179"/>
      <c r="AE18" s="180">
        <v>0</v>
      </c>
      <c r="AF18" s="180"/>
      <c r="AG18" s="179" t="str">
        <f>_xlfn.XLOOKUP(Tablo7[[#This Row],[Mexanizm]],Anbar!$J$3:$J$1000,Anbar!$H$3:$H$1000,"Tapilmadi")</f>
        <v>Tapilmadi</v>
      </c>
      <c r="AH18" s="179">
        <v>1</v>
      </c>
      <c r="AI18" s="180">
        <v>0</v>
      </c>
      <c r="AJ18" s="180">
        <v>0</v>
      </c>
      <c r="AK18" s="180">
        <v>0</v>
      </c>
      <c r="AL18" s="180">
        <v>0</v>
      </c>
      <c r="AM18" s="180">
        <v>320</v>
      </c>
      <c r="AN18" s="180">
        <v>0</v>
      </c>
      <c r="AO18" s="180">
        <v>0</v>
      </c>
      <c r="AP18" s="194">
        <f>Tablo7[[#This Row],[Ümumi məbləğ]]-Tablo7[[#This Row],[Ödəniş]]-Tablo7[[#This Row],[Endirim]]</f>
        <v>320</v>
      </c>
      <c r="AQ18" s="183" t="str">
        <f t="shared" si="0"/>
        <v>Mesaj</v>
      </c>
      <c r="AR18" s="183" t="str">
        <f t="shared" si="1"/>
        <v>Mesaj</v>
      </c>
      <c r="AS18" s="184" t="str">
        <f>IF(ISNA(VLOOKUP(Tablo7[[#This Row],[Sifariş kodu]],'Kəsim ve təhvil'!$E$5:$E1016,1,0)),"Qəbul edilməyib","Qəbul edilib")</f>
        <v>Qəbul edilməyib</v>
      </c>
      <c r="AT18" s="185" t="str">
        <f>IF(ISNA(VLOOKUP(Tablo7[[#This Row],[Sifariş kodu]],'Kəsim ve təhvil'!$H$5:$H1016,1,0)),"Anbardadır","Təhvil verilib")</f>
        <v>Anbardadır</v>
      </c>
      <c r="AU18" s="186" t="str">
        <f>"Hörmətli *"&amp;Tablo7[[#This Row],[Müştəri]]&amp;"*  ,Sizin *"&amp;G18&amp;"* tarixli sifarişiniz qeydə alındı. Sifariş Məbləğı *"&amp;AM18&amp;" AZN* , Qalıq *"&amp;AP18&amp;" AZN* . Hörmətlə  *AlumPro*"</f>
        <v>Hörmətli *My Concept*  ,Sizin *10,01,2025* tarixli sifarişiniz qeydə alındı. Sifariş Məbləğı *320 AZN* , Qalıq *320 AZN* . Hörmətlə  *AlumPro*</v>
      </c>
      <c r="AV18" s="187" t="str">
        <f>"Hörmətli *"&amp;Tablo7[[#This Row],[Müştəri]]&amp;"* , sizin *"&amp;G18&amp;"* tarixli  sifarişiniz hazırdır . Bizi seçdiyiniz üçün minnətdarıq. Hörmətlə  *AlumPro*."</f>
        <v>Hörmətli *My Concept* , sizin *10,01,2025* tarixli  sifarişiniz hazırdır . Bizi seçdiyiniz üçün minnətdarıq. Hörmətlə  *AlumPro*.</v>
      </c>
      <c r="AW18" s="188" t="str">
        <f t="shared" ref="AW18" si="17">SUBSTITUTE(AX18," ","")</f>
        <v>My</v>
      </c>
      <c r="AX18" s="253" t="str">
        <f t="shared" si="2"/>
        <v xml:space="preserve">My </v>
      </c>
    </row>
    <row r="19" spans="4:50">
      <c r="D19" s="178">
        <v>316</v>
      </c>
      <c r="E19" s="179" t="s">
        <v>162</v>
      </c>
      <c r="F19" s="179" t="s">
        <v>118</v>
      </c>
      <c r="G19" s="212" t="s">
        <v>163</v>
      </c>
      <c r="H19" s="179" t="s">
        <v>158</v>
      </c>
      <c r="I19" s="179" t="s">
        <v>159</v>
      </c>
      <c r="J19" s="179" t="s">
        <v>164</v>
      </c>
      <c r="K19" s="179"/>
      <c r="L19" s="179"/>
      <c r="M19" s="179" t="str">
        <f>_xlfn.XLOOKUP(Tablo7[[#This Row],[Yan Profili]],Anbar!$J$3:$J$1000,Anbar!$H$3:$H$1000,"Tapilmadi")</f>
        <v>Tapilmadi</v>
      </c>
      <c r="N19" s="179">
        <v>0</v>
      </c>
      <c r="O19" s="179">
        <v>175</v>
      </c>
      <c r="P19" s="179"/>
      <c r="Q19" s="179" t="str">
        <f>_xlfn.XLOOKUP(Tablo7[[#This Row],[Qulp növü]],Anbar!$J$3:$J$1000,Anbar!$H$3:$H$1000,"Tapilmadi")</f>
        <v>Tapilmadi</v>
      </c>
      <c r="R19" s="179">
        <v>0</v>
      </c>
      <c r="S19" s="180">
        <v>0</v>
      </c>
      <c r="T19" s="181"/>
      <c r="U19" s="179" t="str">
        <f>_xlfn.XLOOKUP(Tablo7[[#This Row],[Petlə]],Anbar!$J$3:$J$1000,Anbar!$H$3:$H$1000,"Tapilmadi")</f>
        <v>Tapilmadi</v>
      </c>
      <c r="V19" s="179">
        <v>0</v>
      </c>
      <c r="W19" s="180">
        <v>0</v>
      </c>
      <c r="X19" s="269">
        <v>0</v>
      </c>
      <c r="Y19" s="179" t="s">
        <v>36</v>
      </c>
      <c r="Z19" s="182"/>
      <c r="AA19" s="180">
        <v>0</v>
      </c>
      <c r="AB19" s="180"/>
      <c r="AC19" s="179" t="str">
        <f>_xlfn.XLOOKUP(Tablo7[[#This Row],[Bağlantı]],Anbar!$J$3:$J$1000,Anbar!$H$3:$H$1000,"Tapilmadi")</f>
        <v>Tapilmadi</v>
      </c>
      <c r="AD19" s="179"/>
      <c r="AE19" s="180">
        <v>0</v>
      </c>
      <c r="AF19" s="180"/>
      <c r="AG19" s="179" t="str">
        <f>_xlfn.XLOOKUP(Tablo7[[#This Row],[Mexanizm]],Anbar!$J$3:$J$1000,Anbar!$H$3:$H$1000,"Tapilmadi")</f>
        <v>Tapilmadi</v>
      </c>
      <c r="AH19" s="179">
        <v>1</v>
      </c>
      <c r="AI19" s="180">
        <v>0</v>
      </c>
      <c r="AJ19" s="180">
        <v>0</v>
      </c>
      <c r="AK19" s="180">
        <v>0</v>
      </c>
      <c r="AL19" s="180">
        <v>0</v>
      </c>
      <c r="AM19" s="180">
        <v>175</v>
      </c>
      <c r="AN19" s="180">
        <v>0</v>
      </c>
      <c r="AO19" s="180">
        <v>0</v>
      </c>
      <c r="AP19" s="194">
        <f>Tablo7[[#This Row],[Ümumi məbləğ]]-Tablo7[[#This Row],[Ödəniş]]-Tablo7[[#This Row],[Endirim]]</f>
        <v>175</v>
      </c>
      <c r="AQ19" s="183" t="str">
        <f t="shared" si="0"/>
        <v>Mesaj</v>
      </c>
      <c r="AR19" s="183" t="str">
        <f t="shared" si="1"/>
        <v>Mesaj</v>
      </c>
      <c r="AS19" s="184" t="str">
        <f>IF(ISNA(VLOOKUP(Tablo7[[#This Row],[Sifariş kodu]],'Kəsim ve təhvil'!$E$5:$E1017,1,0)),"Qəbul edilməyib","Qəbul edilib")</f>
        <v>Qəbul edilməyib</v>
      </c>
      <c r="AT19" s="185" t="str">
        <f>IF(ISNA(VLOOKUP(Tablo7[[#This Row],[Sifariş kodu]],'Kəsim ve təhvil'!$H$5:$H1017,1,0)),"Anbardadır","Təhvil verilib")</f>
        <v>Anbardadır</v>
      </c>
      <c r="AU19" s="186" t="str">
        <f>"Hörmətli *"&amp;Tablo7[[#This Row],[Müştəri]]&amp;"*  ,Sizin *"&amp;G19&amp;"* tarixli sifarişiniz qeydə alındı. Sifariş Məbləğı *"&amp;AM19&amp;" AZN* , Qalıq *"&amp;AP19&amp;" AZN* . Hörmətlə  *AlumPro*"</f>
        <v>Hörmətli *My Concept*  ,Sizin *26,12,2024* tarixli sifarişiniz qeydə alındı. Sifariş Məbləğı *175 AZN* , Qalıq *175 AZN* . Hörmətlə  *AlumPro*</v>
      </c>
      <c r="AV19" s="187" t="str">
        <f>"Hörmətli *"&amp;Tablo7[[#This Row],[Müştəri]]&amp;"* , sizin *"&amp;G19&amp;"* tarixli  sifarişiniz hazırdır . Bizi seçdiyiniz üçün minnətdarıq. Hörmətlə  *AlumPro*."</f>
        <v>Hörmətli *My Concept* , sizin *26,12,2024* tarixli  sifarişiniz hazırdır . Bizi seçdiyiniz üçün minnətdarıq. Hörmətlə  *AlumPro*.</v>
      </c>
      <c r="AW19" s="188" t="str">
        <f t="shared" ref="AW19" si="18">SUBSTITUTE(AX19," ","")</f>
        <v>My</v>
      </c>
      <c r="AX19" s="253" t="str">
        <f t="shared" si="2"/>
        <v xml:space="preserve">My </v>
      </c>
    </row>
    <row r="20" spans="4:50">
      <c r="D20" s="178">
        <v>315</v>
      </c>
      <c r="E20" s="179" t="s">
        <v>165</v>
      </c>
      <c r="F20" s="179" t="s">
        <v>118</v>
      </c>
      <c r="G20" s="212" t="s">
        <v>166</v>
      </c>
      <c r="H20" s="179" t="s">
        <v>158</v>
      </c>
      <c r="I20" s="179" t="s">
        <v>159</v>
      </c>
      <c r="J20" s="179" t="s">
        <v>167</v>
      </c>
      <c r="K20" s="179"/>
      <c r="L20" s="179"/>
      <c r="M20" s="179" t="str">
        <f>_xlfn.XLOOKUP(Tablo7[[#This Row],[Yan Profili]],Anbar!$J$3:$J$1000,Anbar!$H$3:$H$1000,"Tapilmadi")</f>
        <v>Tapilmadi</v>
      </c>
      <c r="N20" s="179">
        <v>0</v>
      </c>
      <c r="O20" s="179">
        <v>1240</v>
      </c>
      <c r="P20" s="179"/>
      <c r="Q20" s="179" t="str">
        <f>_xlfn.XLOOKUP(Tablo7[[#This Row],[Qulp növü]],Anbar!$J$3:$J$1000,Anbar!$H$3:$H$1000,"Tapilmadi")</f>
        <v>Tapilmadi</v>
      </c>
      <c r="R20" s="179">
        <v>0</v>
      </c>
      <c r="S20" s="180">
        <v>0</v>
      </c>
      <c r="T20" s="181"/>
      <c r="U20" s="179" t="str">
        <f>_xlfn.XLOOKUP(Tablo7[[#This Row],[Petlə]],Anbar!$J$3:$J$1000,Anbar!$H$3:$H$1000,"Tapilmadi")</f>
        <v>Tapilmadi</v>
      </c>
      <c r="V20" s="179">
        <v>0</v>
      </c>
      <c r="W20" s="180">
        <v>0</v>
      </c>
      <c r="X20" s="269">
        <v>0</v>
      </c>
      <c r="Y20" s="179" t="s">
        <v>36</v>
      </c>
      <c r="Z20" s="182"/>
      <c r="AA20" s="180">
        <v>0</v>
      </c>
      <c r="AB20" s="180"/>
      <c r="AC20" s="179" t="str">
        <f>_xlfn.XLOOKUP(Tablo7[[#This Row],[Bağlantı]],Anbar!$J$3:$J$1000,Anbar!$H$3:$H$1000,"Tapilmadi")</f>
        <v>Tapilmadi</v>
      </c>
      <c r="AD20" s="179"/>
      <c r="AE20" s="180">
        <v>0</v>
      </c>
      <c r="AF20" s="180"/>
      <c r="AG20" s="179" t="str">
        <f>_xlfn.XLOOKUP(Tablo7[[#This Row],[Mexanizm]],Anbar!$J$3:$J$1000,Anbar!$H$3:$H$1000,"Tapilmadi")</f>
        <v>Tapilmadi</v>
      </c>
      <c r="AH20" s="179">
        <v>1</v>
      </c>
      <c r="AI20" s="180">
        <v>0</v>
      </c>
      <c r="AJ20" s="180">
        <v>0</v>
      </c>
      <c r="AK20" s="180">
        <v>0</v>
      </c>
      <c r="AL20" s="180">
        <v>0</v>
      </c>
      <c r="AM20" s="180">
        <v>1240</v>
      </c>
      <c r="AN20" s="180">
        <v>0</v>
      </c>
      <c r="AO20" s="180">
        <v>0</v>
      </c>
      <c r="AP20" s="194">
        <f>Tablo7[[#This Row],[Ümumi məbləğ]]-Tablo7[[#This Row],[Ödəniş]]-Tablo7[[#This Row],[Endirim]]</f>
        <v>1240</v>
      </c>
      <c r="AQ20" s="183" t="str">
        <f t="shared" si="0"/>
        <v>Mesaj</v>
      </c>
      <c r="AR20" s="183" t="str">
        <f t="shared" si="1"/>
        <v>Mesaj</v>
      </c>
      <c r="AS20" s="184" t="str">
        <f>IF(ISNA(VLOOKUP(Tablo7[[#This Row],[Sifariş kodu]],'Kəsim ve təhvil'!$E$5:$E1018,1,0)),"Qəbul edilməyib","Qəbul edilib")</f>
        <v>Qəbul edilməyib</v>
      </c>
      <c r="AT20" s="185" t="str">
        <f>IF(ISNA(VLOOKUP(Tablo7[[#This Row],[Sifariş kodu]],'Kəsim ve təhvil'!$H$5:$H1018,1,0)),"Anbardadır","Təhvil verilib")</f>
        <v>Anbardadır</v>
      </c>
      <c r="AU20" s="186" t="str">
        <f>"Hörmətli *"&amp;Tablo7[[#This Row],[Müştəri]]&amp;"*  ,Sizin *"&amp;G20&amp;"* tarixli sifarişiniz qeydə alındı. Sifariş Məbləğı *"&amp;AM20&amp;" AZN* , Qalıq *"&amp;AP20&amp;" AZN* . Hörmətlə  *AlumPro*"</f>
        <v>Hörmətli *My Concept*  ,Sizin *25,12,2024* tarixli sifarişiniz qeydə alındı. Sifariş Məbləğı *1240 AZN* , Qalıq *1240 AZN* . Hörmətlə  *AlumPro*</v>
      </c>
      <c r="AV20" s="187" t="str">
        <f>"Hörmətli *"&amp;Tablo7[[#This Row],[Müştəri]]&amp;"* , sizin *"&amp;G20&amp;"* tarixli  sifarişiniz hazırdır . Bizi seçdiyiniz üçün minnətdarıq. Hörmətlə  *AlumPro*."</f>
        <v>Hörmətli *My Concept* , sizin *25,12,2024* tarixli  sifarişiniz hazırdır . Bizi seçdiyiniz üçün minnətdarıq. Hörmətlə  *AlumPro*.</v>
      </c>
      <c r="AW20" s="188" t="str">
        <f t="shared" ref="AW20" si="19">SUBSTITUTE(AX20," ","")</f>
        <v>My</v>
      </c>
      <c r="AX20" s="253" t="str">
        <f t="shared" si="2"/>
        <v xml:space="preserve">My </v>
      </c>
    </row>
    <row r="21" spans="4:50">
      <c r="D21" s="178">
        <v>314</v>
      </c>
      <c r="E21" s="179" t="s">
        <v>168</v>
      </c>
      <c r="F21" s="179" t="s">
        <v>118</v>
      </c>
      <c r="G21" s="212" t="s">
        <v>169</v>
      </c>
      <c r="H21" s="179" t="s">
        <v>158</v>
      </c>
      <c r="I21" s="179" t="s">
        <v>159</v>
      </c>
      <c r="J21" s="179" t="s">
        <v>170</v>
      </c>
      <c r="K21" s="179"/>
      <c r="L21" s="179"/>
      <c r="M21" s="179" t="str">
        <f>_xlfn.XLOOKUP(Tablo7[[#This Row],[Yan Profili]],Anbar!$J$3:$J$1000,Anbar!$H$3:$H$1000,"Tapilmadi")</f>
        <v>Tapilmadi</v>
      </c>
      <c r="N21" s="179">
        <v>0</v>
      </c>
      <c r="O21" s="179">
        <v>209</v>
      </c>
      <c r="P21" s="179"/>
      <c r="Q21" s="179" t="str">
        <f>_xlfn.XLOOKUP(Tablo7[[#This Row],[Qulp növü]],Anbar!$J$3:$J$1000,Anbar!$H$3:$H$1000,"Tapilmadi")</f>
        <v>Tapilmadi</v>
      </c>
      <c r="R21" s="179">
        <v>0</v>
      </c>
      <c r="S21" s="180">
        <v>0</v>
      </c>
      <c r="T21" s="181"/>
      <c r="U21" s="179" t="str">
        <f>_xlfn.XLOOKUP(Tablo7[[#This Row],[Petlə]],Anbar!$J$3:$J$1000,Anbar!$H$3:$H$1000,"Tapilmadi")</f>
        <v>Tapilmadi</v>
      </c>
      <c r="V21" s="179">
        <v>0</v>
      </c>
      <c r="W21" s="180">
        <v>0</v>
      </c>
      <c r="X21" s="269">
        <v>0</v>
      </c>
      <c r="Y21" s="179" t="s">
        <v>36</v>
      </c>
      <c r="Z21" s="182"/>
      <c r="AA21" s="180">
        <v>0</v>
      </c>
      <c r="AB21" s="180"/>
      <c r="AC21" s="179" t="str">
        <f>_xlfn.XLOOKUP(Tablo7[[#This Row],[Bağlantı]],Anbar!$J$3:$J$1000,Anbar!$H$3:$H$1000,"Tapilmadi")</f>
        <v>Tapilmadi</v>
      </c>
      <c r="AD21" s="179"/>
      <c r="AE21" s="180">
        <v>0</v>
      </c>
      <c r="AF21" s="180"/>
      <c r="AG21" s="179" t="str">
        <f>_xlfn.XLOOKUP(Tablo7[[#This Row],[Mexanizm]],Anbar!$J$3:$J$1000,Anbar!$H$3:$H$1000,"Tapilmadi")</f>
        <v>Tapilmadi</v>
      </c>
      <c r="AH21" s="179">
        <v>1</v>
      </c>
      <c r="AI21" s="180">
        <v>0</v>
      </c>
      <c r="AJ21" s="180">
        <v>0</v>
      </c>
      <c r="AK21" s="180">
        <v>0</v>
      </c>
      <c r="AL21" s="180">
        <v>0</v>
      </c>
      <c r="AM21" s="180">
        <v>209</v>
      </c>
      <c r="AN21" s="180">
        <v>0</v>
      </c>
      <c r="AO21" s="180">
        <v>0</v>
      </c>
      <c r="AP21" s="194">
        <f>Tablo7[[#This Row],[Ümumi məbləğ]]-Tablo7[[#This Row],[Ödəniş]]-Tablo7[[#This Row],[Endirim]]</f>
        <v>209</v>
      </c>
      <c r="AQ21" s="183" t="str">
        <f t="shared" si="0"/>
        <v>Mesaj</v>
      </c>
      <c r="AR21" s="183" t="str">
        <f t="shared" si="1"/>
        <v>Mesaj</v>
      </c>
      <c r="AS21" s="184" t="str">
        <f>IF(ISNA(VLOOKUP(Tablo7[[#This Row],[Sifariş kodu]],'Kəsim ve təhvil'!$E$5:$E1019,1,0)),"Qəbul edilməyib","Qəbul edilib")</f>
        <v>Qəbul edilməyib</v>
      </c>
      <c r="AT21" s="185" t="str">
        <f>IF(ISNA(VLOOKUP(Tablo7[[#This Row],[Sifariş kodu]],'Kəsim ve təhvil'!$H$5:$H1019,1,0)),"Anbardadır","Təhvil verilib")</f>
        <v>Anbardadır</v>
      </c>
      <c r="AU21" s="186" t="str">
        <f>"Hörmətli *"&amp;Tablo7[[#This Row],[Müştəri]]&amp;"*  ,Sizin *"&amp;G21&amp;"* tarixli sifarişiniz qeydə alındı. Sifariş Məbləğı *"&amp;AM21&amp;" AZN* , Qalıq *"&amp;AP21&amp;" AZN* . Hörmətlə  *AlumPro*"</f>
        <v>Hörmətli *My Concept*  ,Sizin *24,12,2024* tarixli sifarişiniz qeydə alındı. Sifariş Məbləğı *209 AZN* , Qalıq *209 AZN* . Hörmətlə  *AlumPro*</v>
      </c>
      <c r="AV21" s="187" t="str">
        <f>"Hörmətli *"&amp;Tablo7[[#This Row],[Müştəri]]&amp;"* , sizin *"&amp;G21&amp;"* tarixli  sifarişiniz hazırdır . Bizi seçdiyiniz üçün minnətdarıq. Hörmətlə  *AlumPro*."</f>
        <v>Hörmətli *My Concept* , sizin *24,12,2024* tarixli  sifarişiniz hazırdır . Bizi seçdiyiniz üçün minnətdarıq. Hörmətlə  *AlumPro*.</v>
      </c>
      <c r="AW21" s="188" t="str">
        <f t="shared" ref="AW21" si="20">SUBSTITUTE(AX21," ","")</f>
        <v>My</v>
      </c>
      <c r="AX21" s="253" t="str">
        <f t="shared" si="2"/>
        <v xml:space="preserve">My </v>
      </c>
    </row>
    <row r="22" spans="4:50">
      <c r="D22" s="178">
        <v>313</v>
      </c>
      <c r="E22" s="179" t="s">
        <v>171</v>
      </c>
      <c r="F22" s="179" t="s">
        <v>118</v>
      </c>
      <c r="G22" s="212" t="s">
        <v>6</v>
      </c>
      <c r="H22" s="179" t="s">
        <v>158</v>
      </c>
      <c r="I22" s="179" t="s">
        <v>159</v>
      </c>
      <c r="J22" s="179" t="s">
        <v>172</v>
      </c>
      <c r="K22" s="179"/>
      <c r="L22" s="179"/>
      <c r="M22" s="179" t="str">
        <f>_xlfn.XLOOKUP(Tablo7[[#This Row],[Yan Profili]],Anbar!$J$3:$J$1000,Anbar!$H$3:$H$1000,"Tapilmadi")</f>
        <v>Tapilmadi</v>
      </c>
      <c r="N22" s="179">
        <v>0</v>
      </c>
      <c r="O22" s="179">
        <v>52</v>
      </c>
      <c r="P22" s="179"/>
      <c r="Q22" s="179" t="str">
        <f>_xlfn.XLOOKUP(Tablo7[[#This Row],[Qulp növü]],Anbar!$J$3:$J$1000,Anbar!$H$3:$H$1000,"Tapilmadi")</f>
        <v>Tapilmadi</v>
      </c>
      <c r="R22" s="179">
        <v>0</v>
      </c>
      <c r="S22" s="180">
        <v>0</v>
      </c>
      <c r="T22" s="181"/>
      <c r="U22" s="179" t="str">
        <f>_xlfn.XLOOKUP(Tablo7[[#This Row],[Petlə]],Anbar!$J$3:$J$1000,Anbar!$H$3:$H$1000,"Tapilmadi")</f>
        <v>Tapilmadi</v>
      </c>
      <c r="V22" s="179">
        <v>0</v>
      </c>
      <c r="W22" s="180">
        <v>0</v>
      </c>
      <c r="X22" s="269">
        <v>0</v>
      </c>
      <c r="Y22" s="179" t="s">
        <v>36</v>
      </c>
      <c r="Z22" s="182"/>
      <c r="AA22" s="180">
        <v>0</v>
      </c>
      <c r="AB22" s="180"/>
      <c r="AC22" s="179" t="str">
        <f>_xlfn.XLOOKUP(Tablo7[[#This Row],[Bağlantı]],Anbar!$J$3:$J$1000,Anbar!$H$3:$H$1000,"Tapilmadi")</f>
        <v>Tapilmadi</v>
      </c>
      <c r="AD22" s="179"/>
      <c r="AE22" s="180">
        <v>0</v>
      </c>
      <c r="AF22" s="180"/>
      <c r="AG22" s="179" t="str">
        <f>_xlfn.XLOOKUP(Tablo7[[#This Row],[Mexanizm]],Anbar!$J$3:$J$1000,Anbar!$H$3:$H$1000,"Tapilmadi")</f>
        <v>Tapilmadi</v>
      </c>
      <c r="AH22" s="179">
        <v>1</v>
      </c>
      <c r="AI22" s="180">
        <v>0</v>
      </c>
      <c r="AJ22" s="180">
        <v>0</v>
      </c>
      <c r="AK22" s="180">
        <v>0</v>
      </c>
      <c r="AL22" s="180">
        <v>0</v>
      </c>
      <c r="AM22" s="180">
        <v>52</v>
      </c>
      <c r="AN22" s="180">
        <v>0</v>
      </c>
      <c r="AO22" s="180">
        <v>0</v>
      </c>
      <c r="AP22" s="194">
        <f>Tablo7[[#This Row],[Ümumi məbləğ]]-Tablo7[[#This Row],[Ödəniş]]-Tablo7[[#This Row],[Endirim]]</f>
        <v>52</v>
      </c>
      <c r="AQ22" s="183" t="str">
        <f t="shared" si="0"/>
        <v>Mesaj</v>
      </c>
      <c r="AR22" s="183" t="str">
        <f t="shared" si="1"/>
        <v>Mesaj</v>
      </c>
      <c r="AS22" s="184" t="str">
        <f>IF(ISNA(VLOOKUP(Tablo7[[#This Row],[Sifariş kodu]],'Kəsim ve təhvil'!$E$5:$E1020,1,0)),"Qəbul edilməyib","Qəbul edilib")</f>
        <v>Qəbul edilməyib</v>
      </c>
      <c r="AT22" s="185" t="str">
        <f>IF(ISNA(VLOOKUP(Tablo7[[#This Row],[Sifariş kodu]],'Kəsim ve təhvil'!$H$5:$H1020,1,0)),"Anbardadır","Təhvil verilib")</f>
        <v>Anbardadır</v>
      </c>
      <c r="AU22" s="186" t="str">
        <f>"Hörmətli *"&amp;Tablo7[[#This Row],[Müştəri]]&amp;"*  ,Sizin *"&amp;G22&amp;"* tarixli sifarişiniz qeydə alındı. Sifariş Məbləğı *"&amp;AM22&amp;" AZN* , Qalıq *"&amp;AP22&amp;" AZN* . Hörmətlə  *AlumPro*"</f>
        <v>Hörmətli *My Concept*  ,Sizin *23,12,2024* tarixli sifarişiniz qeydə alındı. Sifariş Məbləğı *52 AZN* , Qalıq *52 AZN* . Hörmətlə  *AlumPro*</v>
      </c>
      <c r="AV22" s="187" t="str">
        <f>"Hörmətli *"&amp;Tablo7[[#This Row],[Müştəri]]&amp;"* , sizin *"&amp;G22&amp;"* tarixli  sifarişiniz hazırdır . Bizi seçdiyiniz üçün minnətdarıq. Hörmətlə  *AlumPro*."</f>
        <v>Hörmətli *My Concept* , sizin *23,12,2024* tarixli  sifarişiniz hazırdır . Bizi seçdiyiniz üçün minnətdarıq. Hörmətlə  *AlumPro*.</v>
      </c>
      <c r="AW22" s="188" t="str">
        <f t="shared" ref="AW22" si="21">SUBSTITUTE(AX22," ","")</f>
        <v>My</v>
      </c>
      <c r="AX22" s="253" t="str">
        <f t="shared" si="2"/>
        <v xml:space="preserve">My </v>
      </c>
    </row>
    <row r="23" spans="4:50">
      <c r="D23" s="178">
        <v>312</v>
      </c>
      <c r="E23" s="179" t="s">
        <v>173</v>
      </c>
      <c r="F23" s="179" t="s">
        <v>118</v>
      </c>
      <c r="G23" s="212" t="s">
        <v>174</v>
      </c>
      <c r="H23" s="179" t="s">
        <v>158</v>
      </c>
      <c r="I23" s="179" t="s">
        <v>159</v>
      </c>
      <c r="J23" s="179" t="s">
        <v>175</v>
      </c>
      <c r="K23" s="179"/>
      <c r="L23" s="179"/>
      <c r="M23" s="179" t="str">
        <f>_xlfn.XLOOKUP(Tablo7[[#This Row],[Yan Profili]],Anbar!$J$3:$J$1000,Anbar!$H$3:$H$1000,"Tapilmadi")</f>
        <v>Tapilmadi</v>
      </c>
      <c r="N23" s="179">
        <v>0</v>
      </c>
      <c r="O23" s="179">
        <v>269</v>
      </c>
      <c r="P23" s="179"/>
      <c r="Q23" s="179" t="str">
        <f>_xlfn.XLOOKUP(Tablo7[[#This Row],[Qulp növü]],Anbar!$J$3:$J$1000,Anbar!$H$3:$H$1000,"Tapilmadi")</f>
        <v>Tapilmadi</v>
      </c>
      <c r="R23" s="179">
        <v>0</v>
      </c>
      <c r="S23" s="180">
        <v>0</v>
      </c>
      <c r="T23" s="181"/>
      <c r="U23" s="179" t="str">
        <f>_xlfn.XLOOKUP(Tablo7[[#This Row],[Petlə]],Anbar!$J$3:$J$1000,Anbar!$H$3:$H$1000,"Tapilmadi")</f>
        <v>Tapilmadi</v>
      </c>
      <c r="V23" s="179">
        <v>0</v>
      </c>
      <c r="W23" s="180">
        <v>0</v>
      </c>
      <c r="X23" s="269">
        <v>0</v>
      </c>
      <c r="Y23" s="179" t="s">
        <v>36</v>
      </c>
      <c r="Z23" s="182"/>
      <c r="AA23" s="180">
        <v>0</v>
      </c>
      <c r="AB23" s="180"/>
      <c r="AC23" s="179" t="str">
        <f>_xlfn.XLOOKUP(Tablo7[[#This Row],[Bağlantı]],Anbar!$J$3:$J$1000,Anbar!$H$3:$H$1000,"Tapilmadi")</f>
        <v>Tapilmadi</v>
      </c>
      <c r="AD23" s="179"/>
      <c r="AE23" s="180">
        <v>0</v>
      </c>
      <c r="AF23" s="180"/>
      <c r="AG23" s="179" t="str">
        <f>_xlfn.XLOOKUP(Tablo7[[#This Row],[Mexanizm]],Anbar!$J$3:$J$1000,Anbar!$H$3:$H$1000,"Tapilmadi")</f>
        <v>Tapilmadi</v>
      </c>
      <c r="AH23" s="179">
        <v>1</v>
      </c>
      <c r="AI23" s="180">
        <v>0</v>
      </c>
      <c r="AJ23" s="180">
        <v>0</v>
      </c>
      <c r="AK23" s="180">
        <v>0</v>
      </c>
      <c r="AL23" s="180">
        <v>0</v>
      </c>
      <c r="AM23" s="180">
        <v>269</v>
      </c>
      <c r="AN23" s="180">
        <v>0</v>
      </c>
      <c r="AO23" s="180">
        <v>0</v>
      </c>
      <c r="AP23" s="194">
        <f>Tablo7[[#This Row],[Ümumi məbləğ]]-Tablo7[[#This Row],[Ödəniş]]-Tablo7[[#This Row],[Endirim]]</f>
        <v>269</v>
      </c>
      <c r="AQ23" s="183" t="str">
        <f t="shared" si="0"/>
        <v>Mesaj</v>
      </c>
      <c r="AR23" s="183" t="str">
        <f t="shared" si="1"/>
        <v>Mesaj</v>
      </c>
      <c r="AS23" s="184" t="str">
        <f>IF(ISNA(VLOOKUP(Tablo7[[#This Row],[Sifariş kodu]],'Kəsim ve təhvil'!$E$5:$E1021,1,0)),"Qəbul edilməyib","Qəbul edilib")</f>
        <v>Qəbul edilməyib</v>
      </c>
      <c r="AT23" s="185" t="str">
        <f>IF(ISNA(VLOOKUP(Tablo7[[#This Row],[Sifariş kodu]],'Kəsim ve təhvil'!$H$5:$H1021,1,0)),"Anbardadır","Təhvil verilib")</f>
        <v>Anbardadır</v>
      </c>
      <c r="AU23" s="186" t="str">
        <f>"Hörmətli *"&amp;Tablo7[[#This Row],[Müştəri]]&amp;"*  ,Sizin *"&amp;G23&amp;"* tarixli sifarişiniz qeydə alındı. Sifariş Məbləğı *"&amp;AM23&amp;" AZN* , Qalıq *"&amp;AP23&amp;" AZN* . Hörmətlə  *AlumPro*"</f>
        <v>Hörmətli *My Concept*  ,Sizin *18,12,2024* tarixli sifarişiniz qeydə alındı. Sifariş Məbləğı *269 AZN* , Qalıq *269 AZN* . Hörmətlə  *AlumPro*</v>
      </c>
      <c r="AV23" s="187" t="str">
        <f>"Hörmətli *"&amp;Tablo7[[#This Row],[Müştəri]]&amp;"* , sizin *"&amp;G23&amp;"* tarixli  sifarişiniz hazırdır . Bizi seçdiyiniz üçün minnətdarıq. Hörmətlə  *AlumPro*."</f>
        <v>Hörmətli *My Concept* , sizin *18,12,2024* tarixli  sifarişiniz hazırdır . Bizi seçdiyiniz üçün minnətdarıq. Hörmətlə  *AlumPro*.</v>
      </c>
      <c r="AW23" s="188" t="str">
        <f t="shared" ref="AW23" si="22">SUBSTITUTE(AX23," ","")</f>
        <v>My</v>
      </c>
      <c r="AX23" s="253" t="str">
        <f t="shared" si="2"/>
        <v xml:space="preserve">My </v>
      </c>
    </row>
    <row r="24" spans="4:50">
      <c r="D24" s="178">
        <v>311</v>
      </c>
      <c r="E24" s="179" t="s">
        <v>176</v>
      </c>
      <c r="F24" s="179" t="s">
        <v>118</v>
      </c>
      <c r="G24" s="212" t="s">
        <v>174</v>
      </c>
      <c r="H24" s="179" t="s">
        <v>158</v>
      </c>
      <c r="I24" s="179" t="s">
        <v>159</v>
      </c>
      <c r="J24" s="179" t="s">
        <v>177</v>
      </c>
      <c r="K24" s="179"/>
      <c r="L24" s="179"/>
      <c r="M24" s="179" t="str">
        <f>_xlfn.XLOOKUP(Tablo7[[#This Row],[Yan Profili]],Anbar!$J$3:$J$1000,Anbar!$H$3:$H$1000,"Tapilmadi")</f>
        <v>Tapilmadi</v>
      </c>
      <c r="N24" s="179">
        <v>0</v>
      </c>
      <c r="O24" s="179">
        <v>470</v>
      </c>
      <c r="P24" s="179"/>
      <c r="Q24" s="179">
        <f>_xlfn.XLOOKUP(Tablo7[[#This Row],[Qulp növü]],Anbar!$J$3:$J$1000,Anbar!$H$3:$H$1000,"Tapilmadi")</f>
        <v>0</v>
      </c>
      <c r="R24" s="179">
        <v>0</v>
      </c>
      <c r="S24" s="180">
        <v>0</v>
      </c>
      <c r="T24" s="181"/>
      <c r="U24" s="179" t="str">
        <f>_xlfn.XLOOKUP(Tablo7[[#This Row],[Petlə]],Anbar!$J$3:$J$1000,Anbar!$H$3:$H$1000,"Tapilmadi")</f>
        <v>Tapilmadi</v>
      </c>
      <c r="V24" s="179">
        <v>0</v>
      </c>
      <c r="W24" s="180">
        <v>0</v>
      </c>
      <c r="X24" s="269">
        <v>0</v>
      </c>
      <c r="Y24" s="179" t="s">
        <v>36</v>
      </c>
      <c r="Z24" s="182"/>
      <c r="AA24" s="180">
        <v>0</v>
      </c>
      <c r="AB24" s="180"/>
      <c r="AC24" s="179" t="str">
        <f>_xlfn.XLOOKUP(Tablo7[[#This Row],[Bağlantı]],Anbar!$J$3:$J$1000,Anbar!$H$3:$H$1000,"Tapilmadi")</f>
        <v>Tapilmadi</v>
      </c>
      <c r="AD24" s="179"/>
      <c r="AE24" s="180">
        <v>0</v>
      </c>
      <c r="AF24" s="180"/>
      <c r="AG24" s="179" t="str">
        <f>_xlfn.XLOOKUP(Tablo7[[#This Row],[Mexanizm]],Anbar!$J$3:$J$1000,Anbar!$H$3:$H$1000,"Tapilmadi")</f>
        <v>Tapilmadi</v>
      </c>
      <c r="AH24" s="179">
        <v>1</v>
      </c>
      <c r="AI24" s="180">
        <v>0</v>
      </c>
      <c r="AJ24" s="180">
        <v>0</v>
      </c>
      <c r="AK24" s="180">
        <v>0</v>
      </c>
      <c r="AL24" s="180">
        <v>0</v>
      </c>
      <c r="AM24" s="180">
        <v>470</v>
      </c>
      <c r="AN24" s="180">
        <v>0</v>
      </c>
      <c r="AO24" s="180">
        <v>0</v>
      </c>
      <c r="AP24" s="194">
        <f>Tablo7[[#This Row],[Ümumi məbləğ]]-Tablo7[[#This Row],[Ödəniş]]-Tablo7[[#This Row],[Endirim]]</f>
        <v>470</v>
      </c>
      <c r="AQ24" s="183" t="str">
        <f t="shared" si="0"/>
        <v>Mesaj</v>
      </c>
      <c r="AR24" s="183" t="str">
        <f t="shared" si="1"/>
        <v>Mesaj</v>
      </c>
      <c r="AS24" s="184" t="str">
        <f>IF(ISNA(VLOOKUP(Tablo7[[#This Row],[Sifariş kodu]],'Kəsim ve təhvil'!$E$5:$E1022,1,0)),"Qəbul edilməyib","Qəbul edilib")</f>
        <v>Qəbul edilməyib</v>
      </c>
      <c r="AT24" s="185" t="str">
        <f>IF(ISNA(VLOOKUP(Tablo7[[#This Row],[Sifariş kodu]],'Kəsim ve təhvil'!$H$5:$H1022,1,0)),"Anbardadır","Təhvil verilib")</f>
        <v>Anbardadır</v>
      </c>
      <c r="AU24" s="186" t="str">
        <f>"Hörmətli *"&amp;Tablo7[[#This Row],[Müştəri]]&amp;"*  ,Sizin *"&amp;G24&amp;"* tarixli sifarişiniz qeydə alındı. Sifariş Məbləğı *"&amp;AM24&amp;" AZN* , Qalıq *"&amp;AP24&amp;" AZN* . Hörmətlə  *AlumPro*"</f>
        <v>Hörmətli *My Concept*  ,Sizin *18,12,2024* tarixli sifarişiniz qeydə alındı. Sifariş Məbləğı *470 AZN* , Qalıq *470 AZN* . Hörmətlə  *AlumPro*</v>
      </c>
      <c r="AV24" s="187" t="str">
        <f>"Hörmətli *"&amp;Tablo7[[#This Row],[Müştəri]]&amp;"* , sizin *"&amp;G24&amp;"* tarixli  sifarişiniz hazırdır . Bizi seçdiyiniz üçün minnətdarıq. Hörmətlə  *AlumPro*."</f>
        <v>Hörmətli *My Concept* , sizin *18,12,2024* tarixli  sifarişiniz hazırdır . Bizi seçdiyiniz üçün minnətdarıq. Hörmətlə  *AlumPro*.</v>
      </c>
      <c r="AW24" s="188" t="str">
        <f t="shared" ref="AW24" si="23">SUBSTITUTE(AX24," ","")</f>
        <v>My</v>
      </c>
      <c r="AX24" s="253" t="str">
        <f t="shared" si="2"/>
        <v xml:space="preserve">My </v>
      </c>
    </row>
    <row r="25" spans="4:50">
      <c r="D25" s="178">
        <v>310</v>
      </c>
      <c r="E25" s="179" t="s">
        <v>178</v>
      </c>
      <c r="F25" s="179" t="s">
        <v>118</v>
      </c>
      <c r="G25" s="212" t="s">
        <v>179</v>
      </c>
      <c r="H25" s="179" t="s">
        <v>158</v>
      </c>
      <c r="I25" s="179" t="s">
        <v>159</v>
      </c>
      <c r="J25" s="179"/>
      <c r="K25" s="179"/>
      <c r="L25" s="179"/>
      <c r="M25" s="179" t="str">
        <f>_xlfn.XLOOKUP(Tablo7[[#This Row],[Yan Profili]],Anbar!$J$3:$J$1000,Anbar!$H$3:$H$1000,"Tapilmadi")</f>
        <v>Tapilmadi</v>
      </c>
      <c r="N25" s="179">
        <v>5</v>
      </c>
      <c r="O25" s="179">
        <v>0</v>
      </c>
      <c r="P25" s="179"/>
      <c r="Q25" s="179" t="str">
        <f>_xlfn.XLOOKUP(Tablo7[[#This Row],[Qulp növü]],Anbar!$J$3:$J$1000,Anbar!$H$3:$H$1000,"Tapilmadi")</f>
        <v>Tapilmadi</v>
      </c>
      <c r="R25" s="179">
        <v>0</v>
      </c>
      <c r="S25" s="180">
        <v>0</v>
      </c>
      <c r="T25" s="181"/>
      <c r="U25" s="179" t="str">
        <f>_xlfn.XLOOKUP(Tablo7[[#This Row],[Petlə]],Anbar!$J$3:$J$1000,Anbar!$H$3:$H$1000,"Tapilmadi")</f>
        <v>Tapilmadi</v>
      </c>
      <c r="V25" s="179">
        <v>0</v>
      </c>
      <c r="W25" s="180">
        <v>48</v>
      </c>
      <c r="X25" s="269">
        <v>0</v>
      </c>
      <c r="Y25" s="179" t="s">
        <v>36</v>
      </c>
      <c r="Z25" s="182"/>
      <c r="AA25" s="180">
        <v>0</v>
      </c>
      <c r="AB25" s="180"/>
      <c r="AC25" s="179" t="str">
        <f>_xlfn.XLOOKUP(Tablo7[[#This Row],[Bağlantı]],Anbar!$J$3:$J$1000,Anbar!$H$3:$H$1000,"Tapilmadi")</f>
        <v>Tapilmadi</v>
      </c>
      <c r="AD25" s="179"/>
      <c r="AE25" s="180">
        <v>0</v>
      </c>
      <c r="AF25" s="180"/>
      <c r="AG25" s="179" t="str">
        <f>_xlfn.XLOOKUP(Tablo7[[#This Row],[Mexanizm]],Anbar!$J$3:$J$1000,Anbar!$H$3:$H$1000,"Tapilmadi")</f>
        <v>Tapilmadi</v>
      </c>
      <c r="AH25" s="179">
        <v>1</v>
      </c>
      <c r="AI25" s="180">
        <v>0</v>
      </c>
      <c r="AJ25" s="180">
        <v>0</v>
      </c>
      <c r="AK25" s="180">
        <v>0</v>
      </c>
      <c r="AL25" s="180">
        <v>0</v>
      </c>
      <c r="AM25" s="180">
        <v>48</v>
      </c>
      <c r="AN25" s="180">
        <v>0</v>
      </c>
      <c r="AO25" s="180">
        <v>0</v>
      </c>
      <c r="AP25" s="194">
        <f>Tablo7[[#This Row],[Ümumi məbləğ]]-Tablo7[[#This Row],[Ödəniş]]-Tablo7[[#This Row],[Endirim]]</f>
        <v>48</v>
      </c>
      <c r="AQ25" s="183" t="str">
        <f t="shared" si="0"/>
        <v>Mesaj</v>
      </c>
      <c r="AR25" s="183" t="str">
        <f t="shared" si="1"/>
        <v>Mesaj</v>
      </c>
      <c r="AS25" s="184" t="str">
        <f>IF(ISNA(VLOOKUP(Tablo7[[#This Row],[Sifariş kodu]],'Kəsim ve təhvil'!$E$5:$E1023,1,0)),"Qəbul edilməyib","Qəbul edilib")</f>
        <v>Qəbul edilməyib</v>
      </c>
      <c r="AT25" s="185" t="str">
        <f>IF(ISNA(VLOOKUP(Tablo7[[#This Row],[Sifariş kodu]],'Kəsim ve təhvil'!$H$5:$H1023,1,0)),"Anbardadır","Təhvil verilib")</f>
        <v>Anbardadır</v>
      </c>
      <c r="AU25" s="186" t="str">
        <f>"Hörmətli *"&amp;Tablo7[[#This Row],[Müştəri]]&amp;"*  ,Sizin *"&amp;G25&amp;"* tarixli sifarişiniz qeydə alındı. Sifariş Məbləğı *"&amp;AM25&amp;" AZN* , Qalıq *"&amp;AP25&amp;" AZN* . Hörmətlə  *AlumPro*"</f>
        <v>Hörmətli *My Concept*  ,Sizin *10,12,2024* tarixli sifarişiniz qeydə alındı. Sifariş Məbləğı *48 AZN* , Qalıq *48 AZN* . Hörmətlə  *AlumPro*</v>
      </c>
      <c r="AV25" s="187" t="str">
        <f>"Hörmətli *"&amp;Tablo7[[#This Row],[Müştəri]]&amp;"* , sizin *"&amp;G25&amp;"* tarixli  sifarişiniz hazırdır . Bizi seçdiyiniz üçün minnətdarıq. Hörmətlə  *AlumPro*."</f>
        <v>Hörmətli *My Concept* , sizin *10,12,2024* tarixli  sifarişiniz hazırdır . Bizi seçdiyiniz üçün minnətdarıq. Hörmətlə  *AlumPro*.</v>
      </c>
      <c r="AW25" s="188" t="str">
        <f t="shared" ref="AW25" si="24">SUBSTITUTE(AX25," ","")</f>
        <v>My</v>
      </c>
      <c r="AX25" s="253" t="str">
        <f t="shared" si="2"/>
        <v xml:space="preserve">My </v>
      </c>
    </row>
    <row r="26" spans="4:50">
      <c r="D26" s="178">
        <v>309</v>
      </c>
      <c r="E26" s="179" t="s">
        <v>180</v>
      </c>
      <c r="F26" s="179" t="s">
        <v>118</v>
      </c>
      <c r="G26" s="212" t="s">
        <v>134</v>
      </c>
      <c r="H26" s="179" t="s">
        <v>181</v>
      </c>
      <c r="I26" s="179" t="s">
        <v>182</v>
      </c>
      <c r="J26" s="179"/>
      <c r="K26" s="179" t="s">
        <v>183</v>
      </c>
      <c r="L26" s="179"/>
      <c r="M26" s="179">
        <f>_xlfn.XLOOKUP(Tablo7[[#This Row],[Yan Profili]],Anbar!$J$3:$J$1000,Anbar!$H$3:$H$1000,"Tapilmadi")</f>
        <v>0</v>
      </c>
      <c r="N26" s="179">
        <v>5</v>
      </c>
      <c r="O26" s="179">
        <v>115</v>
      </c>
      <c r="P26" s="179" t="s">
        <v>184</v>
      </c>
      <c r="Q26" s="179" t="str">
        <f>_xlfn.XLOOKUP(Tablo7[[#This Row],[Qulp növü]],Anbar!$J$3:$J$1000,Anbar!$H$3:$H$1000,"Tapilmadi")</f>
        <v>Tapilmadi</v>
      </c>
      <c r="R26" s="179">
        <v>5</v>
      </c>
      <c r="S26" s="180">
        <v>130</v>
      </c>
      <c r="T26" s="181"/>
      <c r="U26" s="179" t="str">
        <f>_xlfn.XLOOKUP(Tablo7[[#This Row],[Petlə]],Anbar!$J$3:$J$1000,Anbar!$H$3:$H$1000,"Tapilmadi")</f>
        <v>Tapilmadi</v>
      </c>
      <c r="V26" s="179">
        <v>0</v>
      </c>
      <c r="W26" s="180">
        <v>0</v>
      </c>
      <c r="X26" s="269">
        <v>0</v>
      </c>
      <c r="Y26" s="179" t="s">
        <v>36</v>
      </c>
      <c r="Z26" s="182"/>
      <c r="AA26" s="180">
        <v>103</v>
      </c>
      <c r="AB26" s="180"/>
      <c r="AC26" s="179" t="str">
        <f>_xlfn.XLOOKUP(Tablo7[[#This Row],[Bağlantı]],Anbar!$J$3:$J$1000,Anbar!$H$3:$H$1000,"Tapilmadi")</f>
        <v>Tapilmadi</v>
      </c>
      <c r="AD26" s="179"/>
      <c r="AE26" s="180">
        <v>16</v>
      </c>
      <c r="AF26" s="180"/>
      <c r="AG26" s="179" t="str">
        <f>_xlfn.XLOOKUP(Tablo7[[#This Row],[Mexanizm]],Anbar!$J$3:$J$1000,Anbar!$H$3:$H$1000,"Tapilmadi")</f>
        <v>Tapilmadi</v>
      </c>
      <c r="AH26" s="179">
        <v>1</v>
      </c>
      <c r="AI26" s="180">
        <v>0</v>
      </c>
      <c r="AJ26" s="180">
        <v>16</v>
      </c>
      <c r="AK26" s="180">
        <v>60</v>
      </c>
      <c r="AL26" s="180"/>
      <c r="AM26" s="180">
        <v>440</v>
      </c>
      <c r="AN26" s="180">
        <v>0</v>
      </c>
      <c r="AO26" s="180">
        <v>100</v>
      </c>
      <c r="AP26" s="194">
        <f>Tablo7[[#This Row],[Ümumi məbləğ]]-Tablo7[[#This Row],[Ödəniş]]-Tablo7[[#This Row],[Endirim]]</f>
        <v>340</v>
      </c>
      <c r="AQ26" s="183" t="str">
        <f t="shared" si="0"/>
        <v>Mesaj</v>
      </c>
      <c r="AR26" s="183" t="str">
        <f t="shared" si="1"/>
        <v>Mesaj</v>
      </c>
      <c r="AS26" s="184" t="str">
        <f>IF(ISNA(VLOOKUP(Tablo7[[#This Row],[Sifariş kodu]],'Kəsim ve təhvil'!$E$5:$E1024,1,0)),"Qəbul edilməyib","Qəbul edilib")</f>
        <v>Qəbul edilməyib</v>
      </c>
      <c r="AT26" s="185" t="str">
        <f>IF(ISNA(VLOOKUP(Tablo7[[#This Row],[Sifariş kodu]],'Kəsim ve təhvil'!$H$5:$H1024,1,0)),"Anbardadır","Təhvil verilib")</f>
        <v>Anbardadır</v>
      </c>
      <c r="AU26" s="186" t="str">
        <f>"Hörmətli *"&amp;Tablo7[[#This Row],[Müştəri]]&amp;"*  ,Sizin *"&amp;G26&amp;"* tarixli sifarişiniz qeydə alındı. Sifariş Məbləğı *"&amp;AM26&amp;" AZN* , Qalıq *"&amp;AP26&amp;" AZN* . Hörmətlə  *AlumPro*"</f>
        <v>Hörmətli *Fuad Ramazanov*  ,Sizin *14,01,2025* tarixli sifarişiniz qeydə alındı. Sifariş Məbləğı *440 AZN* , Qalıq *340 AZN* . Hörmətlə  *AlumPro*</v>
      </c>
      <c r="AV26" s="187" t="str">
        <f>"Hörmətli *"&amp;Tablo7[[#This Row],[Müştəri]]&amp;"* , sizin *"&amp;G26&amp;"* tarixli  sifarişiniz hazırdır . Bizi seçdiyiniz üçün minnətdarıq. Hörmətlə  *AlumPro*."</f>
        <v>Hörmətli *Fuad Ramazanov* , sizin *14,01,2025* tarixli  sifarişiniz hazırdır . Bizi seçdiyiniz üçün minnətdarıq. Hörmətlə  *AlumPro*.</v>
      </c>
      <c r="AW26" s="188" t="str">
        <f t="shared" ref="AW26" si="25">SUBSTITUTE(AX26," ","")</f>
        <v>Fuad</v>
      </c>
      <c r="AX26" s="253" t="str">
        <f t="shared" si="2"/>
        <v xml:space="preserve">Fuad </v>
      </c>
    </row>
    <row r="27" spans="4:50">
      <c r="D27" s="178">
        <v>308</v>
      </c>
      <c r="E27" s="179" t="s">
        <v>185</v>
      </c>
      <c r="F27" s="179" t="s">
        <v>118</v>
      </c>
      <c r="G27" s="212" t="s">
        <v>186</v>
      </c>
      <c r="H27" s="179" t="s">
        <v>187</v>
      </c>
      <c r="I27" s="179" t="s">
        <v>188</v>
      </c>
      <c r="J27" s="179"/>
      <c r="K27" s="179" t="s">
        <v>189</v>
      </c>
      <c r="L27" s="179"/>
      <c r="M27" s="179" t="str">
        <f>_xlfn.XLOOKUP(Tablo7[[#This Row],[Yan Profili]],Anbar!$J$3:$J$1000,Anbar!$H$3:$H$1000,"Tapilmadi")</f>
        <v>Tapilmadi</v>
      </c>
      <c r="N27" s="179">
        <v>2</v>
      </c>
      <c r="O27" s="179">
        <v>46</v>
      </c>
      <c r="P27" s="179" t="s">
        <v>184</v>
      </c>
      <c r="Q27" s="179" t="str">
        <f>_xlfn.XLOOKUP(Tablo7[[#This Row],[Qulp növü]],Anbar!$J$3:$J$1000,Anbar!$H$3:$H$1000,"Tapilmadi")</f>
        <v>Tapilmadi</v>
      </c>
      <c r="R27" s="179">
        <v>1</v>
      </c>
      <c r="S27" s="180">
        <v>26</v>
      </c>
      <c r="T27" s="181"/>
      <c r="U27" s="179" t="str">
        <f>_xlfn.XLOOKUP(Tablo7[[#This Row],[Petlə]],Anbar!$J$3:$J$1000,Anbar!$H$3:$H$1000,"Tapilmadi")</f>
        <v>Tapilmadi</v>
      </c>
      <c r="V27" s="179">
        <v>0</v>
      </c>
      <c r="W27" s="180">
        <v>0</v>
      </c>
      <c r="X27" s="269">
        <v>0</v>
      </c>
      <c r="Y27" s="179" t="s">
        <v>36</v>
      </c>
      <c r="Z27" s="182"/>
      <c r="AA27" s="180">
        <v>31</v>
      </c>
      <c r="AB27" s="180"/>
      <c r="AC27" s="179" t="str">
        <f>_xlfn.XLOOKUP(Tablo7[[#This Row],[Bağlantı]],Anbar!$J$3:$J$1000,Anbar!$H$3:$H$1000,"Tapilmadi")</f>
        <v>Tapilmadi</v>
      </c>
      <c r="AD27" s="179"/>
      <c r="AE27" s="180">
        <v>4</v>
      </c>
      <c r="AF27" s="180"/>
      <c r="AG27" s="179" t="str">
        <f>_xlfn.XLOOKUP(Tablo7[[#This Row],[Mexanizm]],Anbar!$J$3:$J$1000,Anbar!$H$3:$H$1000,"Tapilmadi")</f>
        <v>Tapilmadi</v>
      </c>
      <c r="AH27" s="179">
        <v>1</v>
      </c>
      <c r="AI27" s="180">
        <v>0</v>
      </c>
      <c r="AJ27" s="180">
        <v>4</v>
      </c>
      <c r="AK27" s="180">
        <v>15</v>
      </c>
      <c r="AL27" s="180"/>
      <c r="AM27" s="180">
        <v>126</v>
      </c>
      <c r="AN27" s="180">
        <v>0</v>
      </c>
      <c r="AO27" s="180">
        <v>0</v>
      </c>
      <c r="AP27" s="194">
        <f>Tablo7[[#This Row],[Ümumi məbləğ]]-Tablo7[[#This Row],[Ödəniş]]-Tablo7[[#This Row],[Endirim]]</f>
        <v>126</v>
      </c>
      <c r="AQ27" s="183" t="str">
        <f t="shared" si="0"/>
        <v>Mesaj</v>
      </c>
      <c r="AR27" s="183" t="str">
        <f t="shared" si="1"/>
        <v>Mesaj</v>
      </c>
      <c r="AS27" s="184" t="str">
        <f>IF(ISNA(VLOOKUP(Tablo7[[#This Row],[Sifariş kodu]],'Kəsim ve təhvil'!$E$5:$E1025,1,0)),"Qəbul edilməyib","Qəbul edilib")</f>
        <v>Qəbul edilməyib</v>
      </c>
      <c r="AT27" s="185" t="str">
        <f>IF(ISNA(VLOOKUP(Tablo7[[#This Row],[Sifariş kodu]],'Kəsim ve təhvil'!$H$5:$H1025,1,0)),"Anbardadır","Təhvil verilib")</f>
        <v>Anbardadır</v>
      </c>
      <c r="AU27" s="186" t="str">
        <f>"Hörmətli *"&amp;Tablo7[[#This Row],[Müştəri]]&amp;"*  ,Sizin *"&amp;G27&amp;"* tarixli sifarişiniz qeydə alındı. Sifariş Məbləğı *"&amp;AM27&amp;" AZN* , Qalıq *"&amp;AP27&amp;" AZN* . Hörmətlə  *AlumPro*"</f>
        <v>Hörmətli *Mahir MM*  ,Sizin *1/14/2025* tarixli sifarişiniz qeydə alındı. Sifariş Məbləğı *126 AZN* , Qalıq *126 AZN* . Hörmətlə  *AlumPro*</v>
      </c>
      <c r="AV27" s="187" t="str">
        <f>"Hörmətli *"&amp;Tablo7[[#This Row],[Müştəri]]&amp;"* , sizin *"&amp;G27&amp;"* tarixli  sifarişiniz hazırdır . Bizi seçdiyiniz üçün minnətdarıq. Hörmətlə  *AlumPro*."</f>
        <v>Hörmətli *Mahir MM* , sizin *1/14/2025* tarixli  sifarişiniz hazırdır . Bizi seçdiyiniz üçün minnətdarıq. Hörmətlə  *AlumPro*.</v>
      </c>
      <c r="AW27" s="188" t="str">
        <f t="shared" ref="AW27" si="26">SUBSTITUTE(AX27," ","")</f>
        <v>Mahir</v>
      </c>
      <c r="AX27" s="253" t="str">
        <f t="shared" si="2"/>
        <v xml:space="preserve">Mahir </v>
      </c>
    </row>
    <row r="28" spans="4:50">
      <c r="D28" s="178">
        <v>307</v>
      </c>
      <c r="E28" s="179" t="s">
        <v>190</v>
      </c>
      <c r="F28" s="179" t="s">
        <v>118</v>
      </c>
      <c r="G28" s="212" t="s">
        <v>191</v>
      </c>
      <c r="H28" s="179" t="s">
        <v>192</v>
      </c>
      <c r="I28" s="179" t="s">
        <v>193</v>
      </c>
      <c r="J28" s="179"/>
      <c r="K28" s="179" t="s">
        <v>194</v>
      </c>
      <c r="L28" s="179"/>
      <c r="M28" s="179" t="str">
        <f>_xlfn.XLOOKUP(Tablo7[[#This Row],[Yan Profili]],Anbar!$J$3:$J$1000,Anbar!$H$3:$H$1000,"Tapilmadi")</f>
        <v>Tapilmadi</v>
      </c>
      <c r="N28" s="179">
        <v>3</v>
      </c>
      <c r="O28" s="179">
        <v>69</v>
      </c>
      <c r="P28" s="179" t="s">
        <v>184</v>
      </c>
      <c r="Q28" s="179" t="str">
        <f>_xlfn.XLOOKUP(Tablo7[[#This Row],[Qulp növü]],Anbar!$J$3:$J$1000,Anbar!$H$3:$H$1000,"Tapilmadi")</f>
        <v>Tapilmadi</v>
      </c>
      <c r="R28" s="179" t="s">
        <v>195</v>
      </c>
      <c r="S28" s="180">
        <v>0</v>
      </c>
      <c r="T28" s="181" t="s">
        <v>196</v>
      </c>
      <c r="U28" s="179" t="str">
        <f>_xlfn.XLOOKUP(Tablo7[[#This Row],[Petlə]],Anbar!$J$3:$J$1000,Anbar!$H$3:$H$1000,"Tapilmadi")</f>
        <v>Tapilmadi</v>
      </c>
      <c r="V28" s="179">
        <v>4</v>
      </c>
      <c r="W28" s="180">
        <v>16</v>
      </c>
      <c r="X28" s="269">
        <v>0</v>
      </c>
      <c r="Y28" s="179" t="s">
        <v>36</v>
      </c>
      <c r="Z28" s="182"/>
      <c r="AA28" s="180">
        <v>30</v>
      </c>
      <c r="AB28" s="180"/>
      <c r="AC28" s="179" t="str">
        <f>_xlfn.XLOOKUP(Tablo7[[#This Row],[Bağlantı]],Anbar!$J$3:$J$1000,Anbar!$H$3:$H$1000,"Tapilmadi")</f>
        <v>Tapilmadi</v>
      </c>
      <c r="AD28" s="179"/>
      <c r="AE28" s="180">
        <v>16</v>
      </c>
      <c r="AF28" s="180"/>
      <c r="AG28" s="179" t="str">
        <f>_xlfn.XLOOKUP(Tablo7[[#This Row],[Mexanizm]],Anbar!$J$3:$J$1000,Anbar!$H$3:$H$1000,"Tapilmadi")</f>
        <v>Tapilmadi</v>
      </c>
      <c r="AH28" s="179">
        <v>1</v>
      </c>
      <c r="AI28" s="180">
        <v>0</v>
      </c>
      <c r="AJ28" s="180">
        <v>8</v>
      </c>
      <c r="AK28" s="180">
        <v>30</v>
      </c>
      <c r="AL28" s="180"/>
      <c r="AM28" s="180">
        <v>169</v>
      </c>
      <c r="AN28" s="180">
        <v>0</v>
      </c>
      <c r="AO28" s="180">
        <v>0</v>
      </c>
      <c r="AP28" s="194">
        <f>Tablo7[[#This Row],[Ümumi məbləğ]]-Tablo7[[#This Row],[Ödəniş]]-Tablo7[[#This Row],[Endirim]]</f>
        <v>169</v>
      </c>
      <c r="AQ28" s="183" t="str">
        <f t="shared" si="0"/>
        <v>Mesaj</v>
      </c>
      <c r="AR28" s="183" t="str">
        <f t="shared" si="1"/>
        <v>Mesaj</v>
      </c>
      <c r="AS28" s="184" t="str">
        <f>IF(ISNA(VLOOKUP(Tablo7[[#This Row],[Sifariş kodu]],'Kəsim ve təhvil'!$E$5:$E1026,1,0)),"Qəbul edilməyib","Qəbul edilib")</f>
        <v>Qəbul edilməyib</v>
      </c>
      <c r="AT28" s="185" t="str">
        <f>IF(ISNA(VLOOKUP(Tablo7[[#This Row],[Sifariş kodu]],'Kəsim ve təhvil'!$H$5:$H1026,1,0)),"Anbardadır","Təhvil verilib")</f>
        <v>Anbardadır</v>
      </c>
      <c r="AU28" s="186" t="str">
        <f>"Hörmətli *"&amp;Tablo7[[#This Row],[Müştəri]]&amp;"*  ,Sizin *"&amp;G28&amp;"* tarixli sifarişiniz qeydə alındı. Sifariş Məbləğı *"&amp;AM28&amp;" AZN* , Qalıq *"&amp;AP28&amp;" AZN* . Hörmətlə  *AlumPro*"</f>
        <v>Hörmətli *Aksin Mahmudov*  ,Sizin *13,01,2025* tarixli sifarişiniz qeydə alındı. Sifariş Məbləğı *169 AZN* , Qalıq *169 AZN* . Hörmətlə  *AlumPro*</v>
      </c>
      <c r="AV28" s="187" t="str">
        <f>"Hörmətli *"&amp;Tablo7[[#This Row],[Müştəri]]&amp;"* , sizin *"&amp;G28&amp;"* tarixli  sifarişiniz hazırdır . Bizi seçdiyiniz üçün minnətdarıq. Hörmətlə  *AlumPro*."</f>
        <v>Hörmətli *Aksin Mahmudov* , sizin *13,01,2025* tarixli  sifarişiniz hazırdır . Bizi seçdiyiniz üçün minnətdarıq. Hörmətlə  *AlumPro*.</v>
      </c>
      <c r="AW28" s="188" t="str">
        <f t="shared" ref="AW28" si="27">SUBSTITUTE(AX28," ","")</f>
        <v>Aksin</v>
      </c>
      <c r="AX28" s="253" t="str">
        <f t="shared" si="2"/>
        <v xml:space="preserve">Aksin </v>
      </c>
    </row>
    <row r="29" spans="4:50">
      <c r="D29" s="178">
        <v>306</v>
      </c>
      <c r="E29" s="179" t="s">
        <v>197</v>
      </c>
      <c r="F29" s="179" t="s">
        <v>118</v>
      </c>
      <c r="G29" s="212" t="s">
        <v>191</v>
      </c>
      <c r="H29" s="179"/>
      <c r="I29" s="179" t="s">
        <v>198</v>
      </c>
      <c r="J29" s="179"/>
      <c r="K29" s="179" t="s">
        <v>183</v>
      </c>
      <c r="L29" s="179"/>
      <c r="M29" s="179" t="str">
        <f>_xlfn.XLOOKUP(Tablo7[[#This Row],[Yan Profili]],Anbar!$J$3:$J$1000,Anbar!$H$3:$H$1000,"Tapilmadi")</f>
        <v>Tapilmadi</v>
      </c>
      <c r="N29" s="179"/>
      <c r="O29" s="179"/>
      <c r="P29" s="179"/>
      <c r="Q29" s="179" t="str">
        <f>_xlfn.XLOOKUP(Tablo7[[#This Row],[Qulp növü]],Anbar!$J$3:$J$1000,Anbar!$H$3:$H$1000,"Tapilmadi")</f>
        <v>Tapilmadi</v>
      </c>
      <c r="R29" s="179"/>
      <c r="S29" s="180"/>
      <c r="T29" s="181"/>
      <c r="U29" s="179" t="str">
        <f>_xlfn.XLOOKUP(Tablo7[[#This Row],[Petlə]],Anbar!$J$3:$J$1000,Anbar!$H$3:$H$1000,"Tapilmadi")</f>
        <v>Tapilmadi</v>
      </c>
      <c r="V29" s="179">
        <v>0</v>
      </c>
      <c r="W29" s="180">
        <v>0</v>
      </c>
      <c r="X29" s="269">
        <v>0</v>
      </c>
      <c r="Y29" s="179" t="s">
        <v>199</v>
      </c>
      <c r="Z29" s="182"/>
      <c r="AA29" s="180"/>
      <c r="AB29" s="180"/>
      <c r="AC29" s="179" t="str">
        <f>_xlfn.XLOOKUP(Tablo7[[#This Row],[Bağlantı]],Anbar!$J$3:$J$1000,Anbar!$H$3:$H$1000,"Tapilmadi")</f>
        <v>Tapilmadi</v>
      </c>
      <c r="AD29" s="179"/>
      <c r="AE29" s="180"/>
      <c r="AF29" s="180"/>
      <c r="AG29" s="179" t="str">
        <f>_xlfn.XLOOKUP(Tablo7[[#This Row],[Mexanizm]],Anbar!$J$3:$J$1000,Anbar!$H$3:$H$1000,"Tapilmadi")</f>
        <v>Tapilmadi</v>
      </c>
      <c r="AH29" s="179">
        <v>1</v>
      </c>
      <c r="AI29" s="180">
        <v>0</v>
      </c>
      <c r="AJ29" s="180"/>
      <c r="AK29" s="180"/>
      <c r="AL29" s="180"/>
      <c r="AM29" s="180"/>
      <c r="AN29" s="180"/>
      <c r="AO29" s="180"/>
      <c r="AP29" s="194">
        <f>Tablo7[[#This Row],[Ümumi məbləğ]]-Tablo7[[#This Row],[Ödəniş]]-Tablo7[[#This Row],[Endirim]]</f>
        <v>0</v>
      </c>
      <c r="AQ29" s="183" t="str">
        <f t="shared" si="0"/>
        <v>Mesaj</v>
      </c>
      <c r="AR29" s="183" t="str">
        <f t="shared" si="1"/>
        <v>Mesaj</v>
      </c>
      <c r="AS29" s="184" t="str">
        <f>IF(ISNA(VLOOKUP(Tablo7[[#This Row],[Sifariş kodu]],'Kəsim ve təhvil'!$E$5:$E1027,1,0)),"Qəbul edilməyib","Qəbul edilib")</f>
        <v>Qəbul edilməyib</v>
      </c>
      <c r="AT29" s="185" t="str">
        <f>IF(ISNA(VLOOKUP(Tablo7[[#This Row],[Sifariş kodu]],'Kəsim ve təhvil'!$H$5:$H1027,1,0)),"Anbardadır","Təhvil verilib")</f>
        <v>Anbardadır</v>
      </c>
      <c r="AU29" s="186" t="str">
        <f>"Hörmətli *"&amp;Tablo7[[#This Row],[Müştəri]]&amp;"*  ,Sizin *"&amp;G29&amp;"* tarixli sifarişiniz qeydə alındı. Sifariş Məbləğı *"&amp;AM29&amp;" AZN* , Qalıq *"&amp;AP29&amp;" AZN* . Hörmətlə  *AlumPro*"</f>
        <v>Hörmətli **  ,Sizin *13,01,2025* tarixli sifarişiniz qeydə alındı. Sifariş Məbləğı * AZN* , Qalıq *0 AZN* . Hörmətlə  *AlumPro*</v>
      </c>
      <c r="AV29" s="187" t="str">
        <f>"Hörmətli *"&amp;Tablo7[[#This Row],[Müştəri]]&amp;"* , sizin *"&amp;G29&amp;"* tarixli  sifarişiniz hazırdır . Bizi seçdiyiniz üçün minnətdarıq. Hörmətlə  *AlumPro*."</f>
        <v>Hörmətli ** , sizin *13,01,2025* tarixli  sifarişiniz hazırdır . Bizi seçdiyiniz üçün minnətdarıq. Hörmətlə  *AlumPro*.</v>
      </c>
      <c r="AW29" s="188" t="e">
        <f t="shared" ref="AW29" si="28">SUBSTITUTE(AX29," ","")</f>
        <v>#VALUE!</v>
      </c>
      <c r="AX29" s="253" t="e">
        <f t="shared" si="2"/>
        <v>#VALUE!</v>
      </c>
    </row>
    <row r="30" spans="4:50">
      <c r="D30" s="178">
        <v>305</v>
      </c>
      <c r="E30" s="179" t="s">
        <v>200</v>
      </c>
      <c r="F30" s="179" t="s">
        <v>118</v>
      </c>
      <c r="G30" s="212" t="s">
        <v>191</v>
      </c>
      <c r="H30" s="179" t="s">
        <v>201</v>
      </c>
      <c r="I30" s="179" t="s">
        <v>202</v>
      </c>
      <c r="J30" s="179"/>
      <c r="K30" s="179" t="s">
        <v>194</v>
      </c>
      <c r="L30" s="179"/>
      <c r="M30" s="179" t="str">
        <f>_xlfn.XLOOKUP(Tablo7[[#This Row],[Yan Profili]],Anbar!$J$3:$J$1000,Anbar!$H$3:$H$1000,"Tapilmadi")</f>
        <v>Tapilmadi</v>
      </c>
      <c r="N30" s="179">
        <v>8</v>
      </c>
      <c r="O30" s="179">
        <v>184</v>
      </c>
      <c r="P30" s="179" t="s">
        <v>184</v>
      </c>
      <c r="Q30" s="179" t="str">
        <f>_xlfn.XLOOKUP(Tablo7[[#This Row],[Qulp növü]],Anbar!$J$3:$J$1000,Anbar!$H$3:$H$1000,"Tapilmadi")</f>
        <v>Tapilmadi</v>
      </c>
      <c r="R30" s="179">
        <v>7</v>
      </c>
      <c r="S30" s="180">
        <v>182</v>
      </c>
      <c r="T30" s="181" t="s">
        <v>196</v>
      </c>
      <c r="U30" s="179" t="str">
        <f>_xlfn.XLOOKUP(Tablo7[[#This Row],[Petlə]],Anbar!$J$3:$J$1000,Anbar!$H$3:$H$1000,"Tapilmadi")</f>
        <v>Tapilmadi</v>
      </c>
      <c r="V30" s="179">
        <v>28</v>
      </c>
      <c r="W30" s="180">
        <v>112</v>
      </c>
      <c r="X30" s="269">
        <v>0</v>
      </c>
      <c r="Y30" s="179" t="s">
        <v>203</v>
      </c>
      <c r="Z30" s="182"/>
      <c r="AA30" s="180">
        <v>268</v>
      </c>
      <c r="AB30" s="180"/>
      <c r="AC30" s="179" t="str">
        <f>_xlfn.XLOOKUP(Tablo7[[#This Row],[Bağlantı]],Anbar!$J$3:$J$1000,Anbar!$H$3:$H$1000,"Tapilmadi")</f>
        <v>Tapilmadi</v>
      </c>
      <c r="AD30" s="179"/>
      <c r="AE30" s="180">
        <v>64</v>
      </c>
      <c r="AF30" s="180"/>
      <c r="AG30" s="179" t="str">
        <f>_xlfn.XLOOKUP(Tablo7[[#This Row],[Mexanizm]],Anbar!$J$3:$J$1000,Anbar!$H$3:$H$1000,"Tapilmadi")</f>
        <v>Tapilmadi</v>
      </c>
      <c r="AH30" s="179">
        <v>1</v>
      </c>
      <c r="AI30" s="180">
        <v>0</v>
      </c>
      <c r="AJ30" s="180">
        <v>56</v>
      </c>
      <c r="AK30" s="180">
        <v>110</v>
      </c>
      <c r="AL30" s="180">
        <v>0</v>
      </c>
      <c r="AM30" s="180">
        <v>976</v>
      </c>
      <c r="AN30" s="180">
        <v>0</v>
      </c>
      <c r="AO30" s="180">
        <v>0</v>
      </c>
      <c r="AP30" s="194">
        <f>Tablo7[[#This Row],[Ümumi məbləğ]]-Tablo7[[#This Row],[Ödəniş]]-Tablo7[[#This Row],[Endirim]]</f>
        <v>976</v>
      </c>
      <c r="AQ30" s="183" t="str">
        <f t="shared" si="0"/>
        <v>Mesaj</v>
      </c>
      <c r="AR30" s="183" t="str">
        <f t="shared" si="1"/>
        <v>Mesaj</v>
      </c>
      <c r="AS30" s="184" t="str">
        <f>IF(ISNA(VLOOKUP(Tablo7[[#This Row],[Sifariş kodu]],'Kəsim ve təhvil'!$E$5:$E1028,1,0)),"Qəbul edilməyib","Qəbul edilib")</f>
        <v>Qəbul edilməyib</v>
      </c>
      <c r="AT30" s="185" t="str">
        <f>IF(ISNA(VLOOKUP(Tablo7[[#This Row],[Sifariş kodu]],'Kəsim ve təhvil'!$H$5:$H1028,1,0)),"Anbardadır","Təhvil verilib")</f>
        <v>Anbardadır</v>
      </c>
      <c r="AU30" s="186" t="str">
        <f>"Hörmətli *"&amp;Tablo7[[#This Row],[Müştəri]]&amp;"*  ,Sizin *"&amp;G30&amp;"* tarixli sifarişiniz qeydə alındı. Sifariş Məbləğı *"&amp;AM30&amp;" AZN* , Qalıq *"&amp;AP30&amp;" AZN* . Hörmətlə  *AlumPro*"</f>
        <v>Hörmətli *Kandar Palid*  ,Sizin *13,01,2025* tarixli sifarişiniz qeydə alındı. Sifariş Məbləğı *976 AZN* , Qalıq *976 AZN* . Hörmətlə  *AlumPro*</v>
      </c>
      <c r="AV30" s="187" t="str">
        <f>"Hörmətli *"&amp;Tablo7[[#This Row],[Müştəri]]&amp;"* , sizin *"&amp;G30&amp;"* tarixli  sifarişiniz hazırdır . Bizi seçdiyiniz üçün minnətdarıq. Hörmətlə  *AlumPro*."</f>
        <v>Hörmətli *Kandar Palid* , sizin *13,01,2025* tarixli  sifarişiniz hazırdır . Bizi seçdiyiniz üçün minnətdarıq. Hörmətlə  *AlumPro*.</v>
      </c>
      <c r="AW30" s="188" t="str">
        <f t="shared" ref="AW30" si="29">SUBSTITUTE(AX30," ","")</f>
        <v>Kandar</v>
      </c>
      <c r="AX30" s="253" t="str">
        <f t="shared" si="2"/>
        <v xml:space="preserve">Kandar </v>
      </c>
    </row>
    <row r="31" spans="4:50">
      <c r="D31" s="178">
        <v>304</v>
      </c>
      <c r="E31" s="179" t="s">
        <v>204</v>
      </c>
      <c r="F31" s="179" t="s">
        <v>118</v>
      </c>
      <c r="G31" s="212" t="s">
        <v>191</v>
      </c>
      <c r="H31" s="179" t="s">
        <v>205</v>
      </c>
      <c r="I31" s="179" t="s">
        <v>206</v>
      </c>
      <c r="J31" s="179"/>
      <c r="K31" s="179" t="s">
        <v>194</v>
      </c>
      <c r="L31" s="179"/>
      <c r="M31" s="179" t="str">
        <f>_xlfn.XLOOKUP(Tablo7[[#This Row],[Yan Profili]],Anbar!$J$3:$J$1000,Anbar!$H$3:$H$1000,"Tapilmadi")</f>
        <v>Tapilmadi</v>
      </c>
      <c r="N31" s="179">
        <v>6</v>
      </c>
      <c r="O31" s="179">
        <v>138</v>
      </c>
      <c r="P31" s="179">
        <v>110</v>
      </c>
      <c r="Q31" s="179" t="str">
        <f>_xlfn.XLOOKUP(Tablo7[[#This Row],[Qulp növü]],Anbar!$J$3:$J$1000,Anbar!$H$3:$H$1000,"Tapilmadi")</f>
        <v>Tapilmadi</v>
      </c>
      <c r="R31" s="179">
        <v>4</v>
      </c>
      <c r="S31" s="180">
        <v>240</v>
      </c>
      <c r="T31" s="181" t="s">
        <v>196</v>
      </c>
      <c r="U31" s="179" t="str">
        <f>_xlfn.XLOOKUP(Tablo7[[#This Row],[Petlə]],Anbar!$J$3:$J$1000,Anbar!$H$3:$H$1000,"Tapilmadi")</f>
        <v>Tapilmadi</v>
      </c>
      <c r="V31" s="179">
        <v>20</v>
      </c>
      <c r="W31" s="180">
        <v>80</v>
      </c>
      <c r="X31" s="269">
        <v>0</v>
      </c>
      <c r="Y31" s="179" t="s">
        <v>203</v>
      </c>
      <c r="Z31" s="182"/>
      <c r="AA31" s="180">
        <v>218</v>
      </c>
      <c r="AB31" s="180"/>
      <c r="AC31" s="179" t="str">
        <f>_xlfn.XLOOKUP(Tablo7[[#This Row],[Bağlantı]],Anbar!$J$3:$J$1000,Anbar!$H$3:$H$1000,"Tapilmadi")</f>
        <v>Tapilmadi</v>
      </c>
      <c r="AD31" s="179"/>
      <c r="AE31" s="180">
        <v>32</v>
      </c>
      <c r="AF31" s="180"/>
      <c r="AG31" s="179" t="str">
        <f>_xlfn.XLOOKUP(Tablo7[[#This Row],[Mexanizm]],Anbar!$J$3:$J$1000,Anbar!$H$3:$H$1000,"Tapilmadi")</f>
        <v>Tapilmadi</v>
      </c>
      <c r="AH31" s="179">
        <v>1</v>
      </c>
      <c r="AI31" s="180">
        <v>0</v>
      </c>
      <c r="AJ31" s="180">
        <v>40</v>
      </c>
      <c r="AK31" s="180">
        <v>60</v>
      </c>
      <c r="AL31" s="180">
        <v>0</v>
      </c>
      <c r="AM31" s="180">
        <v>808</v>
      </c>
      <c r="AN31" s="180">
        <v>0</v>
      </c>
      <c r="AO31" s="180">
        <v>400</v>
      </c>
      <c r="AP31" s="194">
        <f>Tablo7[[#This Row],[Ümumi məbləğ]]-Tablo7[[#This Row],[Ödəniş]]-Tablo7[[#This Row],[Endirim]]</f>
        <v>408</v>
      </c>
      <c r="AQ31" s="183" t="str">
        <f t="shared" si="0"/>
        <v>Mesaj</v>
      </c>
      <c r="AR31" s="183" t="str">
        <f t="shared" si="1"/>
        <v>Mesaj</v>
      </c>
      <c r="AS31" s="184" t="str">
        <f>IF(ISNA(VLOOKUP(Tablo7[[#This Row],[Sifariş kodu]],'Kəsim ve təhvil'!$E$5:$E1029,1,0)),"Qəbul edilməyib","Qəbul edilib")</f>
        <v>Qəbul edilməyib</v>
      </c>
      <c r="AT31" s="185" t="str">
        <f>IF(ISNA(VLOOKUP(Tablo7[[#This Row],[Sifariş kodu]],'Kəsim ve təhvil'!$H$5:$H1029,1,0)),"Anbardadır","Təhvil verilib")</f>
        <v>Anbardadır</v>
      </c>
      <c r="AU31" s="186" t="str">
        <f>"Hörmətli *"&amp;Tablo7[[#This Row],[Müştəri]]&amp;"*  ,Sizin *"&amp;G31&amp;"* tarixli sifarişiniz qeydə alındı. Sifariş Məbləğı *"&amp;AM31&amp;" AZN* , Qalıq *"&amp;AP31&amp;" AZN* . Hörmətlə  *AlumPro*"</f>
        <v>Hörmətli *Rauf Yusubov*  ,Sizin *13,01,2025* tarixli sifarişiniz qeydə alındı. Sifariş Məbləğı *808 AZN* , Qalıq *408 AZN* . Hörmətlə  *AlumPro*</v>
      </c>
      <c r="AV31" s="187" t="str">
        <f>"Hörmətli *"&amp;Tablo7[[#This Row],[Müştəri]]&amp;"* , sizin *"&amp;G31&amp;"* tarixli  sifarişiniz hazırdır . Bizi seçdiyiniz üçün minnətdarıq. Hörmətlə  *AlumPro*."</f>
        <v>Hörmətli *Rauf Yusubov* , sizin *13,01,2025* tarixli  sifarişiniz hazırdır . Bizi seçdiyiniz üçün minnətdarıq. Hörmətlə  *AlumPro*.</v>
      </c>
      <c r="AW31" s="188" t="str">
        <f t="shared" ref="AW31" si="30">SUBSTITUTE(AX31," ","")</f>
        <v>Rauf</v>
      </c>
      <c r="AX31" s="253" t="str">
        <f t="shared" si="2"/>
        <v xml:space="preserve">Rauf </v>
      </c>
    </row>
    <row r="32" spans="4:50">
      <c r="D32" s="178">
        <v>303</v>
      </c>
      <c r="E32" s="179" t="s">
        <v>207</v>
      </c>
      <c r="F32" s="179" t="s">
        <v>118</v>
      </c>
      <c r="G32" s="212" t="s">
        <v>191</v>
      </c>
      <c r="H32" s="179" t="s">
        <v>208</v>
      </c>
      <c r="I32" s="179" t="s">
        <v>209</v>
      </c>
      <c r="J32" s="179"/>
      <c r="K32" s="179" t="s">
        <v>183</v>
      </c>
      <c r="L32" s="179"/>
      <c r="M32" s="179" t="str">
        <f>_xlfn.XLOOKUP(Tablo7[[#This Row],[Yan Profili]],Anbar!$J$3:$J$1000,Anbar!$H$3:$H$1000,"Tapilmadi")</f>
        <v>Tapilmadi</v>
      </c>
      <c r="N32" s="179">
        <v>7</v>
      </c>
      <c r="O32" s="179">
        <v>161</v>
      </c>
      <c r="P32" s="179" t="s">
        <v>184</v>
      </c>
      <c r="Q32" s="179" t="str">
        <f>_xlfn.XLOOKUP(Tablo7[[#This Row],[Qulp növü]],Anbar!$J$3:$J$1000,Anbar!$H$3:$H$1000,"Tapilmadi")</f>
        <v>Tapilmadi</v>
      </c>
      <c r="R32" s="179">
        <v>5</v>
      </c>
      <c r="S32" s="180">
        <v>130</v>
      </c>
      <c r="T32" s="181"/>
      <c r="U32" s="179" t="str">
        <f>_xlfn.XLOOKUP(Tablo7[[#This Row],[Petlə]],Anbar!$J$3:$J$1000,Anbar!$H$3:$H$1000,"Tapilmadi")</f>
        <v>Tapilmadi</v>
      </c>
      <c r="V32" s="179">
        <v>0</v>
      </c>
      <c r="W32" s="180">
        <v>0</v>
      </c>
      <c r="X32" s="269">
        <v>0</v>
      </c>
      <c r="Y32" s="179" t="s">
        <v>199</v>
      </c>
      <c r="Z32" s="182"/>
      <c r="AA32" s="180">
        <v>128</v>
      </c>
      <c r="AB32" s="180"/>
      <c r="AC32" s="179" t="str">
        <f>_xlfn.XLOOKUP(Tablo7[[#This Row],[Bağlantı]],Anbar!$J$3:$J$1000,Anbar!$H$3:$H$1000,"Tapilmadi")</f>
        <v>Tapilmadi</v>
      </c>
      <c r="AD32" s="179"/>
      <c r="AE32" s="180">
        <v>20</v>
      </c>
      <c r="AF32" s="180"/>
      <c r="AG32" s="179" t="str">
        <f>_xlfn.XLOOKUP(Tablo7[[#This Row],[Mexanizm]],Anbar!$J$3:$J$1000,Anbar!$H$3:$H$1000,"Tapilmadi")</f>
        <v>Tapilmadi</v>
      </c>
      <c r="AH32" s="179">
        <v>1</v>
      </c>
      <c r="AI32" s="180">
        <v>0</v>
      </c>
      <c r="AJ32" s="180">
        <v>25</v>
      </c>
      <c r="AK32" s="180">
        <v>75</v>
      </c>
      <c r="AL32" s="180">
        <v>0</v>
      </c>
      <c r="AM32" s="180">
        <v>539</v>
      </c>
      <c r="AN32" s="180">
        <v>0</v>
      </c>
      <c r="AO32" s="180">
        <v>539</v>
      </c>
      <c r="AP32" s="194">
        <f>Tablo7[[#This Row],[Ümumi məbləğ]]-Tablo7[[#This Row],[Ödəniş]]-Tablo7[[#This Row],[Endirim]]</f>
        <v>0</v>
      </c>
      <c r="AQ32" s="183" t="str">
        <f t="shared" si="0"/>
        <v>Mesaj</v>
      </c>
      <c r="AR32" s="183" t="str">
        <f t="shared" si="1"/>
        <v>Mesaj</v>
      </c>
      <c r="AS32" s="184" t="str">
        <f>IF(ISNA(VLOOKUP(Tablo7[[#This Row],[Sifariş kodu]],'Kəsim ve təhvil'!$E$5:$E1030,1,0)),"Qəbul edilməyib","Qəbul edilib")</f>
        <v>Qəbul edilməyib</v>
      </c>
      <c r="AT32" s="185" t="str">
        <f>IF(ISNA(VLOOKUP(Tablo7[[#This Row],[Sifariş kodu]],'Kəsim ve təhvil'!$H$5:$H1030,1,0)),"Anbardadır","Təhvil verilib")</f>
        <v>Anbardadır</v>
      </c>
      <c r="AU32" s="186" t="str">
        <f>"Hörmətli *"&amp;Tablo7[[#This Row],[Müştəri]]&amp;"*  ,Sizin *"&amp;G32&amp;"* tarixli sifarişiniz qeydə alındı. Sifariş Məbləğı *"&amp;AM32&amp;" AZN* , Qalıq *"&amp;AP32&amp;" AZN* . Hörmətlə  *AlumPro*"</f>
        <v>Hörmətli *Ceyhun Sumqayit*  ,Sizin *13,01,2025* tarixli sifarişiniz qeydə alındı. Sifariş Məbləğı *539 AZN* , Qalıq *0 AZN* . Hörmətlə  *AlumPro*</v>
      </c>
      <c r="AV32" s="187" t="str">
        <f>"Hörmətli *"&amp;Tablo7[[#This Row],[Müştəri]]&amp;"* , sizin *"&amp;G32&amp;"* tarixli  sifarişiniz hazırdır . Bizi seçdiyiniz üçün minnətdarıq. Hörmətlə  *AlumPro*."</f>
        <v>Hörmətli *Ceyhun Sumqayit* , sizin *13,01,2025* tarixli  sifarişiniz hazırdır . Bizi seçdiyiniz üçün minnətdarıq. Hörmətlə  *AlumPro*.</v>
      </c>
      <c r="AW32" s="188" t="str">
        <f t="shared" ref="AW32" si="31">SUBSTITUTE(AX32," ","")</f>
        <v>Ceyhun</v>
      </c>
      <c r="AX32" s="253" t="str">
        <f t="shared" si="2"/>
        <v xml:space="preserve">Ceyhun </v>
      </c>
    </row>
    <row r="33" spans="4:50">
      <c r="D33" s="178">
        <v>302</v>
      </c>
      <c r="E33" s="179" t="s">
        <v>210</v>
      </c>
      <c r="F33" s="179" t="s">
        <v>118</v>
      </c>
      <c r="G33" s="212" t="s">
        <v>191</v>
      </c>
      <c r="H33" s="179" t="s">
        <v>211</v>
      </c>
      <c r="I33" s="179" t="s">
        <v>212</v>
      </c>
      <c r="J33" s="179"/>
      <c r="K33" s="179"/>
      <c r="L33" s="179"/>
      <c r="M33" s="179" t="str">
        <f>_xlfn.XLOOKUP(Tablo7[[#This Row],[Yan Profili]],Anbar!$J$3:$J$1000,Anbar!$H$3:$H$1000,"Tapilmadi")</f>
        <v>Tapilmadi</v>
      </c>
      <c r="N33" s="179">
        <v>0</v>
      </c>
      <c r="O33" s="179">
        <v>2060</v>
      </c>
      <c r="P33" s="179">
        <v>0</v>
      </c>
      <c r="Q33" s="179" t="str">
        <f>_xlfn.XLOOKUP(Tablo7[[#This Row],[Qulp növü]],Anbar!$J$3:$J$1000,Anbar!$H$3:$H$1000,"Tapilmadi")</f>
        <v>Tapilmadi</v>
      </c>
      <c r="R33" s="179">
        <v>0</v>
      </c>
      <c r="S33" s="180">
        <v>0</v>
      </c>
      <c r="T33" s="181"/>
      <c r="U33" s="179" t="str">
        <f>_xlfn.XLOOKUP(Tablo7[[#This Row],[Petlə]],Anbar!$J$3:$J$1000,Anbar!$H$3:$H$1000,"Tapilmadi")</f>
        <v>Tapilmadi</v>
      </c>
      <c r="V33" s="179">
        <v>0</v>
      </c>
      <c r="W33" s="180">
        <v>0</v>
      </c>
      <c r="X33" s="269">
        <v>0</v>
      </c>
      <c r="Y33" s="179" t="s">
        <v>199</v>
      </c>
      <c r="Z33" s="182"/>
      <c r="AA33" s="180">
        <v>0</v>
      </c>
      <c r="AB33" s="180"/>
      <c r="AC33" s="179" t="str">
        <f>_xlfn.XLOOKUP(Tablo7[[#This Row],[Bağlantı]],Anbar!$J$3:$J$1000,Anbar!$H$3:$H$1000,"Tapilmadi")</f>
        <v>Tapilmadi</v>
      </c>
      <c r="AD33" s="179"/>
      <c r="AE33" s="180">
        <v>0</v>
      </c>
      <c r="AF33" s="180"/>
      <c r="AG33" s="179" t="str">
        <f>_xlfn.XLOOKUP(Tablo7[[#This Row],[Mexanizm]],Anbar!$J$3:$J$1000,Anbar!$H$3:$H$1000,"Tapilmadi")</f>
        <v>Tapilmadi</v>
      </c>
      <c r="AH33" s="179">
        <v>1</v>
      </c>
      <c r="AI33" s="180">
        <v>0</v>
      </c>
      <c r="AJ33" s="180">
        <v>0</v>
      </c>
      <c r="AK33" s="180">
        <v>0</v>
      </c>
      <c r="AL33" s="180">
        <v>0</v>
      </c>
      <c r="AM33" s="180">
        <v>2060</v>
      </c>
      <c r="AN33" s="180">
        <v>0</v>
      </c>
      <c r="AO33" s="180"/>
      <c r="AP33" s="194">
        <f>Tablo7[[#This Row],[Ümumi məbləğ]]-Tablo7[[#This Row],[Ödəniş]]-Tablo7[[#This Row],[Endirim]]</f>
        <v>2060</v>
      </c>
      <c r="AQ33" s="183" t="str">
        <f t="shared" si="0"/>
        <v>Mesaj</v>
      </c>
      <c r="AR33" s="183" t="str">
        <f t="shared" si="1"/>
        <v>Mesaj</v>
      </c>
      <c r="AS33" s="184" t="str">
        <f>IF(ISNA(VLOOKUP(Tablo7[[#This Row],[Sifariş kodu]],'Kəsim ve təhvil'!$E$5:$E1031,1,0)),"Qəbul edilməyib","Qəbul edilib")</f>
        <v>Qəbul edilməyib</v>
      </c>
      <c r="AT33" s="185" t="str">
        <f>IF(ISNA(VLOOKUP(Tablo7[[#This Row],[Sifariş kodu]],'Kəsim ve təhvil'!$H$5:$H1031,1,0)),"Anbardadır","Təhvil verilib")</f>
        <v>Anbardadır</v>
      </c>
      <c r="AU33" s="186" t="str">
        <f>"Hörmətli *"&amp;Tablo7[[#This Row],[Müştəri]]&amp;"*  ,Sizin *"&amp;G33&amp;"* tarixli sifarişiniz qeydə alındı. Sifariş Məbləğı *"&amp;AM33&amp;" AZN* , Qalıq *"&amp;AP33&amp;" AZN* . Hörmətlə  *AlumPro*"</f>
        <v>Hörmətli *Togrul Memmeddli*  ,Sizin *13,01,2025* tarixli sifarişiniz qeydə alındı. Sifariş Məbləğı *2060 AZN* , Qalıq *2060 AZN* . Hörmətlə  *AlumPro*</v>
      </c>
      <c r="AV33" s="187" t="str">
        <f>"Hörmətli *"&amp;Tablo7[[#This Row],[Müştəri]]&amp;"* , sizin *"&amp;G33&amp;"* tarixli  sifarişiniz hazırdır . Bizi seçdiyiniz üçün minnətdarıq. Hörmətlə  *AlumPro*."</f>
        <v>Hörmətli *Togrul Memmeddli* , sizin *13,01,2025* tarixli  sifarişiniz hazırdır . Bizi seçdiyiniz üçün minnətdarıq. Hörmətlə  *AlumPro*.</v>
      </c>
      <c r="AW33" s="188" t="str">
        <f t="shared" ref="AW33" si="32">SUBSTITUTE(AX33," ","")</f>
        <v>Togrul</v>
      </c>
      <c r="AX33" s="253" t="str">
        <f t="shared" si="2"/>
        <v xml:space="preserve">Togrul </v>
      </c>
    </row>
    <row r="34" spans="4:50">
      <c r="D34" s="178">
        <v>301</v>
      </c>
      <c r="E34" s="179" t="s">
        <v>213</v>
      </c>
      <c r="F34" s="179" t="s">
        <v>118</v>
      </c>
      <c r="G34" s="212" t="s">
        <v>191</v>
      </c>
      <c r="H34" s="179" t="s">
        <v>214</v>
      </c>
      <c r="I34" s="179" t="s">
        <v>215</v>
      </c>
      <c r="J34" s="179"/>
      <c r="K34" s="179"/>
      <c r="L34" s="179"/>
      <c r="M34" s="179">
        <f>_xlfn.XLOOKUP(Tablo7[[#This Row],[Yan Profili]],Anbar!$J$3:$J$1000,Anbar!$H$3:$H$1000,"Tapilmadi")</f>
        <v>0</v>
      </c>
      <c r="N34" s="179">
        <v>0</v>
      </c>
      <c r="O34" s="179">
        <v>1100</v>
      </c>
      <c r="P34" s="179">
        <v>0</v>
      </c>
      <c r="Q34" s="179" t="str">
        <f>_xlfn.XLOOKUP(Tablo7[[#This Row],[Qulp növü]],Anbar!$J$3:$J$1000,Anbar!$H$3:$H$1000,"Tapilmadi")</f>
        <v>Tapilmadi</v>
      </c>
      <c r="R34" s="179">
        <v>0</v>
      </c>
      <c r="S34" s="180">
        <v>0</v>
      </c>
      <c r="T34" s="181"/>
      <c r="U34" s="179" t="str">
        <f>_xlfn.XLOOKUP(Tablo7[[#This Row],[Petlə]],Anbar!$J$3:$J$1000,Anbar!$H$3:$H$1000,"Tapilmadi")</f>
        <v>Tapilmadi</v>
      </c>
      <c r="V34" s="179">
        <v>0</v>
      </c>
      <c r="W34" s="180">
        <v>0</v>
      </c>
      <c r="X34" s="269">
        <v>0</v>
      </c>
      <c r="Y34" s="179" t="s">
        <v>199</v>
      </c>
      <c r="Z34" s="182"/>
      <c r="AA34" s="180">
        <v>0</v>
      </c>
      <c r="AB34" s="180"/>
      <c r="AC34" s="179" t="str">
        <f>_xlfn.XLOOKUP(Tablo7[[#This Row],[Bağlantı]],Anbar!$J$3:$J$1000,Anbar!$H$3:$H$1000,"Tapilmadi")</f>
        <v>Tapilmadi</v>
      </c>
      <c r="AD34" s="179"/>
      <c r="AE34" s="180">
        <v>0</v>
      </c>
      <c r="AF34" s="180"/>
      <c r="AG34" s="179" t="str">
        <f>_xlfn.XLOOKUP(Tablo7[[#This Row],[Mexanizm]],Anbar!$J$3:$J$1000,Anbar!$H$3:$H$1000,"Tapilmadi")</f>
        <v>Tapilmadi</v>
      </c>
      <c r="AH34" s="179">
        <v>1</v>
      </c>
      <c r="AI34" s="180">
        <v>0</v>
      </c>
      <c r="AJ34" s="180">
        <v>0</v>
      </c>
      <c r="AK34" s="180">
        <v>0</v>
      </c>
      <c r="AL34" s="180">
        <v>0</v>
      </c>
      <c r="AM34" s="180">
        <v>1100</v>
      </c>
      <c r="AN34" s="180">
        <v>0</v>
      </c>
      <c r="AO34" s="180">
        <v>900</v>
      </c>
      <c r="AP34" s="194">
        <f>Tablo7[[#This Row],[Ümumi məbləğ]]-Tablo7[[#This Row],[Ödəniş]]-Tablo7[[#This Row],[Endirim]]</f>
        <v>200</v>
      </c>
      <c r="AQ34" s="183" t="str">
        <f t="shared" si="0"/>
        <v>Mesaj</v>
      </c>
      <c r="AR34" s="183" t="str">
        <f t="shared" si="1"/>
        <v>Mesaj</v>
      </c>
      <c r="AS34" s="184" t="str">
        <f>IF(ISNA(VLOOKUP(Tablo7[[#This Row],[Sifariş kodu]],'Kəsim ve təhvil'!$E$5:$E1032,1,0)),"Qəbul edilməyib","Qəbul edilib")</f>
        <v>Qəbul edilməyib</v>
      </c>
      <c r="AT34" s="185" t="str">
        <f>IF(ISNA(VLOOKUP(Tablo7[[#This Row],[Sifariş kodu]],'Kəsim ve təhvil'!$H$5:$H1032,1,0)),"Anbardadır","Təhvil verilib")</f>
        <v>Anbardadır</v>
      </c>
      <c r="AU34" s="186" t="str">
        <f>"Hörmətli *"&amp;Tablo7[[#This Row],[Müştəri]]&amp;"*  ,Sizin *"&amp;G34&amp;"* tarixli sifarişiniz qeydə alındı. Sifariş Məbləğı *"&amp;AM34&amp;" AZN* , Qalıq *"&amp;AP34&amp;" AZN* . Hörmətlə  *AlumPro*"</f>
        <v>Hörmətli *Vladmir *  ,Sizin *13,01,2025* tarixli sifarişiniz qeydə alındı. Sifariş Məbləğı *1100 AZN* , Qalıq *200 AZN* . Hörmətlə  *AlumPro*</v>
      </c>
      <c r="AV34" s="187" t="str">
        <f>"Hörmətli *"&amp;Tablo7[[#This Row],[Müştəri]]&amp;"* , sizin *"&amp;G34&amp;"* tarixli  sifarişiniz hazırdır . Bizi seçdiyiniz üçün minnətdarıq. Hörmətlə  *AlumPro*."</f>
        <v>Hörmətli *Vladmir * , sizin *13,01,2025* tarixli  sifarişiniz hazırdır . Bizi seçdiyiniz üçün minnətdarıq. Hörmətlə  *AlumPro*.</v>
      </c>
      <c r="AW34" s="188" t="str">
        <f t="shared" ref="AW34" si="33">SUBSTITUTE(AX34," ","")</f>
        <v>Vladmir</v>
      </c>
      <c r="AX34" s="253" t="str">
        <f t="shared" si="2"/>
        <v xml:space="preserve">Vladmir </v>
      </c>
    </row>
    <row r="35" spans="4:50">
      <c r="D35" s="178">
        <v>300</v>
      </c>
      <c r="E35" s="179" t="s">
        <v>216</v>
      </c>
      <c r="F35" s="179" t="s">
        <v>118</v>
      </c>
      <c r="G35" s="212" t="s">
        <v>191</v>
      </c>
      <c r="H35" s="179" t="s">
        <v>217</v>
      </c>
      <c r="I35" s="179" t="s">
        <v>218</v>
      </c>
      <c r="J35" s="179"/>
      <c r="K35" s="179" t="s">
        <v>189</v>
      </c>
      <c r="L35" s="179"/>
      <c r="M35" s="179" t="str">
        <f>_xlfn.XLOOKUP(Tablo7[[#This Row],[Yan Profili]],Anbar!$J$3:$J$1000,Anbar!$H$3:$H$1000,"Tapilmadi")</f>
        <v>Tapilmadi</v>
      </c>
      <c r="N35" s="179">
        <v>3</v>
      </c>
      <c r="O35" s="179">
        <v>69</v>
      </c>
      <c r="P35" s="179" t="s">
        <v>184</v>
      </c>
      <c r="Q35" s="179" t="str">
        <f>_xlfn.XLOOKUP(Tablo7[[#This Row],[Qulp növü]],Anbar!$J$3:$J$1000,Anbar!$H$3:$H$1000,"Tapilmadi")</f>
        <v>Tapilmadi</v>
      </c>
      <c r="R35" s="179">
        <v>2</v>
      </c>
      <c r="S35" s="180">
        <v>52</v>
      </c>
      <c r="T35" s="181"/>
      <c r="U35" s="179" t="str">
        <f>_xlfn.XLOOKUP(Tablo7[[#This Row],[Petlə]],Anbar!$J$3:$J$1000,Anbar!$H$3:$H$1000,"Tapilmadi")</f>
        <v>Tapilmadi</v>
      </c>
      <c r="V35" s="179">
        <v>0</v>
      </c>
      <c r="W35" s="180">
        <v>0</v>
      </c>
      <c r="X35" s="269">
        <v>0</v>
      </c>
      <c r="Y35" s="179" t="s">
        <v>199</v>
      </c>
      <c r="Z35" s="182"/>
      <c r="AA35" s="180">
        <v>55</v>
      </c>
      <c r="AB35" s="180"/>
      <c r="AC35" s="179" t="str">
        <f>_xlfn.XLOOKUP(Tablo7[[#This Row],[Bağlantı]],Anbar!$J$3:$J$1000,Anbar!$H$3:$H$1000,"Tapilmadi")</f>
        <v>Tapilmadi</v>
      </c>
      <c r="AD35" s="179"/>
      <c r="AE35" s="180">
        <v>8</v>
      </c>
      <c r="AF35" s="180"/>
      <c r="AG35" s="179" t="str">
        <f>_xlfn.XLOOKUP(Tablo7[[#This Row],[Mexanizm]],Anbar!$J$3:$J$1000,Anbar!$H$3:$H$1000,"Tapilmadi")</f>
        <v>Tapilmadi</v>
      </c>
      <c r="AH35" s="179">
        <v>1</v>
      </c>
      <c r="AI35" s="180">
        <v>0</v>
      </c>
      <c r="AJ35" s="180">
        <v>8</v>
      </c>
      <c r="AK35" s="180">
        <v>30</v>
      </c>
      <c r="AL35" s="180">
        <v>0</v>
      </c>
      <c r="AM35" s="180">
        <v>220</v>
      </c>
      <c r="AN35" s="180">
        <v>2</v>
      </c>
      <c r="AO35" s="180">
        <v>218</v>
      </c>
      <c r="AP35" s="194">
        <f>Tablo7[[#This Row],[Ümumi məbləğ]]-Tablo7[[#This Row],[Ödəniş]]-Tablo7[[#This Row],[Endirim]]</f>
        <v>0</v>
      </c>
      <c r="AQ35" s="183" t="str">
        <f t="shared" si="0"/>
        <v>Mesaj</v>
      </c>
      <c r="AR35" s="183" t="str">
        <f t="shared" si="1"/>
        <v>Mesaj</v>
      </c>
      <c r="AS35" s="184" t="str">
        <f>IF(ISNA(VLOOKUP(Tablo7[[#This Row],[Sifariş kodu]],'Kəsim ve təhvil'!$E$5:$E1033,1,0)),"Qəbul edilməyib","Qəbul edilib")</f>
        <v>Qəbul edilməyib</v>
      </c>
      <c r="AT35" s="185" t="str">
        <f>IF(ISNA(VLOOKUP(Tablo7[[#This Row],[Sifariş kodu]],'Kəsim ve təhvil'!$H$5:$H1033,1,0)),"Anbardadır","Təhvil verilib")</f>
        <v>Anbardadır</v>
      </c>
      <c r="AU35" s="186" t="str">
        <f>"Hörmətli *"&amp;Tablo7[[#This Row],[Müştəri]]&amp;"*  ,Sizin *"&amp;G35&amp;"* tarixli sifarişiniz qeydə alındı. Sifariş Məbləğı *"&amp;AM35&amp;" AZN* , Qalıq *"&amp;AP35&amp;" AZN* . Hörmətlə  *AlumPro*"</f>
        <v>Hörmətli *Malik Tagiyev*  ,Sizin *13,01,2025* tarixli sifarişiniz qeydə alındı. Sifariş Məbləğı *220 AZN* , Qalıq *0 AZN* . Hörmətlə  *AlumPro*</v>
      </c>
      <c r="AV35" s="187" t="str">
        <f>"Hörmətli *"&amp;Tablo7[[#This Row],[Müştəri]]&amp;"* , sizin *"&amp;G35&amp;"* tarixli  sifarişiniz hazırdır . Bizi seçdiyiniz üçün minnətdarıq. Hörmətlə  *AlumPro*."</f>
        <v>Hörmətli *Malik Tagiyev* , sizin *13,01,2025* tarixli  sifarişiniz hazırdır . Bizi seçdiyiniz üçün minnətdarıq. Hörmətlə  *AlumPro*.</v>
      </c>
      <c r="AW35" s="188" t="str">
        <f t="shared" ref="AW35" si="34">SUBSTITUTE(AX35," ","")</f>
        <v>Malik</v>
      </c>
      <c r="AX35" s="253" t="str">
        <f t="shared" si="2"/>
        <v xml:space="preserve">Malik </v>
      </c>
    </row>
    <row r="36" spans="4:50">
      <c r="D36" s="178">
        <v>299</v>
      </c>
      <c r="E36" s="179" t="s">
        <v>219</v>
      </c>
      <c r="F36" s="179" t="s">
        <v>118</v>
      </c>
      <c r="G36" s="212" t="s">
        <v>220</v>
      </c>
      <c r="H36" s="179" t="s">
        <v>221</v>
      </c>
      <c r="I36" s="179" t="s">
        <v>222</v>
      </c>
      <c r="J36" s="179"/>
      <c r="K36" s="179" t="s">
        <v>223</v>
      </c>
      <c r="L36" s="179"/>
      <c r="M36" s="179" t="str">
        <f>_xlfn.XLOOKUP(Tablo7[[#This Row],[Yan Profili]],Anbar!$J$3:$J$1000,Anbar!$H$3:$H$1000,"Tapilmadi")</f>
        <v>Tapilmadi</v>
      </c>
      <c r="N36" s="179">
        <v>2</v>
      </c>
      <c r="O36" s="179">
        <v>250</v>
      </c>
      <c r="P36" s="179">
        <v>0</v>
      </c>
      <c r="Q36" s="179" t="str">
        <f>_xlfn.XLOOKUP(Tablo7[[#This Row],[Qulp növü]],Anbar!$J$3:$J$1000,Anbar!$H$3:$H$1000,"Tapilmadi")</f>
        <v>Tapilmadi</v>
      </c>
      <c r="R36" s="179">
        <v>0</v>
      </c>
      <c r="S36" s="180">
        <v>0</v>
      </c>
      <c r="T36" s="181"/>
      <c r="U36" s="179" t="str">
        <f>_xlfn.XLOOKUP(Tablo7[[#This Row],[Petlə]],Anbar!$J$3:$J$1000,Anbar!$H$3:$H$1000,"Tapilmadi")</f>
        <v>Tapilmadi</v>
      </c>
      <c r="V36" s="179">
        <v>0</v>
      </c>
      <c r="W36" s="180">
        <v>0</v>
      </c>
      <c r="X36" s="269">
        <v>0</v>
      </c>
      <c r="Y36" s="179" t="s">
        <v>199</v>
      </c>
      <c r="Z36" s="182"/>
      <c r="AA36" s="180">
        <v>84</v>
      </c>
      <c r="AB36" s="180"/>
      <c r="AC36" s="179" t="str">
        <f>_xlfn.XLOOKUP(Tablo7[[#This Row],[Bağlantı]],Anbar!$J$3:$J$1000,Anbar!$H$3:$H$1000,"Tapilmadi")</f>
        <v>Tapilmadi</v>
      </c>
      <c r="AD36" s="179"/>
      <c r="AE36" s="180">
        <v>60</v>
      </c>
      <c r="AF36" s="180"/>
      <c r="AG36" s="179" t="str">
        <f>_xlfn.XLOOKUP(Tablo7[[#This Row],[Mexanizm]],Anbar!$J$3:$J$1000,Anbar!$H$3:$H$1000,"Tapilmadi")</f>
        <v>Tapilmadi</v>
      </c>
      <c r="AH36" s="179">
        <v>1</v>
      </c>
      <c r="AI36" s="180">
        <v>120</v>
      </c>
      <c r="AJ36" s="180">
        <v>0</v>
      </c>
      <c r="AK36" s="180">
        <v>60</v>
      </c>
      <c r="AL36" s="180">
        <v>0</v>
      </c>
      <c r="AM36" s="180">
        <v>574</v>
      </c>
      <c r="AN36" s="180">
        <v>0</v>
      </c>
      <c r="AO36" s="180">
        <v>525</v>
      </c>
      <c r="AP36" s="194">
        <f>Tablo7[[#This Row],[Ümumi məbləğ]]-Tablo7[[#This Row],[Ödəniş]]-Tablo7[[#This Row],[Endirim]]</f>
        <v>49</v>
      </c>
      <c r="AQ36" s="183" t="str">
        <f t="shared" si="0"/>
        <v>Mesaj</v>
      </c>
      <c r="AR36" s="183" t="str">
        <f t="shared" si="1"/>
        <v>Mesaj</v>
      </c>
      <c r="AS36" s="184" t="str">
        <f>IF(ISNA(VLOOKUP(Tablo7[[#This Row],[Sifariş kodu]],'Kəsim ve təhvil'!$E$5:$E1034,1,0)),"Qəbul edilməyib","Qəbul edilib")</f>
        <v>Qəbul edilməyib</v>
      </c>
      <c r="AT36" s="185" t="str">
        <f>IF(ISNA(VLOOKUP(Tablo7[[#This Row],[Sifariş kodu]],'Kəsim ve təhvil'!$H$5:$H1034,1,0)),"Anbardadır","Təhvil verilib")</f>
        <v>Anbardadır</v>
      </c>
      <c r="AU36" s="186" t="str">
        <f>"Hörmətli *"&amp;Tablo7[[#This Row],[Müştəri]]&amp;"*  ,Sizin *"&amp;G36&amp;"* tarixli sifarişiniz qeydə alındı. Sifariş Məbləğı *"&amp;AM36&amp;" AZN* , Qalıq *"&amp;AP36&amp;" AZN* . Hörmətlə  *AlumPro*"</f>
        <v>Hörmətli *Cesaret Lyent*  ,Sizin *1/13/2025* tarixli sifarişiniz qeydə alındı. Sifariş Məbləğı *574 AZN* , Qalıq *49 AZN* . Hörmətlə  *AlumPro*</v>
      </c>
      <c r="AV36" s="187" t="str">
        <f>"Hörmətli *"&amp;Tablo7[[#This Row],[Müştəri]]&amp;"* , sizin *"&amp;G36&amp;"* tarixli  sifarişiniz hazırdır . Bizi seçdiyiniz üçün minnətdarıq. Hörmətlə  *AlumPro*."</f>
        <v>Hörmətli *Cesaret Lyent* , sizin *1/13/2025* tarixli  sifarişiniz hazırdır . Bizi seçdiyiniz üçün minnətdarıq. Hörmətlə  *AlumPro*.</v>
      </c>
      <c r="AW36" s="188" t="str">
        <f t="shared" ref="AW36" si="35">SUBSTITUTE(AX36," ","")</f>
        <v>Cesaret</v>
      </c>
      <c r="AX36" s="253" t="str">
        <f t="shared" si="2"/>
        <v xml:space="preserve">Cesaret </v>
      </c>
    </row>
    <row r="37" spans="4:50">
      <c r="D37" s="178">
        <v>298</v>
      </c>
      <c r="E37" s="179" t="s">
        <v>224</v>
      </c>
      <c r="F37" s="179" t="s">
        <v>118</v>
      </c>
      <c r="G37" s="212" t="s">
        <v>225</v>
      </c>
      <c r="H37" s="179" t="s">
        <v>221</v>
      </c>
      <c r="I37" s="179" t="s">
        <v>222</v>
      </c>
      <c r="J37" s="179"/>
      <c r="K37" s="179" t="s">
        <v>226</v>
      </c>
      <c r="L37" s="179"/>
      <c r="M37" s="179" t="str">
        <f>_xlfn.XLOOKUP(Tablo7[[#This Row],[Yan Profili]],Anbar!$J$3:$J$1000,Anbar!$H$3:$H$1000,"Tapilmadi")</f>
        <v>Tapilmadi</v>
      </c>
      <c r="N37" s="179">
        <v>3</v>
      </c>
      <c r="O37" s="179">
        <v>69</v>
      </c>
      <c r="P37" s="179" t="s">
        <v>227</v>
      </c>
      <c r="Q37" s="179" t="str">
        <f>_xlfn.XLOOKUP(Tablo7[[#This Row],[Qulp növü]],Anbar!$J$3:$J$1000,Anbar!$H$3:$H$1000,"Tapilmadi")</f>
        <v>Tapilmadi</v>
      </c>
      <c r="R37" s="179">
        <v>1</v>
      </c>
      <c r="S37" s="180">
        <v>50</v>
      </c>
      <c r="T37" s="181" t="s">
        <v>196</v>
      </c>
      <c r="U37" s="179" t="str">
        <f>_xlfn.XLOOKUP(Tablo7[[#This Row],[Petlə]],Anbar!$J$3:$J$1000,Anbar!$H$3:$H$1000,"Tapilmadi")</f>
        <v>Tapilmadi</v>
      </c>
      <c r="V37" s="179">
        <v>7</v>
      </c>
      <c r="W37" s="180">
        <v>28</v>
      </c>
      <c r="X37" s="269">
        <v>0</v>
      </c>
      <c r="Y37" s="179" t="s">
        <v>199</v>
      </c>
      <c r="Z37" s="182"/>
      <c r="AA37" s="180">
        <v>44</v>
      </c>
      <c r="AB37" s="180"/>
      <c r="AC37" s="179" t="str">
        <f>_xlfn.XLOOKUP(Tablo7[[#This Row],[Bağlantı]],Anbar!$J$3:$J$1000,Anbar!$H$3:$H$1000,"Tapilmadi")</f>
        <v>Tapilmadi</v>
      </c>
      <c r="AD37" s="179"/>
      <c r="AE37" s="180">
        <v>16</v>
      </c>
      <c r="AF37" s="180"/>
      <c r="AG37" s="179" t="str">
        <f>_xlfn.XLOOKUP(Tablo7[[#This Row],[Mexanizm]],Anbar!$J$3:$J$1000,Anbar!$H$3:$H$1000,"Tapilmadi")</f>
        <v>Tapilmadi</v>
      </c>
      <c r="AH37" s="179">
        <v>1</v>
      </c>
      <c r="AI37" s="180">
        <v>0</v>
      </c>
      <c r="AJ37" s="180">
        <v>14</v>
      </c>
      <c r="AK37" s="180">
        <v>30</v>
      </c>
      <c r="AL37" s="180">
        <v>0</v>
      </c>
      <c r="AM37" s="180">
        <v>251</v>
      </c>
      <c r="AN37" s="180">
        <v>0</v>
      </c>
      <c r="AO37" s="180">
        <v>0</v>
      </c>
      <c r="AP37" s="194">
        <f>Tablo7[[#This Row],[Ümumi məbləğ]]-Tablo7[[#This Row],[Ödəniş]]-Tablo7[[#This Row],[Endirim]]</f>
        <v>251</v>
      </c>
      <c r="AQ37" s="183" t="str">
        <f t="shared" si="0"/>
        <v>Mesaj</v>
      </c>
      <c r="AR37" s="183" t="str">
        <f t="shared" si="1"/>
        <v>Mesaj</v>
      </c>
      <c r="AS37" s="184" t="str">
        <f>IF(ISNA(VLOOKUP(Tablo7[[#This Row],[Sifariş kodu]],'Kəsim ve təhvil'!$E$5:$E1035,1,0)),"Qəbul edilməyib","Qəbul edilib")</f>
        <v>Qəbul edilməyib</v>
      </c>
      <c r="AT37" s="185" t="str">
        <f>IF(ISNA(VLOOKUP(Tablo7[[#This Row],[Sifariş kodu]],'Kəsim ve təhvil'!$H$5:$H1035,1,0)),"Anbardadır","Təhvil verilib")</f>
        <v>Anbardadır</v>
      </c>
      <c r="AU37" s="186" t="str">
        <f>"Hörmətli *"&amp;Tablo7[[#This Row],[Müştəri]]&amp;"*  ,Sizin *"&amp;G37&amp;"* tarixli sifarişiniz qeydə alındı. Sifariş Məbləğı *"&amp;AM37&amp;" AZN* , Qalıq *"&amp;AP37&amp;" AZN* . Hörmətlə  *AlumPro*"</f>
        <v>Hörmətli *Cesaret Lyent*  ,Sizin *09,01,2024* tarixli sifarişiniz qeydə alındı. Sifariş Məbləğı *251 AZN* , Qalıq *251 AZN* . Hörmətlə  *AlumPro*</v>
      </c>
      <c r="AV37" s="187" t="str">
        <f>"Hörmətli *"&amp;Tablo7[[#This Row],[Müştəri]]&amp;"* , sizin *"&amp;G37&amp;"* tarixli  sifarişiniz hazırdır . Bizi seçdiyiniz üçün minnətdarıq. Hörmətlə  *AlumPro*."</f>
        <v>Hörmətli *Cesaret Lyent* , sizin *09,01,2024* tarixli  sifarişiniz hazırdır . Bizi seçdiyiniz üçün minnətdarıq. Hörmətlə  *AlumPro*.</v>
      </c>
      <c r="AW37" s="188" t="str">
        <f t="shared" ref="AW37" si="36">SUBSTITUTE(AX37," ","")</f>
        <v>Cesaret</v>
      </c>
      <c r="AX37" s="253" t="str">
        <f t="shared" si="2"/>
        <v xml:space="preserve">Cesaret </v>
      </c>
    </row>
    <row r="38" spans="4:50">
      <c r="D38" s="178">
        <v>297</v>
      </c>
      <c r="E38" s="179" t="s">
        <v>228</v>
      </c>
      <c r="F38" s="179" t="s">
        <v>118</v>
      </c>
      <c r="G38" s="212" t="s">
        <v>229</v>
      </c>
      <c r="H38" s="179" t="s">
        <v>230</v>
      </c>
      <c r="I38" s="179" t="s">
        <v>231</v>
      </c>
      <c r="J38" s="179"/>
      <c r="K38" s="179" t="s">
        <v>194</v>
      </c>
      <c r="L38" s="179"/>
      <c r="M38" s="179" t="str">
        <f>_xlfn.XLOOKUP(Tablo7[[#This Row],[Yan Profili]],Anbar!$J$3:$J$1000,Anbar!$H$3:$H$1000,"Tapilmadi")</f>
        <v>Tapilmadi</v>
      </c>
      <c r="N38" s="179">
        <v>4</v>
      </c>
      <c r="O38" s="179">
        <v>92</v>
      </c>
      <c r="P38" s="179" t="s">
        <v>195</v>
      </c>
      <c r="Q38" s="179" t="str">
        <f>_xlfn.XLOOKUP(Tablo7[[#This Row],[Qulp növü]],Anbar!$J$3:$J$1000,Anbar!$H$3:$H$1000,"Tapilmadi")</f>
        <v>Tapilmadi</v>
      </c>
      <c r="R38" s="179">
        <v>0</v>
      </c>
      <c r="S38" s="180">
        <v>0</v>
      </c>
      <c r="T38" s="181" t="s">
        <v>196</v>
      </c>
      <c r="U38" s="179" t="str">
        <f>_xlfn.XLOOKUP(Tablo7[[#This Row],[Petlə]],Anbar!$J$3:$J$1000,Anbar!$H$3:$H$1000,"Tapilmadi")</f>
        <v>Tapilmadi</v>
      </c>
      <c r="V38" s="179">
        <v>10</v>
      </c>
      <c r="W38" s="180">
        <v>40</v>
      </c>
      <c r="X38" s="269">
        <v>0</v>
      </c>
      <c r="Y38" s="179" t="s">
        <v>232</v>
      </c>
      <c r="Z38" s="182"/>
      <c r="AA38" s="180">
        <v>498</v>
      </c>
      <c r="AB38" s="180"/>
      <c r="AC38" s="179" t="str">
        <f>_xlfn.XLOOKUP(Tablo7[[#This Row],[Bağlantı]],Anbar!$J$3:$J$1000,Anbar!$H$3:$H$1000,"Tapilmadi")</f>
        <v>Tapilmadi</v>
      </c>
      <c r="AD38" s="179"/>
      <c r="AE38" s="180">
        <v>40</v>
      </c>
      <c r="AF38" s="180"/>
      <c r="AG38" s="179" t="str">
        <f>_xlfn.XLOOKUP(Tablo7[[#This Row],[Mexanizm]],Anbar!$J$3:$J$1000,Anbar!$H$3:$H$1000,"Tapilmadi")</f>
        <v>Tapilmadi</v>
      </c>
      <c r="AH38" s="179">
        <v>1</v>
      </c>
      <c r="AI38" s="180">
        <v>0</v>
      </c>
      <c r="AJ38" s="180">
        <v>20</v>
      </c>
      <c r="AK38" s="180">
        <v>50</v>
      </c>
      <c r="AL38" s="180">
        <v>0</v>
      </c>
      <c r="AM38" s="180">
        <v>740</v>
      </c>
      <c r="AN38" s="180">
        <v>0</v>
      </c>
      <c r="AO38" s="180">
        <v>100</v>
      </c>
      <c r="AP38" s="194">
        <f>Tablo7[[#This Row],[Ümumi məbləğ]]-Tablo7[[#This Row],[Ödəniş]]-Tablo7[[#This Row],[Endirim]]</f>
        <v>640</v>
      </c>
      <c r="AQ38" s="183" t="str">
        <f t="shared" si="0"/>
        <v>Mesaj</v>
      </c>
      <c r="AR38" s="183" t="str">
        <f t="shared" si="1"/>
        <v>Mesaj</v>
      </c>
      <c r="AS38" s="184" t="str">
        <f>IF(ISNA(VLOOKUP(Tablo7[[#This Row],[Sifariş kodu]],'Kəsim ve təhvil'!$E$5:$E1036,1,0)),"Qəbul edilməyib","Qəbul edilib")</f>
        <v>Qəbul edilməyib</v>
      </c>
      <c r="AT38" s="185" t="str">
        <f>IF(ISNA(VLOOKUP(Tablo7[[#This Row],[Sifariş kodu]],'Kəsim ve təhvil'!$H$5:$H1036,1,0)),"Anbardadır","Təhvil verilib")</f>
        <v>Anbardadır</v>
      </c>
      <c r="AU38" s="186" t="str">
        <f>"Hörmətli *"&amp;Tablo7[[#This Row],[Müştəri]]&amp;"*  ,Sizin *"&amp;G38&amp;"* tarixli sifarişiniz qeydə alındı. Sifariş Məbləğı *"&amp;AM38&amp;" AZN* , Qalıq *"&amp;AP38&amp;" AZN* . Hörmətlə  *AlumPro*"</f>
        <v>Hörmətli *Elmedden Quliyev*  ,Sizin *1/10/2025* tarixli sifarişiniz qeydə alındı. Sifariş Məbləğı *740 AZN* , Qalıq *640 AZN* . Hörmətlə  *AlumPro*</v>
      </c>
      <c r="AV38" s="187" t="str">
        <f>"Hörmətli *"&amp;Tablo7[[#This Row],[Müştəri]]&amp;"* , sizin *"&amp;G38&amp;"* tarixli  sifarişiniz hazırdır . Bizi seçdiyiniz üçün minnətdarıq. Hörmətlə  *AlumPro*."</f>
        <v>Hörmətli *Elmedden Quliyev* , sizin *1/10/2025* tarixli  sifarişiniz hazırdır . Bizi seçdiyiniz üçün minnətdarıq. Hörmətlə  *AlumPro*.</v>
      </c>
      <c r="AW38" s="188" t="str">
        <f t="shared" ref="AW38" si="37">SUBSTITUTE(AX38," ","")</f>
        <v>Elmedden</v>
      </c>
      <c r="AX38" s="253" t="str">
        <f t="shared" si="2"/>
        <v xml:space="preserve">Elmedden </v>
      </c>
    </row>
    <row r="39" spans="4:50">
      <c r="D39" s="178">
        <v>296</v>
      </c>
      <c r="E39" s="179" t="s">
        <v>233</v>
      </c>
      <c r="F39" s="179" t="s">
        <v>118</v>
      </c>
      <c r="G39" s="212" t="s">
        <v>225</v>
      </c>
      <c r="H39" s="179" t="s">
        <v>230</v>
      </c>
      <c r="I39" s="179" t="s">
        <v>231</v>
      </c>
      <c r="J39" s="179"/>
      <c r="K39" s="179" t="s">
        <v>234</v>
      </c>
      <c r="L39" s="179"/>
      <c r="M39" s="179" t="str">
        <f>_xlfn.XLOOKUP(Tablo7[[#This Row],[Yan Profili]],Anbar!$J$3:$J$1000,Anbar!$H$3:$H$1000,"Tapilmadi")</f>
        <v>Tapilmadi</v>
      </c>
      <c r="N39" s="179">
        <v>10</v>
      </c>
      <c r="O39" s="179">
        <v>230</v>
      </c>
      <c r="P39" s="179" t="s">
        <v>235</v>
      </c>
      <c r="Q39" s="179" t="str">
        <f>_xlfn.XLOOKUP(Tablo7[[#This Row],[Qulp növü]],Anbar!$J$3:$J$1000,Anbar!$H$3:$H$1000,"Tapilmadi")</f>
        <v>Tapilmadi</v>
      </c>
      <c r="R39" s="179">
        <v>8</v>
      </c>
      <c r="S39" s="180">
        <v>208</v>
      </c>
      <c r="T39" s="181"/>
      <c r="U39" s="179" t="str">
        <f>_xlfn.XLOOKUP(Tablo7[[#This Row],[Petlə]],Anbar!$J$3:$J$1000,Anbar!$H$3:$H$1000,"Tapilmadi")</f>
        <v>Tapilmadi</v>
      </c>
      <c r="V39" s="179">
        <v>0</v>
      </c>
      <c r="W39" s="180">
        <v>0</v>
      </c>
      <c r="X39" s="269">
        <v>0</v>
      </c>
      <c r="Y39" s="179" t="s">
        <v>236</v>
      </c>
      <c r="Z39" s="182"/>
      <c r="AA39" s="180">
        <v>286</v>
      </c>
      <c r="AB39" s="180"/>
      <c r="AC39" s="179" t="str">
        <f>_xlfn.XLOOKUP(Tablo7[[#This Row],[Bağlantı]],Anbar!$J$3:$J$1000,Anbar!$H$3:$H$1000,"Tapilmadi")</f>
        <v>Tapilmadi</v>
      </c>
      <c r="AD39" s="179"/>
      <c r="AE39" s="180">
        <v>32</v>
      </c>
      <c r="AF39" s="180"/>
      <c r="AG39" s="179" t="str">
        <f>_xlfn.XLOOKUP(Tablo7[[#This Row],[Mexanizm]],Anbar!$J$3:$J$1000,Anbar!$H$3:$H$1000,"Tapilmadi")</f>
        <v>Tapilmadi</v>
      </c>
      <c r="AH39" s="179">
        <v>1</v>
      </c>
      <c r="AI39" s="180">
        <v>0</v>
      </c>
      <c r="AJ39" s="180">
        <v>32</v>
      </c>
      <c r="AK39" s="180">
        <v>120</v>
      </c>
      <c r="AL39" s="180">
        <v>0</v>
      </c>
      <c r="AM39" s="180">
        <v>908</v>
      </c>
      <c r="AN39" s="180">
        <v>8</v>
      </c>
      <c r="AO39" s="180">
        <v>900</v>
      </c>
      <c r="AP39" s="194">
        <f>Tablo7[[#This Row],[Ümumi məbləğ]]-Tablo7[[#This Row],[Ödəniş]]-Tablo7[[#This Row],[Endirim]]</f>
        <v>0</v>
      </c>
      <c r="AQ39" s="183" t="str">
        <f t="shared" si="0"/>
        <v>Mesaj</v>
      </c>
      <c r="AR39" s="183" t="str">
        <f t="shared" si="1"/>
        <v>Mesaj</v>
      </c>
      <c r="AS39" s="184" t="str">
        <f>IF(ISNA(VLOOKUP(Tablo7[[#This Row],[Sifariş kodu]],'Kəsim ve təhvil'!$E$5:$E1037,1,0)),"Qəbul edilməyib","Qəbul edilib")</f>
        <v>Qəbul edilməyib</v>
      </c>
      <c r="AT39" s="185" t="str">
        <f>IF(ISNA(VLOOKUP(Tablo7[[#This Row],[Sifariş kodu]],'Kəsim ve təhvil'!$H$5:$H1037,1,0)),"Anbardadır","Təhvil verilib")</f>
        <v>Anbardadır</v>
      </c>
      <c r="AU39" s="186" t="str">
        <f>"Hörmətli *"&amp;Tablo7[[#This Row],[Müştəri]]&amp;"*  ,Sizin *"&amp;G39&amp;"* tarixli sifarişiniz qeydə alındı. Sifariş Məbləğı *"&amp;AM39&amp;" AZN* , Qalıq *"&amp;AP39&amp;" AZN* . Hörmətlə  *AlumPro*"</f>
        <v>Hörmətli *Elmedden Quliyev*  ,Sizin *09,01,2024* tarixli sifarişiniz qeydə alındı. Sifariş Məbləğı *908 AZN* , Qalıq *0 AZN* . Hörmətlə  *AlumPro*</v>
      </c>
      <c r="AV39" s="187" t="str">
        <f>"Hörmətli *"&amp;Tablo7[[#This Row],[Müştəri]]&amp;"* , sizin *"&amp;G39&amp;"* tarixli  sifarişiniz hazırdır . Bizi seçdiyiniz üçün minnətdarıq. Hörmətlə  *AlumPro*."</f>
        <v>Hörmətli *Elmedden Quliyev* , sizin *09,01,2024* tarixli  sifarişiniz hazırdır . Bizi seçdiyiniz üçün minnətdarıq. Hörmətlə  *AlumPro*.</v>
      </c>
      <c r="AW39" s="188" t="str">
        <f t="shared" ref="AW39" si="38">SUBSTITUTE(AX39," ","")</f>
        <v>Elmedden</v>
      </c>
      <c r="AX39" s="253" t="str">
        <f t="shared" si="2"/>
        <v xml:space="preserve">Elmedden </v>
      </c>
    </row>
    <row r="40" spans="4:50">
      <c r="D40" s="178">
        <v>295</v>
      </c>
      <c r="E40" s="179" t="s">
        <v>237</v>
      </c>
      <c r="F40" s="179" t="s">
        <v>118</v>
      </c>
      <c r="G40" s="212" t="s">
        <v>238</v>
      </c>
      <c r="H40" s="179" t="s">
        <v>239</v>
      </c>
      <c r="I40" s="179" t="s">
        <v>240</v>
      </c>
      <c r="J40" s="179"/>
      <c r="K40" s="179" t="s">
        <v>189</v>
      </c>
      <c r="L40" s="179"/>
      <c r="M40" s="179" t="str">
        <f>_xlfn.XLOOKUP(Tablo7[[#This Row],[Yan Profili]],Anbar!$J$3:$J$1000,Anbar!$H$3:$H$1000,"Tapilmadi")</f>
        <v>Tapilmadi</v>
      </c>
      <c r="N40" s="179">
        <v>2</v>
      </c>
      <c r="O40" s="179">
        <v>46</v>
      </c>
      <c r="P40" s="179" t="s">
        <v>195</v>
      </c>
      <c r="Q40" s="179" t="str">
        <f>_xlfn.XLOOKUP(Tablo7[[#This Row],[Qulp növü]],Anbar!$J$3:$J$1000,Anbar!$H$3:$H$1000,"Tapilmadi")</f>
        <v>Tapilmadi</v>
      </c>
      <c r="R40" s="179">
        <v>0</v>
      </c>
      <c r="S40" s="180">
        <v>0</v>
      </c>
      <c r="T40" s="181"/>
      <c r="U40" s="179" t="str">
        <f>_xlfn.XLOOKUP(Tablo7[[#This Row],[Petlə]],Anbar!$J$3:$J$1000,Anbar!$H$3:$H$1000,"Tapilmadi")</f>
        <v>Tapilmadi</v>
      </c>
      <c r="V40" s="179">
        <v>0</v>
      </c>
      <c r="W40" s="180">
        <v>0</v>
      </c>
      <c r="X40" s="269">
        <v>0</v>
      </c>
      <c r="Y40" s="179" t="s">
        <v>199</v>
      </c>
      <c r="Z40" s="182"/>
      <c r="AA40" s="180">
        <v>19</v>
      </c>
      <c r="AB40" s="180"/>
      <c r="AC40" s="179" t="str">
        <f>_xlfn.XLOOKUP(Tablo7[[#This Row],[Bağlantı]],Anbar!$J$3:$J$1000,Anbar!$H$3:$H$1000,"Tapilmadi")</f>
        <v>Tapilmadi</v>
      </c>
      <c r="AD40" s="179"/>
      <c r="AE40" s="180">
        <v>4</v>
      </c>
      <c r="AF40" s="180"/>
      <c r="AG40" s="179" t="str">
        <f>_xlfn.XLOOKUP(Tablo7[[#This Row],[Mexanizm]],Anbar!$J$3:$J$1000,Anbar!$H$3:$H$1000,"Tapilmadi")</f>
        <v>Tapilmadi</v>
      </c>
      <c r="AH40" s="179">
        <v>1</v>
      </c>
      <c r="AI40" s="180">
        <v>0</v>
      </c>
      <c r="AJ40" s="180">
        <v>3</v>
      </c>
      <c r="AK40" s="180">
        <v>15</v>
      </c>
      <c r="AL40" s="180">
        <v>0</v>
      </c>
      <c r="AM40" s="180">
        <v>87</v>
      </c>
      <c r="AN40" s="180">
        <v>0</v>
      </c>
      <c r="AO40" s="180">
        <v>0</v>
      </c>
      <c r="AP40" s="194">
        <f>Tablo7[[#This Row],[Ümumi məbləğ]]-Tablo7[[#This Row],[Ödəniş]]-Tablo7[[#This Row],[Endirim]]</f>
        <v>87</v>
      </c>
      <c r="AQ40" s="183" t="str">
        <f t="shared" si="0"/>
        <v>Mesaj</v>
      </c>
      <c r="AR40" s="183" t="str">
        <f t="shared" si="1"/>
        <v>Mesaj</v>
      </c>
      <c r="AS40" s="184" t="str">
        <f>IF(ISNA(VLOOKUP(Tablo7[[#This Row],[Sifariş kodu]],'Kəsim ve təhvil'!$E$5:$E1038,1,0)),"Qəbul edilməyib","Qəbul edilib")</f>
        <v>Qəbul edilməyib</v>
      </c>
      <c r="AT40" s="185" t="str">
        <f>IF(ISNA(VLOOKUP(Tablo7[[#This Row],[Sifariş kodu]],'Kəsim ve təhvil'!$H$5:$H1038,1,0)),"Anbardadır","Təhvil verilib")</f>
        <v>Anbardadır</v>
      </c>
      <c r="AU40" s="186" t="str">
        <f>"Hörmətli *"&amp;Tablo7[[#This Row],[Müştəri]]&amp;"*  ,Sizin *"&amp;G40&amp;"* tarixli sifarişiniz qeydə alındı. Sifariş Məbləğı *"&amp;AM40&amp;" AZN* , Qalıq *"&amp;AP40&amp;" AZN* . Hörmətlə  *AlumPro*"</f>
        <v>Hörmətli *Mansur Aliyev*  ,Sizin *1/9/2025* tarixli sifarişiniz qeydə alındı. Sifariş Məbləğı *87 AZN* , Qalıq *87 AZN* . Hörmətlə  *AlumPro*</v>
      </c>
      <c r="AV40" s="187" t="str">
        <f>"Hörmətli *"&amp;Tablo7[[#This Row],[Müştəri]]&amp;"* , sizin *"&amp;G40&amp;"* tarixli  sifarişiniz hazırdır . Bizi seçdiyiniz üçün minnətdarıq. Hörmətlə  *AlumPro*."</f>
        <v>Hörmətli *Mansur Aliyev* , sizin *1/9/2025* tarixli  sifarişiniz hazırdır . Bizi seçdiyiniz üçün minnətdarıq. Hörmətlə  *AlumPro*.</v>
      </c>
      <c r="AW40" s="188" t="str">
        <f t="shared" ref="AW40" si="39">SUBSTITUTE(AX40," ","")</f>
        <v>Mansur</v>
      </c>
      <c r="AX40" s="253" t="str">
        <f t="shared" si="2"/>
        <v xml:space="preserve">Mansur </v>
      </c>
    </row>
    <row r="41" spans="4:50">
      <c r="D41" s="178">
        <v>294</v>
      </c>
      <c r="E41" s="179" t="s">
        <v>241</v>
      </c>
      <c r="F41" s="179" t="s">
        <v>118</v>
      </c>
      <c r="G41" s="212" t="s">
        <v>225</v>
      </c>
      <c r="H41" s="179" t="s">
        <v>242</v>
      </c>
      <c r="I41" s="179" t="s">
        <v>243</v>
      </c>
      <c r="J41" s="179" t="s">
        <v>244</v>
      </c>
      <c r="K41" s="179" t="s">
        <v>226</v>
      </c>
      <c r="L41" s="179"/>
      <c r="M41" s="179" t="str">
        <f>_xlfn.XLOOKUP(Tablo7[[#This Row],[Yan Profili]],Anbar!$J$3:$J$1000,Anbar!$H$3:$H$1000,"Tapilmadi")</f>
        <v>Tapilmadi</v>
      </c>
      <c r="N41" s="179">
        <v>5</v>
      </c>
      <c r="O41" s="179">
        <v>115</v>
      </c>
      <c r="P41" s="179" t="s">
        <v>195</v>
      </c>
      <c r="Q41" s="179" t="str">
        <f>_xlfn.XLOOKUP(Tablo7[[#This Row],[Qulp növü]],Anbar!$J$3:$J$1000,Anbar!$H$3:$H$1000,"Tapilmadi")</f>
        <v>Tapilmadi</v>
      </c>
      <c r="R41" s="179">
        <v>0</v>
      </c>
      <c r="S41" s="180">
        <v>0</v>
      </c>
      <c r="T41" s="181" t="s">
        <v>196</v>
      </c>
      <c r="U41" s="179" t="str">
        <f>_xlfn.XLOOKUP(Tablo7[[#This Row],[Petlə]],Anbar!$J$3:$J$1000,Anbar!$H$3:$H$1000,"Tapilmadi")</f>
        <v>Tapilmadi</v>
      </c>
      <c r="V41" s="179">
        <v>14</v>
      </c>
      <c r="W41" s="180">
        <v>56</v>
      </c>
      <c r="X41" s="269">
        <v>0</v>
      </c>
      <c r="Y41" s="179" t="s">
        <v>199</v>
      </c>
      <c r="Z41" s="182"/>
      <c r="AA41" s="180">
        <v>44</v>
      </c>
      <c r="AB41" s="180"/>
      <c r="AC41" s="179" t="str">
        <f>_xlfn.XLOOKUP(Tablo7[[#This Row],[Bağlantı]],Anbar!$J$3:$J$1000,Anbar!$H$3:$H$1000,"Tapilmadi")</f>
        <v>Tapilmadi</v>
      </c>
      <c r="AD41" s="179"/>
      <c r="AE41" s="180">
        <v>56</v>
      </c>
      <c r="AF41" s="180"/>
      <c r="AG41" s="179" t="str">
        <f>_xlfn.XLOOKUP(Tablo7[[#This Row],[Mexanizm]],Anbar!$J$3:$J$1000,Anbar!$H$3:$H$1000,"Tapilmadi")</f>
        <v>Tapilmadi</v>
      </c>
      <c r="AH41" s="179">
        <v>1</v>
      </c>
      <c r="AI41" s="180">
        <v>0</v>
      </c>
      <c r="AJ41" s="180">
        <v>29</v>
      </c>
      <c r="AK41" s="180">
        <v>70</v>
      </c>
      <c r="AL41" s="180">
        <v>0</v>
      </c>
      <c r="AM41" s="180">
        <v>370</v>
      </c>
      <c r="AN41" s="180">
        <v>0</v>
      </c>
      <c r="AO41" s="180">
        <v>0</v>
      </c>
      <c r="AP41" s="194">
        <f>Tablo7[[#This Row],[Ümumi məbləğ]]-Tablo7[[#This Row],[Ödəniş]]-Tablo7[[#This Row],[Endirim]]</f>
        <v>370</v>
      </c>
      <c r="AQ41" s="183" t="str">
        <f t="shared" si="0"/>
        <v>Mesaj</v>
      </c>
      <c r="AR41" s="183" t="str">
        <f t="shared" si="1"/>
        <v>Mesaj</v>
      </c>
      <c r="AS41" s="184" t="str">
        <f>IF(ISNA(VLOOKUP(Tablo7[[#This Row],[Sifariş kodu]],'Kəsim ve təhvil'!$E$5:$E1039,1,0)),"Qəbul edilməyib","Qəbul edilib")</f>
        <v>Qəbul edilməyib</v>
      </c>
      <c r="AT41" s="185" t="str">
        <f>IF(ISNA(VLOOKUP(Tablo7[[#This Row],[Sifariş kodu]],'Kəsim ve təhvil'!$H$5:$H1039,1,0)),"Anbardadır","Təhvil verilib")</f>
        <v>Anbardadır</v>
      </c>
      <c r="AU41" s="186" t="str">
        <f>"Hörmətli *"&amp;Tablo7[[#This Row],[Müştəri]]&amp;"*  ,Sizin *"&amp;G41&amp;"* tarixli sifarişiniz qeydə alındı. Sifariş Məbləğı *"&amp;AM41&amp;" AZN* , Qalıq *"&amp;AP41&amp;" AZN* . Hörmətlə  *AlumPro*"</f>
        <v>Hörmətli *Mutfakci Maliyye*  ,Sizin *09,01,2024* tarixli sifarişiniz qeydə alındı. Sifariş Məbləğı *370 AZN* , Qalıq *370 AZN* . Hörmətlə  *AlumPro*</v>
      </c>
      <c r="AV41" s="187" t="str">
        <f>"Hörmətli *"&amp;Tablo7[[#This Row],[Müştəri]]&amp;"* , sizin *"&amp;G41&amp;"* tarixli  sifarişiniz hazırdır . Bizi seçdiyiniz üçün minnətdarıq. Hörmətlə  *AlumPro*."</f>
        <v>Hörmətli *Mutfakci Maliyye* , sizin *09,01,2024* tarixli  sifarişiniz hazırdır . Bizi seçdiyiniz üçün minnətdarıq. Hörmətlə  *AlumPro*.</v>
      </c>
      <c r="AW41" s="188" t="str">
        <f t="shared" ref="AW41" si="40">SUBSTITUTE(AX41," ","")</f>
        <v>Mutfakci</v>
      </c>
      <c r="AX41" s="253" t="str">
        <f t="shared" si="2"/>
        <v xml:space="preserve">Mutfakci </v>
      </c>
    </row>
    <row r="42" spans="4:50">
      <c r="D42" s="178">
        <v>293</v>
      </c>
      <c r="E42" s="179" t="s">
        <v>245</v>
      </c>
      <c r="F42" s="179" t="s">
        <v>118</v>
      </c>
      <c r="G42" s="212" t="s">
        <v>246</v>
      </c>
      <c r="H42" s="179" t="s">
        <v>242</v>
      </c>
      <c r="I42" s="179" t="s">
        <v>243</v>
      </c>
      <c r="J42" s="179">
        <v>0</v>
      </c>
      <c r="K42" s="179"/>
      <c r="L42" s="179"/>
      <c r="M42" s="179">
        <f>_xlfn.XLOOKUP(Tablo7[[#This Row],[Yan Profili]],Anbar!$J$3:$J$1000,Anbar!$H$3:$H$1000,"Tapilmadi")</f>
        <v>0</v>
      </c>
      <c r="N42" s="179">
        <v>0</v>
      </c>
      <c r="O42" s="179">
        <v>232</v>
      </c>
      <c r="P42" s="179">
        <v>0</v>
      </c>
      <c r="Q42" s="179" t="str">
        <f>_xlfn.XLOOKUP(Tablo7[[#This Row],[Qulp növü]],Anbar!$J$3:$J$1000,Anbar!$H$3:$H$1000,"Tapilmadi")</f>
        <v>Tapilmadi</v>
      </c>
      <c r="R42" s="179">
        <v>0</v>
      </c>
      <c r="S42" s="180">
        <v>0</v>
      </c>
      <c r="T42" s="181"/>
      <c r="U42" s="179" t="str">
        <f>_xlfn.XLOOKUP(Tablo7[[#This Row],[Petlə]],Anbar!$J$3:$J$1000,Anbar!$H$3:$H$1000,"Tapilmadi")</f>
        <v>Tapilmadi</v>
      </c>
      <c r="V42" s="179">
        <v>0</v>
      </c>
      <c r="W42" s="180">
        <v>0</v>
      </c>
      <c r="X42" s="269">
        <v>0</v>
      </c>
      <c r="Y42" s="179"/>
      <c r="Z42" s="182"/>
      <c r="AA42" s="180">
        <v>0</v>
      </c>
      <c r="AB42" s="180"/>
      <c r="AC42" s="179" t="str">
        <f>_xlfn.XLOOKUP(Tablo7[[#This Row],[Bağlantı]],Anbar!$J$3:$J$1000,Anbar!$H$3:$H$1000,"Tapilmadi")</f>
        <v>Tapilmadi</v>
      </c>
      <c r="AD42" s="179"/>
      <c r="AE42" s="180">
        <v>0</v>
      </c>
      <c r="AF42" s="180"/>
      <c r="AG42" s="179" t="str">
        <f>_xlfn.XLOOKUP(Tablo7[[#This Row],[Mexanizm]],Anbar!$J$3:$J$1000,Anbar!$H$3:$H$1000,"Tapilmadi")</f>
        <v>Tapilmadi</v>
      </c>
      <c r="AH42" s="179">
        <v>1</v>
      </c>
      <c r="AI42" s="180">
        <v>0</v>
      </c>
      <c r="AJ42" s="180">
        <v>0</v>
      </c>
      <c r="AK42" s="180">
        <v>0</v>
      </c>
      <c r="AL42" s="180">
        <v>0</v>
      </c>
      <c r="AM42" s="180">
        <v>232</v>
      </c>
      <c r="AN42" s="180">
        <v>0</v>
      </c>
      <c r="AO42" s="180">
        <v>0</v>
      </c>
      <c r="AP42" s="194">
        <f>Tablo7[[#This Row],[Ümumi məbləğ]]-Tablo7[[#This Row],[Ödəniş]]-Tablo7[[#This Row],[Endirim]]</f>
        <v>232</v>
      </c>
      <c r="AQ42" s="183" t="str">
        <f t="shared" si="0"/>
        <v>Mesaj</v>
      </c>
      <c r="AR42" s="183" t="str">
        <f t="shared" si="1"/>
        <v>Mesaj</v>
      </c>
      <c r="AS42" s="184" t="str">
        <f>IF(ISNA(VLOOKUP(Tablo7[[#This Row],[Sifariş kodu]],'Kəsim ve təhvil'!$E$5:$E1040,1,0)),"Qəbul edilməyib","Qəbul edilib")</f>
        <v>Qəbul edilməyib</v>
      </c>
      <c r="AT42" s="185" t="str">
        <f>IF(ISNA(VLOOKUP(Tablo7[[#This Row],[Sifariş kodu]],'Kəsim ve təhvil'!$H$5:$H1040,1,0)),"Anbardadır","Təhvil verilib")</f>
        <v>Anbardadır</v>
      </c>
      <c r="AU42" s="186" t="str">
        <f>"Hörmətli *"&amp;Tablo7[[#This Row],[Müştəri]]&amp;"*  ,Sizin *"&amp;G42&amp;"* tarixli sifarişiniz qeydə alındı. Sifariş Məbləğı *"&amp;AM42&amp;" AZN* , Qalıq *"&amp;AP42&amp;" AZN* . Hörmətlə  *AlumPro*"</f>
        <v>Hörmətli *Mutfakci Maliyye*  ,Sizin *08,01,2024* tarixli sifarişiniz qeydə alındı. Sifariş Məbləğı *232 AZN* , Qalıq *232 AZN* . Hörmətlə  *AlumPro*</v>
      </c>
      <c r="AV42" s="187" t="str">
        <f>"Hörmətli *"&amp;Tablo7[[#This Row],[Müştəri]]&amp;"* , sizin *"&amp;G42&amp;"* tarixli  sifarişiniz hazırdır . Bizi seçdiyiniz üçün minnətdarıq. Hörmətlə  *AlumPro*."</f>
        <v>Hörmətli *Mutfakci Maliyye* , sizin *08,01,2024* tarixli  sifarişiniz hazırdır . Bizi seçdiyiniz üçün minnətdarıq. Hörmətlə  *AlumPro*.</v>
      </c>
      <c r="AW42" s="188" t="str">
        <f t="shared" ref="AW42" si="41">SUBSTITUTE(AX42," ","")</f>
        <v>Mutfakci</v>
      </c>
      <c r="AX42" s="253" t="str">
        <f t="shared" si="2"/>
        <v xml:space="preserve">Mutfakci </v>
      </c>
    </row>
    <row r="43" spans="4:50">
      <c r="D43" s="178">
        <v>292</v>
      </c>
      <c r="E43" s="179" t="s">
        <v>247</v>
      </c>
      <c r="F43" s="179" t="s">
        <v>118</v>
      </c>
      <c r="G43" s="212" t="s">
        <v>246</v>
      </c>
      <c r="H43" s="179" t="s">
        <v>201</v>
      </c>
      <c r="I43" s="179" t="s">
        <v>202</v>
      </c>
      <c r="J43" s="179">
        <v>0</v>
      </c>
      <c r="K43" s="179"/>
      <c r="L43" s="179"/>
      <c r="M43" s="179" t="str">
        <f>_xlfn.XLOOKUP(Tablo7[[#This Row],[Yan Profili]],Anbar!$J$3:$J$1000,Anbar!$H$3:$H$1000,"Tapilmadi")</f>
        <v>Tapilmadi</v>
      </c>
      <c r="N43" s="179">
        <v>0</v>
      </c>
      <c r="O43" s="179">
        <v>878</v>
      </c>
      <c r="P43" s="179">
        <v>0</v>
      </c>
      <c r="Q43" s="179" t="str">
        <f>_xlfn.XLOOKUP(Tablo7[[#This Row],[Qulp növü]],Anbar!$J$3:$J$1000,Anbar!$H$3:$H$1000,"Tapilmadi")</f>
        <v>Tapilmadi</v>
      </c>
      <c r="R43" s="179">
        <v>0</v>
      </c>
      <c r="S43" s="180">
        <v>0</v>
      </c>
      <c r="T43" s="181"/>
      <c r="U43" s="179" t="str">
        <f>_xlfn.XLOOKUP(Tablo7[[#This Row],[Petlə]],Anbar!$J$3:$J$1000,Anbar!$H$3:$H$1000,"Tapilmadi")</f>
        <v>Tapilmadi</v>
      </c>
      <c r="V43" s="179">
        <v>0</v>
      </c>
      <c r="W43" s="180">
        <v>0</v>
      </c>
      <c r="X43" s="269">
        <v>0</v>
      </c>
      <c r="Y43" s="179"/>
      <c r="Z43" s="182"/>
      <c r="AA43" s="180">
        <v>0</v>
      </c>
      <c r="AB43" s="180"/>
      <c r="AC43" s="179" t="str">
        <f>_xlfn.XLOOKUP(Tablo7[[#This Row],[Bağlantı]],Anbar!$J$3:$J$1000,Anbar!$H$3:$H$1000,"Tapilmadi")</f>
        <v>Tapilmadi</v>
      </c>
      <c r="AD43" s="179"/>
      <c r="AE43" s="180">
        <v>0</v>
      </c>
      <c r="AF43" s="180"/>
      <c r="AG43" s="179" t="str">
        <f>_xlfn.XLOOKUP(Tablo7[[#This Row],[Mexanizm]],Anbar!$J$3:$J$1000,Anbar!$H$3:$H$1000,"Tapilmadi")</f>
        <v>Tapilmadi</v>
      </c>
      <c r="AH43" s="179">
        <v>1</v>
      </c>
      <c r="AI43" s="180">
        <v>0</v>
      </c>
      <c r="AJ43" s="180">
        <v>0</v>
      </c>
      <c r="AK43" s="180">
        <v>0</v>
      </c>
      <c r="AL43" s="180">
        <v>0</v>
      </c>
      <c r="AM43" s="180">
        <v>878</v>
      </c>
      <c r="AN43" s="180">
        <v>0</v>
      </c>
      <c r="AO43" s="180">
        <v>0</v>
      </c>
      <c r="AP43" s="194">
        <f>Tablo7[[#This Row],[Ümumi məbləğ]]-Tablo7[[#This Row],[Ödəniş]]-Tablo7[[#This Row],[Endirim]]</f>
        <v>878</v>
      </c>
      <c r="AQ43" s="183" t="str">
        <f t="shared" si="0"/>
        <v>Mesaj</v>
      </c>
      <c r="AR43" s="183" t="str">
        <f t="shared" si="1"/>
        <v>Mesaj</v>
      </c>
      <c r="AS43" s="184" t="str">
        <f>IF(ISNA(VLOOKUP(Tablo7[[#This Row],[Sifariş kodu]],'Kəsim ve təhvil'!$E$5:$E1041,1,0)),"Qəbul edilməyib","Qəbul edilib")</f>
        <v>Qəbul edilməyib</v>
      </c>
      <c r="AT43" s="185" t="str">
        <f>IF(ISNA(VLOOKUP(Tablo7[[#This Row],[Sifariş kodu]],'Kəsim ve təhvil'!$H$5:$H1041,1,0)),"Anbardadır","Təhvil verilib")</f>
        <v>Anbardadır</v>
      </c>
      <c r="AU43" s="186" t="str">
        <f>"Hörmətli *"&amp;Tablo7[[#This Row],[Müştəri]]&amp;"*  ,Sizin *"&amp;G43&amp;"* tarixli sifarişiniz qeydə alındı. Sifariş Məbləğı *"&amp;AM43&amp;" AZN* , Qalıq *"&amp;AP43&amp;" AZN* . Hörmətlə  *AlumPro*"</f>
        <v>Hörmətli *Kandar Palid*  ,Sizin *08,01,2024* tarixli sifarişiniz qeydə alındı. Sifariş Məbləğı *878 AZN* , Qalıq *878 AZN* . Hörmətlə  *AlumPro*</v>
      </c>
      <c r="AV43" s="187" t="str">
        <f>"Hörmətli *"&amp;Tablo7[[#This Row],[Müştəri]]&amp;"* , sizin *"&amp;G43&amp;"* tarixli  sifarişiniz hazırdır . Bizi seçdiyiniz üçün minnətdarıq. Hörmətlə  *AlumPro*."</f>
        <v>Hörmətli *Kandar Palid* , sizin *08,01,2024* tarixli  sifarişiniz hazırdır . Bizi seçdiyiniz üçün minnətdarıq. Hörmətlə  *AlumPro*.</v>
      </c>
      <c r="AW43" s="188" t="str">
        <f t="shared" ref="AW43" si="42">SUBSTITUTE(AX43," ","")</f>
        <v>Kandar</v>
      </c>
      <c r="AX43" s="253" t="str">
        <f t="shared" si="2"/>
        <v xml:space="preserve">Kandar </v>
      </c>
    </row>
    <row r="44" spans="4:50">
      <c r="D44" s="178">
        <v>291</v>
      </c>
      <c r="E44" s="179" t="s">
        <v>248</v>
      </c>
      <c r="F44" s="179" t="s">
        <v>118</v>
      </c>
      <c r="G44" s="212" t="s">
        <v>249</v>
      </c>
      <c r="H44" s="179" t="s">
        <v>211</v>
      </c>
      <c r="I44" s="179" t="s">
        <v>212</v>
      </c>
      <c r="J44" s="179" t="s">
        <v>250</v>
      </c>
      <c r="K44" s="179" t="s">
        <v>189</v>
      </c>
      <c r="L44" s="179"/>
      <c r="M44" s="179" t="str">
        <f>_xlfn.XLOOKUP(Tablo7[[#This Row],[Yan Profili]],Anbar!$J$3:$J$1000,Anbar!$H$3:$H$1000,"Tapilmadi")</f>
        <v>Tapilmadi</v>
      </c>
      <c r="N44" s="179">
        <v>16</v>
      </c>
      <c r="O44" s="179">
        <v>1648</v>
      </c>
      <c r="P44" s="179">
        <v>0</v>
      </c>
      <c r="Q44" s="179" t="str">
        <f>_xlfn.XLOOKUP(Tablo7[[#This Row],[Qulp növü]],Anbar!$J$3:$J$1000,Anbar!$H$3:$H$1000,"Tapilmadi")</f>
        <v>Tapilmadi</v>
      </c>
      <c r="R44" s="179">
        <v>0</v>
      </c>
      <c r="S44" s="180">
        <v>0</v>
      </c>
      <c r="T44" s="181"/>
      <c r="U44" s="179" t="str">
        <f>_xlfn.XLOOKUP(Tablo7[[#This Row],[Petlə]],Anbar!$J$3:$J$1000,Anbar!$H$3:$H$1000,"Tapilmadi")</f>
        <v>Tapilmadi</v>
      </c>
      <c r="V44" s="179">
        <v>0</v>
      </c>
      <c r="W44" s="180">
        <v>0</v>
      </c>
      <c r="X44" s="269">
        <v>0</v>
      </c>
      <c r="Y44" s="179"/>
      <c r="Z44" s="182"/>
      <c r="AA44" s="180">
        <v>0</v>
      </c>
      <c r="AB44" s="180"/>
      <c r="AC44" s="179" t="str">
        <f>_xlfn.XLOOKUP(Tablo7[[#This Row],[Bağlantı]],Anbar!$J$3:$J$1000,Anbar!$H$3:$H$1000,"Tapilmadi")</f>
        <v>Tapilmadi</v>
      </c>
      <c r="AD44" s="179"/>
      <c r="AE44" s="180">
        <v>0</v>
      </c>
      <c r="AF44" s="180"/>
      <c r="AG44" s="179" t="str">
        <f>_xlfn.XLOOKUP(Tablo7[[#This Row],[Mexanizm]],Anbar!$J$3:$J$1000,Anbar!$H$3:$H$1000,"Tapilmadi")</f>
        <v>Tapilmadi</v>
      </c>
      <c r="AH44" s="179">
        <v>1</v>
      </c>
      <c r="AI44" s="180">
        <v>0</v>
      </c>
      <c r="AJ44" s="180">
        <v>0</v>
      </c>
      <c r="AK44" s="180">
        <v>0</v>
      </c>
      <c r="AL44" s="180">
        <v>0</v>
      </c>
      <c r="AM44" s="180">
        <v>1648</v>
      </c>
      <c r="AN44" s="180">
        <v>0</v>
      </c>
      <c r="AO44" s="180">
        <v>1648</v>
      </c>
      <c r="AP44" s="194">
        <f>Tablo7[[#This Row],[Ümumi məbləğ]]-Tablo7[[#This Row],[Ödəniş]]-Tablo7[[#This Row],[Endirim]]</f>
        <v>0</v>
      </c>
      <c r="AQ44" s="183" t="str">
        <f t="shared" si="0"/>
        <v>Mesaj</v>
      </c>
      <c r="AR44" s="183" t="str">
        <f t="shared" si="1"/>
        <v>Mesaj</v>
      </c>
      <c r="AS44" s="184" t="str">
        <f>IF(ISNA(VLOOKUP(Tablo7[[#This Row],[Sifariş kodu]],'Kəsim ve təhvil'!$E$5:$E1042,1,0)),"Qəbul edilməyib","Qəbul edilib")</f>
        <v>Qəbul edilməyib</v>
      </c>
      <c r="AT44" s="185" t="str">
        <f>IF(ISNA(VLOOKUP(Tablo7[[#This Row],[Sifariş kodu]],'Kəsim ve təhvil'!$H$5:$H1042,1,0)),"Anbardadır","Təhvil verilib")</f>
        <v>Anbardadır</v>
      </c>
      <c r="AU44" s="186" t="str">
        <f>"Hörmətli *"&amp;Tablo7[[#This Row],[Müştəri]]&amp;"*  ,Sizin *"&amp;G44&amp;"* tarixli sifarişiniz qeydə alındı. Sifariş Məbləğı *"&amp;AM44&amp;" AZN* , Qalıq *"&amp;AP44&amp;" AZN* . Hörmətlə  *AlumPro*"</f>
        <v>Hörmətli *Togrul Memmeddli*  ,Sizin *1/8/2025* tarixli sifarişiniz qeydə alındı. Sifariş Məbləğı *1648 AZN* , Qalıq *0 AZN* . Hörmətlə  *AlumPro*</v>
      </c>
      <c r="AV44" s="187" t="str">
        <f>"Hörmətli *"&amp;Tablo7[[#This Row],[Müştəri]]&amp;"* , sizin *"&amp;G44&amp;"* tarixli  sifarişiniz hazırdır . Bizi seçdiyiniz üçün minnətdarıq. Hörmətlə  *AlumPro*."</f>
        <v>Hörmətli *Togrul Memmeddli* , sizin *1/8/2025* tarixli  sifarişiniz hazırdır . Bizi seçdiyiniz üçün minnətdarıq. Hörmətlə  *AlumPro*.</v>
      </c>
      <c r="AW44" s="188" t="str">
        <f t="shared" ref="AW44" si="43">SUBSTITUTE(AX44," ","")</f>
        <v>Togrul</v>
      </c>
      <c r="AX44" s="253" t="str">
        <f t="shared" si="2"/>
        <v xml:space="preserve">Togrul </v>
      </c>
    </row>
    <row r="45" spans="4:50">
      <c r="D45" s="178">
        <v>290</v>
      </c>
      <c r="E45" s="179" t="s">
        <v>251</v>
      </c>
      <c r="F45" s="179" t="s">
        <v>118</v>
      </c>
      <c r="G45" s="212" t="s">
        <v>246</v>
      </c>
      <c r="H45" s="179" t="s">
        <v>252</v>
      </c>
      <c r="I45" s="179" t="s">
        <v>253</v>
      </c>
      <c r="J45" s="179"/>
      <c r="K45" s="179" t="s">
        <v>226</v>
      </c>
      <c r="L45" s="179"/>
      <c r="M45" s="179" t="str">
        <f>_xlfn.XLOOKUP(Tablo7[[#This Row],[Yan Profili]],Anbar!$J$3:$J$1000,Anbar!$H$3:$H$1000,"Tapilmadi")</f>
        <v>Tapilmadi</v>
      </c>
      <c r="N45" s="179">
        <v>9</v>
      </c>
      <c r="O45" s="179">
        <v>207</v>
      </c>
      <c r="P45" s="179" t="s">
        <v>184</v>
      </c>
      <c r="Q45" s="179" t="str">
        <f>_xlfn.XLOOKUP(Tablo7[[#This Row],[Qulp növü]],Anbar!$J$3:$J$1000,Anbar!$H$3:$H$1000,"Tapilmadi")</f>
        <v>Tapilmadi</v>
      </c>
      <c r="R45" s="179">
        <v>8</v>
      </c>
      <c r="S45" s="180">
        <v>208</v>
      </c>
      <c r="T45" s="181" t="s">
        <v>196</v>
      </c>
      <c r="U45" s="179" t="str">
        <f>_xlfn.XLOOKUP(Tablo7[[#This Row],[Petlə]],Anbar!$J$3:$J$1000,Anbar!$H$3:$H$1000,"Tapilmadi")</f>
        <v>Tapilmadi</v>
      </c>
      <c r="V45" s="179">
        <v>30</v>
      </c>
      <c r="W45" s="180">
        <v>120</v>
      </c>
      <c r="X45" s="269">
        <v>0</v>
      </c>
      <c r="Y45" s="179" t="s">
        <v>199</v>
      </c>
      <c r="Z45" s="182"/>
      <c r="AA45" s="180">
        <v>208</v>
      </c>
      <c r="AB45" s="180"/>
      <c r="AC45" s="179" t="str">
        <f>_xlfn.XLOOKUP(Tablo7[[#This Row],[Bağlantı]],Anbar!$J$3:$J$1000,Anbar!$H$3:$H$1000,"Tapilmadi")</f>
        <v>Tapilmadi</v>
      </c>
      <c r="AD45" s="179"/>
      <c r="AE45" s="180">
        <v>64</v>
      </c>
      <c r="AF45" s="180"/>
      <c r="AG45" s="179" t="str">
        <f>_xlfn.XLOOKUP(Tablo7[[#This Row],[Mexanizm]],Anbar!$J$3:$J$1000,Anbar!$H$3:$H$1000,"Tapilmadi")</f>
        <v>Tapilmadi</v>
      </c>
      <c r="AH45" s="179">
        <v>1</v>
      </c>
      <c r="AI45" s="180">
        <v>0</v>
      </c>
      <c r="AJ45" s="180">
        <v>60</v>
      </c>
      <c r="AK45" s="180">
        <v>120</v>
      </c>
      <c r="AL45" s="180">
        <v>0</v>
      </c>
      <c r="AM45" s="180">
        <v>950</v>
      </c>
      <c r="AN45" s="180">
        <v>37</v>
      </c>
      <c r="AO45" s="180">
        <v>0</v>
      </c>
      <c r="AP45" s="194">
        <f>Tablo7[[#This Row],[Ümumi məbləğ]]-Tablo7[[#This Row],[Ödəniş]]-Tablo7[[#This Row],[Endirim]]</f>
        <v>913</v>
      </c>
      <c r="AQ45" s="183" t="str">
        <f t="shared" si="0"/>
        <v>Mesaj</v>
      </c>
      <c r="AR45" s="183" t="str">
        <f t="shared" si="1"/>
        <v>Mesaj</v>
      </c>
      <c r="AS45" s="184" t="str">
        <f>IF(ISNA(VLOOKUP(Tablo7[[#This Row],[Sifariş kodu]],'Kəsim ve təhvil'!$E$5:$E1043,1,0)),"Qəbul edilməyib","Qəbul edilib")</f>
        <v>Qəbul edilməyib</v>
      </c>
      <c r="AT45" s="185" t="str">
        <f>IF(ISNA(VLOOKUP(Tablo7[[#This Row],[Sifariş kodu]],'Kəsim ve təhvil'!$H$5:$H1043,1,0)),"Anbardadır","Təhvil verilib")</f>
        <v>Anbardadır</v>
      </c>
      <c r="AU45" s="186" t="str">
        <f>"Hörmətli *"&amp;Tablo7[[#This Row],[Müştəri]]&amp;"*  ,Sizin *"&amp;G45&amp;"* tarixli sifarişiniz qeydə alındı. Sifariş Məbləğı *"&amp;AM45&amp;" AZN* , Qalıq *"&amp;AP45&amp;" AZN* . Hörmətlə  *AlumPro*"</f>
        <v>Hörmətli *Rovsen Sex Mebel*  ,Sizin *08,01,2024* tarixli sifarişiniz qeydə alındı. Sifariş Məbləğı *950 AZN* , Qalıq *913 AZN* . Hörmətlə  *AlumPro*</v>
      </c>
      <c r="AV45" s="187" t="str">
        <f>"Hörmətli *"&amp;Tablo7[[#This Row],[Müştəri]]&amp;"* , sizin *"&amp;G45&amp;"* tarixli  sifarişiniz hazırdır . Bizi seçdiyiniz üçün minnətdarıq. Hörmətlə  *AlumPro*."</f>
        <v>Hörmətli *Rovsen Sex Mebel* , sizin *08,01,2024* tarixli  sifarişiniz hazırdır . Bizi seçdiyiniz üçün minnətdarıq. Hörmətlə  *AlumPro*.</v>
      </c>
      <c r="AW45" s="188" t="str">
        <f t="shared" ref="AW45" si="44">SUBSTITUTE(AX45," ","")</f>
        <v>Rovsen</v>
      </c>
      <c r="AX45" s="253" t="str">
        <f t="shared" si="2"/>
        <v xml:space="preserve">Rovsen </v>
      </c>
    </row>
    <row r="46" spans="4:50">
      <c r="D46" s="178">
        <v>289</v>
      </c>
      <c r="E46" s="179" t="s">
        <v>254</v>
      </c>
      <c r="F46" s="179" t="s">
        <v>118</v>
      </c>
      <c r="G46" s="212" t="s">
        <v>246</v>
      </c>
      <c r="H46" s="179" t="s">
        <v>255</v>
      </c>
      <c r="I46" s="179" t="s">
        <v>256</v>
      </c>
      <c r="J46" s="179" t="s">
        <v>257</v>
      </c>
      <c r="K46" s="179" t="s">
        <v>258</v>
      </c>
      <c r="L46" s="179"/>
      <c r="M46" s="179" t="str">
        <f>_xlfn.XLOOKUP(Tablo7[[#This Row],[Yan Profili]],Anbar!$J$3:$J$1000,Anbar!$H$3:$H$1000,"Tapilmadi")</f>
        <v>Tapilmadi</v>
      </c>
      <c r="N46" s="179">
        <v>1</v>
      </c>
      <c r="O46" s="179">
        <v>30</v>
      </c>
      <c r="P46" s="179">
        <v>0</v>
      </c>
      <c r="Q46" s="179" t="str">
        <f>_xlfn.XLOOKUP(Tablo7[[#This Row],[Qulp növü]],Anbar!$J$3:$J$1000,Anbar!$H$3:$H$1000,"Tapilmadi")</f>
        <v>Tapilmadi</v>
      </c>
      <c r="R46" s="179">
        <v>0</v>
      </c>
      <c r="S46" s="180">
        <v>0</v>
      </c>
      <c r="T46" s="181"/>
      <c r="U46" s="179" t="str">
        <f>_xlfn.XLOOKUP(Tablo7[[#This Row],[Petlə]],Anbar!$J$3:$J$1000,Anbar!$H$3:$H$1000,"Tapilmadi")</f>
        <v>Tapilmadi</v>
      </c>
      <c r="V46" s="179">
        <v>0</v>
      </c>
      <c r="W46" s="180">
        <v>0</v>
      </c>
      <c r="X46" s="269">
        <v>0</v>
      </c>
      <c r="Y46" s="179"/>
      <c r="Z46" s="182"/>
      <c r="AA46" s="180">
        <v>0</v>
      </c>
      <c r="AB46" s="180"/>
      <c r="AC46" s="179" t="str">
        <f>_xlfn.XLOOKUP(Tablo7[[#This Row],[Bağlantı]],Anbar!$J$3:$J$1000,Anbar!$H$3:$H$1000,"Tapilmadi")</f>
        <v>Tapilmadi</v>
      </c>
      <c r="AD46" s="179"/>
      <c r="AE46" s="180">
        <v>0</v>
      </c>
      <c r="AF46" s="180"/>
      <c r="AG46" s="179" t="str">
        <f>_xlfn.XLOOKUP(Tablo7[[#This Row],[Mexanizm]],Anbar!$J$3:$J$1000,Anbar!$H$3:$H$1000,"Tapilmadi")</f>
        <v>Tapilmadi</v>
      </c>
      <c r="AH46" s="179">
        <v>1</v>
      </c>
      <c r="AI46" s="180">
        <v>0</v>
      </c>
      <c r="AJ46" s="180">
        <v>0</v>
      </c>
      <c r="AK46" s="180">
        <v>0</v>
      </c>
      <c r="AL46" s="180">
        <v>0</v>
      </c>
      <c r="AM46" s="180">
        <v>30</v>
      </c>
      <c r="AN46" s="180">
        <v>0</v>
      </c>
      <c r="AO46" s="180">
        <v>0</v>
      </c>
      <c r="AP46" s="194">
        <f>Tablo7[[#This Row],[Ümumi məbləğ]]-Tablo7[[#This Row],[Ödəniş]]-Tablo7[[#This Row],[Endirim]]</f>
        <v>30</v>
      </c>
      <c r="AQ46" s="183" t="str">
        <f t="shared" si="0"/>
        <v>Mesaj</v>
      </c>
      <c r="AR46" s="183" t="str">
        <f t="shared" si="1"/>
        <v>Mesaj</v>
      </c>
      <c r="AS46" s="184" t="str">
        <f>IF(ISNA(VLOOKUP(Tablo7[[#This Row],[Sifariş kodu]],'Kəsim ve təhvil'!$E$5:$E1044,1,0)),"Qəbul edilməyib","Qəbul edilib")</f>
        <v>Qəbul edilməyib</v>
      </c>
      <c r="AT46" s="185" t="str">
        <f>IF(ISNA(VLOOKUP(Tablo7[[#This Row],[Sifariş kodu]],'Kəsim ve təhvil'!$H$5:$H1044,1,0)),"Anbardadır","Təhvil verilib")</f>
        <v>Anbardadır</v>
      </c>
      <c r="AU46" s="186" t="str">
        <f>"Hörmətli *"&amp;Tablo7[[#This Row],[Müştəri]]&amp;"*  ,Sizin *"&amp;G46&amp;"* tarixli sifarişiniz qeydə alındı. Sifariş Məbləğı *"&amp;AM46&amp;" AZN* , Qalıq *"&amp;AP46&amp;" AZN* . Hörmətlə  *AlumPro*"</f>
        <v>Hörmətli *Ramiz Salayev*  ,Sizin *08,01,2024* tarixli sifarişiniz qeydə alındı. Sifariş Məbləğı *30 AZN* , Qalıq *30 AZN* . Hörmətlə  *AlumPro*</v>
      </c>
      <c r="AV46" s="187" t="str">
        <f>"Hörmətli *"&amp;Tablo7[[#This Row],[Müştəri]]&amp;"* , sizin *"&amp;G46&amp;"* tarixli  sifarişiniz hazırdır . Bizi seçdiyiniz üçün minnətdarıq. Hörmətlə  *AlumPro*."</f>
        <v>Hörmətli *Ramiz Salayev* , sizin *08,01,2024* tarixli  sifarişiniz hazırdır . Bizi seçdiyiniz üçün minnətdarıq. Hörmətlə  *AlumPro*.</v>
      </c>
      <c r="AW46" s="188" t="str">
        <f t="shared" ref="AW46" si="45">SUBSTITUTE(AX46," ","")</f>
        <v>Ramiz</v>
      </c>
      <c r="AX46" s="253" t="str">
        <f t="shared" si="2"/>
        <v xml:space="preserve">Ramiz </v>
      </c>
    </row>
    <row r="47" spans="4:50">
      <c r="D47" s="178">
        <v>288</v>
      </c>
      <c r="E47" s="179" t="s">
        <v>259</v>
      </c>
      <c r="F47" s="179" t="s">
        <v>118</v>
      </c>
      <c r="G47" s="212" t="s">
        <v>246</v>
      </c>
      <c r="H47" s="179" t="s">
        <v>255</v>
      </c>
      <c r="I47" s="179" t="s">
        <v>256</v>
      </c>
      <c r="J47" s="179"/>
      <c r="K47" s="179" t="s">
        <v>260</v>
      </c>
      <c r="L47" s="179"/>
      <c r="M47" s="179" t="str">
        <f>_xlfn.XLOOKUP(Tablo7[[#This Row],[Yan Profili]],Anbar!$J$3:$J$1000,Anbar!$H$3:$H$1000,"Tapilmadi")</f>
        <v>Tapilmadi</v>
      </c>
      <c r="N47" s="179">
        <v>5</v>
      </c>
      <c r="O47" s="179">
        <v>115</v>
      </c>
      <c r="P47" s="179">
        <v>110</v>
      </c>
      <c r="Q47" s="179" t="str">
        <f>_xlfn.XLOOKUP(Tablo7[[#This Row],[Qulp növü]],Anbar!$J$3:$J$1000,Anbar!$H$3:$H$1000,"Tapilmadi")</f>
        <v>Tapilmadi</v>
      </c>
      <c r="R47" s="179">
        <v>2</v>
      </c>
      <c r="S47" s="180">
        <v>120</v>
      </c>
      <c r="T47" s="181" t="s">
        <v>196</v>
      </c>
      <c r="U47" s="179" t="str">
        <f>_xlfn.XLOOKUP(Tablo7[[#This Row],[Petlə]],Anbar!$J$3:$J$1000,Anbar!$H$3:$H$1000,"Tapilmadi")</f>
        <v>Tapilmadi</v>
      </c>
      <c r="V47" s="179">
        <v>12</v>
      </c>
      <c r="W47" s="180">
        <v>48</v>
      </c>
      <c r="X47" s="269">
        <v>0</v>
      </c>
      <c r="Y47" s="179" t="s">
        <v>199</v>
      </c>
      <c r="Z47" s="182"/>
      <c r="AA47" s="180">
        <v>91</v>
      </c>
      <c r="AB47" s="180"/>
      <c r="AC47" s="179" t="str">
        <f>_xlfn.XLOOKUP(Tablo7[[#This Row],[Bağlantı]],Anbar!$J$3:$J$1000,Anbar!$H$3:$H$1000,"Tapilmadi")</f>
        <v>Tapilmadi</v>
      </c>
      <c r="AD47" s="179"/>
      <c r="AE47" s="180">
        <v>24</v>
      </c>
      <c r="AF47" s="180"/>
      <c r="AG47" s="179" t="str">
        <f>_xlfn.XLOOKUP(Tablo7[[#This Row],[Mexanizm]],Anbar!$J$3:$J$1000,Anbar!$H$3:$H$1000,"Tapilmadi")</f>
        <v>Tapilmadi</v>
      </c>
      <c r="AH47" s="179">
        <v>1</v>
      </c>
      <c r="AI47" s="180">
        <v>0</v>
      </c>
      <c r="AJ47" s="180">
        <v>24</v>
      </c>
      <c r="AK47" s="180">
        <v>45</v>
      </c>
      <c r="AL47" s="180">
        <v>0</v>
      </c>
      <c r="AM47" s="180">
        <v>467</v>
      </c>
      <c r="AN47" s="180">
        <v>7</v>
      </c>
      <c r="AO47" s="180">
        <v>300</v>
      </c>
      <c r="AP47" s="194">
        <f>Tablo7[[#This Row],[Ümumi məbləğ]]-Tablo7[[#This Row],[Ödəniş]]-Tablo7[[#This Row],[Endirim]]</f>
        <v>160</v>
      </c>
      <c r="AQ47" s="183" t="str">
        <f t="shared" si="0"/>
        <v>Mesaj</v>
      </c>
      <c r="AR47" s="183" t="str">
        <f t="shared" si="1"/>
        <v>Mesaj</v>
      </c>
      <c r="AS47" s="184" t="str">
        <f>IF(ISNA(VLOOKUP(Tablo7[[#This Row],[Sifariş kodu]],'Kəsim ve təhvil'!$E$5:$E1045,1,0)),"Qəbul edilməyib","Qəbul edilib")</f>
        <v>Qəbul edilməyib</v>
      </c>
      <c r="AT47" s="185" t="str">
        <f>IF(ISNA(VLOOKUP(Tablo7[[#This Row],[Sifariş kodu]],'Kəsim ve təhvil'!$H$5:$H1045,1,0)),"Anbardadır","Təhvil verilib")</f>
        <v>Anbardadır</v>
      </c>
      <c r="AU47" s="186" t="str">
        <f>"Hörmətli *"&amp;Tablo7[[#This Row],[Müştəri]]&amp;"*  ,Sizin *"&amp;G47&amp;"* tarixli sifarişiniz qeydə alındı. Sifariş Məbləğı *"&amp;AM47&amp;" AZN* , Qalıq *"&amp;AP47&amp;" AZN* . Hörmətlə  *AlumPro*"</f>
        <v>Hörmətli *Ramiz Salayev*  ,Sizin *08,01,2024* tarixli sifarişiniz qeydə alındı. Sifariş Məbləğı *467 AZN* , Qalıq *160 AZN* . Hörmətlə  *AlumPro*</v>
      </c>
      <c r="AV47" s="187" t="str">
        <f>"Hörmətli *"&amp;Tablo7[[#This Row],[Müştəri]]&amp;"* , sizin *"&amp;G47&amp;"* tarixli  sifarişiniz hazırdır . Bizi seçdiyiniz üçün minnətdarıq. Hörmətlə  *AlumPro*."</f>
        <v>Hörmətli *Ramiz Salayev* , sizin *08,01,2024* tarixli  sifarişiniz hazırdır . Bizi seçdiyiniz üçün minnətdarıq. Hörmətlə  *AlumPro*.</v>
      </c>
      <c r="AW47" s="188" t="str">
        <f t="shared" ref="AW47" si="46">SUBSTITUTE(AX47," ","")</f>
        <v>Ramiz</v>
      </c>
      <c r="AX47" s="253" t="str">
        <f t="shared" si="2"/>
        <v xml:space="preserve">Ramiz </v>
      </c>
    </row>
    <row r="48" spans="4:50">
      <c r="D48" s="178">
        <v>287</v>
      </c>
      <c r="E48" s="179" t="s">
        <v>261</v>
      </c>
      <c r="F48" s="179" t="s">
        <v>118</v>
      </c>
      <c r="G48" s="212" t="s">
        <v>262</v>
      </c>
      <c r="H48" s="179" t="s">
        <v>263</v>
      </c>
      <c r="I48" s="179" t="s">
        <v>264</v>
      </c>
      <c r="J48" s="179" t="s">
        <v>265</v>
      </c>
      <c r="K48" s="179" t="s">
        <v>266</v>
      </c>
      <c r="L48" s="179"/>
      <c r="M48" s="179" t="str">
        <f>_xlfn.XLOOKUP(Tablo7[[#This Row],[Yan Profili]],Anbar!$J$3:$J$1000,Anbar!$H$3:$H$1000,"Tapilmadi")</f>
        <v>Tapilmadi</v>
      </c>
      <c r="N48" s="179">
        <v>2</v>
      </c>
      <c r="O48" s="179">
        <v>250</v>
      </c>
      <c r="P48" s="179">
        <v>0</v>
      </c>
      <c r="Q48" s="179" t="str">
        <f>_xlfn.XLOOKUP(Tablo7[[#This Row],[Qulp növü]],Anbar!$J$3:$J$1000,Anbar!$H$3:$H$1000,"Tapilmadi")</f>
        <v>Tapilmadi</v>
      </c>
      <c r="R48" s="179">
        <v>0</v>
      </c>
      <c r="S48" s="180">
        <v>0</v>
      </c>
      <c r="T48" s="181"/>
      <c r="U48" s="179" t="str">
        <f>_xlfn.XLOOKUP(Tablo7[[#This Row],[Petlə]],Anbar!$J$3:$J$1000,Anbar!$H$3:$H$1000,"Tapilmadi")</f>
        <v>Tapilmadi</v>
      </c>
      <c r="V48" s="179">
        <v>0</v>
      </c>
      <c r="W48" s="180">
        <v>0</v>
      </c>
      <c r="X48" s="269">
        <v>0</v>
      </c>
      <c r="Y48" s="179" t="s">
        <v>203</v>
      </c>
      <c r="Z48" s="182"/>
      <c r="AA48" s="180">
        <v>110</v>
      </c>
      <c r="AB48" s="180"/>
      <c r="AC48" s="179" t="str">
        <f>_xlfn.XLOOKUP(Tablo7[[#This Row],[Bağlantı]],Anbar!$J$3:$J$1000,Anbar!$H$3:$H$1000,"Tapilmadi")</f>
        <v>Tapilmadi</v>
      </c>
      <c r="AD48" s="179"/>
      <c r="AE48" s="180">
        <v>0</v>
      </c>
      <c r="AF48" s="180"/>
      <c r="AG48" s="179" t="str">
        <f>_xlfn.XLOOKUP(Tablo7[[#This Row],[Mexanizm]],Anbar!$J$3:$J$1000,Anbar!$H$3:$H$1000,"Tapilmadi")</f>
        <v>Tapilmadi</v>
      </c>
      <c r="AH48" s="179">
        <v>1</v>
      </c>
      <c r="AI48" s="180">
        <v>180</v>
      </c>
      <c r="AJ48" s="180">
        <v>0</v>
      </c>
      <c r="AK48" s="180">
        <v>70</v>
      </c>
      <c r="AL48" s="180">
        <v>0</v>
      </c>
      <c r="AM48" s="180">
        <v>610</v>
      </c>
      <c r="AN48" s="180">
        <v>0</v>
      </c>
      <c r="AO48" s="180">
        <v>0</v>
      </c>
      <c r="AP48" s="194">
        <f>Tablo7[[#This Row],[Ümumi məbləğ]]-Tablo7[[#This Row],[Ödəniş]]-Tablo7[[#This Row],[Endirim]]</f>
        <v>610</v>
      </c>
      <c r="AQ48" s="183" t="str">
        <f t="shared" si="0"/>
        <v>Mesaj</v>
      </c>
      <c r="AR48" s="183" t="str">
        <f t="shared" si="1"/>
        <v>Mesaj</v>
      </c>
      <c r="AS48" s="184" t="str">
        <f>IF(ISNA(VLOOKUP(Tablo7[[#This Row],[Sifariş kodu]],'Kəsim ve təhvil'!$E$5:$E1046,1,0)),"Qəbul edilməyib","Qəbul edilib")</f>
        <v>Qəbul edilməyib</v>
      </c>
      <c r="AT48" s="185" t="str">
        <f>IF(ISNA(VLOOKUP(Tablo7[[#This Row],[Sifariş kodu]],'Kəsim ve təhvil'!$H$5:$H1046,1,0)),"Anbardadır","Təhvil verilib")</f>
        <v>Anbardadır</v>
      </c>
      <c r="AU48" s="186" t="str">
        <f>"Hörmətli *"&amp;Tablo7[[#This Row],[Müştəri]]&amp;"*  ,Sizin *"&amp;G48&amp;"* tarixli sifarişiniz qeydə alındı. Sifariş Məbləğı *"&amp;AM48&amp;" AZN* , Qalıq *"&amp;AP48&amp;" AZN* . Hörmətlə  *AlumPro*"</f>
        <v>Hörmətli *Ferman Mebel*  ,Sizin *07,01,2024* tarixli sifarişiniz qeydə alındı. Sifariş Məbləğı *610 AZN* , Qalıq *610 AZN* . Hörmətlə  *AlumPro*</v>
      </c>
      <c r="AV48" s="187" t="str">
        <f>"Hörmətli *"&amp;Tablo7[[#This Row],[Müştəri]]&amp;"* , sizin *"&amp;G48&amp;"* tarixli  sifarişiniz hazırdır . Bizi seçdiyiniz üçün minnətdarıq. Hörmətlə  *AlumPro*."</f>
        <v>Hörmətli *Ferman Mebel* , sizin *07,01,2024* tarixli  sifarişiniz hazırdır . Bizi seçdiyiniz üçün minnətdarıq. Hörmətlə  *AlumPro*.</v>
      </c>
      <c r="AW48" s="188" t="str">
        <f t="shared" ref="AW48" si="47">SUBSTITUTE(AX48," ","")</f>
        <v>Ferman</v>
      </c>
      <c r="AX48" s="253" t="str">
        <f t="shared" si="2"/>
        <v xml:space="preserve">Ferman </v>
      </c>
    </row>
    <row r="49" spans="4:50">
      <c r="D49" s="178">
        <v>286</v>
      </c>
      <c r="E49" s="179" t="s">
        <v>267</v>
      </c>
      <c r="F49" s="179" t="s">
        <v>118</v>
      </c>
      <c r="G49" s="212" t="s">
        <v>262</v>
      </c>
      <c r="H49" s="179" t="s">
        <v>268</v>
      </c>
      <c r="I49" s="179" t="s">
        <v>269</v>
      </c>
      <c r="J49" s="179"/>
      <c r="K49" s="179" t="s">
        <v>270</v>
      </c>
      <c r="L49" s="179"/>
      <c r="M49" s="179" t="str">
        <f>_xlfn.XLOOKUP(Tablo7[[#This Row],[Yan Profili]],Anbar!$J$3:$J$1000,Anbar!$H$3:$H$1000,"Tapilmadi")</f>
        <v>Tapilmadi</v>
      </c>
      <c r="N49" s="179">
        <v>16</v>
      </c>
      <c r="O49" s="179">
        <v>368</v>
      </c>
      <c r="P49" s="179" t="s">
        <v>184</v>
      </c>
      <c r="Q49" s="179" t="str">
        <f>_xlfn.XLOOKUP(Tablo7[[#This Row],[Qulp növü]],Anbar!$J$3:$J$1000,Anbar!$H$3:$H$1000,"Tapilmadi")</f>
        <v>Tapilmadi</v>
      </c>
      <c r="R49" s="179">
        <v>6</v>
      </c>
      <c r="S49" s="180">
        <v>156</v>
      </c>
      <c r="T49" s="181"/>
      <c r="U49" s="179" t="str">
        <f>_xlfn.XLOOKUP(Tablo7[[#This Row],[Petlə]],Anbar!$J$3:$J$1000,Anbar!$H$3:$H$1000,"Tapilmadi")</f>
        <v>Tapilmadi</v>
      </c>
      <c r="V49" s="179">
        <v>0</v>
      </c>
      <c r="W49" s="180">
        <v>0</v>
      </c>
      <c r="X49" s="269">
        <v>66</v>
      </c>
      <c r="Y49" s="179" t="s">
        <v>36</v>
      </c>
      <c r="Z49" s="182"/>
      <c r="AA49" s="180">
        <v>157</v>
      </c>
      <c r="AB49" s="180"/>
      <c r="AC49" s="179" t="str">
        <f>_xlfn.XLOOKUP(Tablo7[[#This Row],[Bağlantı]],Anbar!$J$3:$J$1000,Anbar!$H$3:$H$1000,"Tapilmadi")</f>
        <v>Tapilmadi</v>
      </c>
      <c r="AD49" s="179"/>
      <c r="AE49" s="180">
        <v>88</v>
      </c>
      <c r="AF49" s="180"/>
      <c r="AG49" s="179" t="str">
        <f>_xlfn.XLOOKUP(Tablo7[[#This Row],[Mexanizm]],Anbar!$J$3:$J$1000,Anbar!$H$3:$H$1000,"Tapilmadi")</f>
        <v>Tapilmadi</v>
      </c>
      <c r="AH49" s="179">
        <v>1</v>
      </c>
      <c r="AI49" s="180">
        <v>0</v>
      </c>
      <c r="AJ49" s="180">
        <v>88</v>
      </c>
      <c r="AK49" s="180">
        <v>245</v>
      </c>
      <c r="AL49" s="180">
        <v>0</v>
      </c>
      <c r="AM49" s="180">
        <v>1168</v>
      </c>
      <c r="AN49" s="180">
        <v>0</v>
      </c>
      <c r="AO49" s="180">
        <v>0</v>
      </c>
      <c r="AP49" s="194">
        <f>Tablo7[[#This Row],[Ümumi məbləğ]]-Tablo7[[#This Row],[Ödəniş]]-Tablo7[[#This Row],[Endirim]]</f>
        <v>1168</v>
      </c>
      <c r="AQ49" s="183" t="str">
        <f t="shared" si="0"/>
        <v>Mesaj</v>
      </c>
      <c r="AR49" s="183" t="str">
        <f t="shared" si="1"/>
        <v>Mesaj</v>
      </c>
      <c r="AS49" s="184" t="str">
        <f>IF(ISNA(VLOOKUP(Tablo7[[#This Row],[Sifariş kodu]],'Kəsim ve təhvil'!$E$5:$E1047,1,0)),"Qəbul edilməyib","Qəbul edilib")</f>
        <v>Qəbul edilməyib</v>
      </c>
      <c r="AT49" s="185" t="str">
        <f>IF(ISNA(VLOOKUP(Tablo7[[#This Row],[Sifariş kodu]],'Kəsim ve təhvil'!$H$5:$H1047,1,0)),"Anbardadır","Təhvil verilib")</f>
        <v>Anbardadır</v>
      </c>
      <c r="AU49" s="186" t="str">
        <f>"Hörmətli *"&amp;Tablo7[[#This Row],[Müştəri]]&amp;"*  ,Sizin *"&amp;G49&amp;"* tarixli sifarişiniz qeydə alındı. Sifariş Məbləğı *"&amp;AM49&amp;" AZN* , Qalıq *"&amp;AP49&amp;" AZN* . Hörmətlə  *AlumPro*"</f>
        <v>Hörmətli *Elsever Vusal Gedebey*  ,Sizin *07,01,2024* tarixli sifarişiniz qeydə alındı. Sifariş Məbləğı *1168 AZN* , Qalıq *1168 AZN* . Hörmətlə  *AlumPro*</v>
      </c>
      <c r="AV49" s="187" t="str">
        <f>"Hörmətli *"&amp;Tablo7[[#This Row],[Müştəri]]&amp;"* , sizin *"&amp;G49&amp;"* tarixli  sifarişiniz hazırdır . Bizi seçdiyiniz üçün minnətdarıq. Hörmətlə  *AlumPro*."</f>
        <v>Hörmətli *Elsever Vusal Gedebey* , sizin *07,01,2024* tarixli  sifarişiniz hazırdır . Bizi seçdiyiniz üçün minnətdarıq. Hörmətlə  *AlumPro*.</v>
      </c>
      <c r="AW49" s="188" t="str">
        <f t="shared" ref="AW49" si="48">SUBSTITUTE(AX49," ","")</f>
        <v>Elsever</v>
      </c>
      <c r="AX49" s="253" t="str">
        <f t="shared" si="2"/>
        <v xml:space="preserve">Elsever </v>
      </c>
    </row>
    <row r="50" spans="4:50">
      <c r="D50" s="178">
        <v>285</v>
      </c>
      <c r="E50" s="179" t="s">
        <v>271</v>
      </c>
      <c r="F50" s="179" t="s">
        <v>118</v>
      </c>
      <c r="G50" s="212" t="s">
        <v>262</v>
      </c>
      <c r="H50" s="179" t="s">
        <v>272</v>
      </c>
      <c r="I50" s="179" t="s">
        <v>273</v>
      </c>
      <c r="J50" s="179" t="s">
        <v>274</v>
      </c>
      <c r="K50" s="179" t="s">
        <v>275</v>
      </c>
      <c r="L50" s="179"/>
      <c r="M50" s="179">
        <f>_xlfn.XLOOKUP(Tablo7[[#This Row],[Yan Profili]],Anbar!$J$3:$J$1000,Anbar!$H$3:$H$1000,"Tapilmadi")</f>
        <v>0</v>
      </c>
      <c r="N50" s="179">
        <v>4</v>
      </c>
      <c r="O50" s="179">
        <v>140</v>
      </c>
      <c r="P50" s="179" t="s">
        <v>195</v>
      </c>
      <c r="Q50" s="179" t="str">
        <f>_xlfn.XLOOKUP(Tablo7[[#This Row],[Qulp növü]],Anbar!$J$3:$J$1000,Anbar!$H$3:$H$1000,"Tapilmadi")</f>
        <v>Tapilmadi</v>
      </c>
      <c r="R50" s="179">
        <v>0</v>
      </c>
      <c r="S50" s="180">
        <v>0</v>
      </c>
      <c r="T50" s="181"/>
      <c r="U50" s="179" t="str">
        <f>_xlfn.XLOOKUP(Tablo7[[#This Row],[Petlə]],Anbar!$J$3:$J$1000,Anbar!$H$3:$H$1000,"Tapilmadi")</f>
        <v>Tapilmadi</v>
      </c>
      <c r="V50" s="179">
        <v>0</v>
      </c>
      <c r="W50" s="180">
        <v>0</v>
      </c>
      <c r="X50" s="269">
        <v>0</v>
      </c>
      <c r="Y50" s="179" t="s">
        <v>276</v>
      </c>
      <c r="Z50" s="182"/>
      <c r="AA50" s="180">
        <v>72</v>
      </c>
      <c r="AB50" s="180"/>
      <c r="AC50" s="179" t="str">
        <f>_xlfn.XLOOKUP(Tablo7[[#This Row],[Bağlantı]],Anbar!$J$3:$J$1000,Anbar!$H$3:$H$1000,"Tapilmadi")</f>
        <v>Tapilmadi</v>
      </c>
      <c r="AD50" s="179"/>
      <c r="AE50" s="180">
        <v>8</v>
      </c>
      <c r="AF50" s="180"/>
      <c r="AG50" s="179" t="str">
        <f>_xlfn.XLOOKUP(Tablo7[[#This Row],[Mexanizm]],Anbar!$J$3:$J$1000,Anbar!$H$3:$H$1000,"Tapilmadi")</f>
        <v>Tapilmadi</v>
      </c>
      <c r="AH50" s="179">
        <v>1</v>
      </c>
      <c r="AI50" s="180">
        <v>0</v>
      </c>
      <c r="AJ50" s="180">
        <v>10</v>
      </c>
      <c r="AK50" s="180">
        <v>30</v>
      </c>
      <c r="AL50" s="180">
        <v>0</v>
      </c>
      <c r="AM50" s="180">
        <v>260</v>
      </c>
      <c r="AN50" s="180">
        <v>0</v>
      </c>
      <c r="AO50" s="180">
        <v>0</v>
      </c>
      <c r="AP50" s="194">
        <f>Tablo7[[#This Row],[Ümumi məbləğ]]-Tablo7[[#This Row],[Ödəniş]]-Tablo7[[#This Row],[Endirim]]</f>
        <v>260</v>
      </c>
      <c r="AQ50" s="183" t="str">
        <f t="shared" si="0"/>
        <v>Mesaj</v>
      </c>
      <c r="AR50" s="183" t="str">
        <f t="shared" si="1"/>
        <v>Mesaj</v>
      </c>
      <c r="AS50" s="184" t="str">
        <f>IF(ISNA(VLOOKUP(Tablo7[[#This Row],[Sifariş kodu]],'Kəsim ve təhvil'!$E$5:$E1048,1,0)),"Qəbul edilməyib","Qəbul edilib")</f>
        <v>Qəbul edilməyib</v>
      </c>
      <c r="AT50" s="185" t="str">
        <f>IF(ISNA(VLOOKUP(Tablo7[[#This Row],[Sifariş kodu]],'Kəsim ve təhvil'!$H$5:$H1048,1,0)),"Anbardadır","Təhvil verilib")</f>
        <v>Anbardadır</v>
      </c>
      <c r="AU50" s="186" t="str">
        <f>"Hörmətli *"&amp;Tablo7[[#This Row],[Müştəri]]&amp;"*  ,Sizin *"&amp;G50&amp;"* tarixli sifarişiniz qeydə alındı. Sifariş Məbləğı *"&amp;AM50&amp;" AZN* , Qalıq *"&amp;AP50&amp;" AZN* . Hörmətlə  *AlumPro*"</f>
        <v>Hörmətli *Resad Mebelline *  ,Sizin *07,01,2024* tarixli sifarişiniz qeydə alındı. Sifariş Məbləğı *260 AZN* , Qalıq *260 AZN* . Hörmətlə  *AlumPro*</v>
      </c>
      <c r="AV50" s="187" t="str">
        <f>"Hörmətli *"&amp;Tablo7[[#This Row],[Müştəri]]&amp;"* , sizin *"&amp;G50&amp;"* tarixli  sifarişiniz hazırdır . Bizi seçdiyiniz üçün minnətdarıq. Hörmətlə  *AlumPro*."</f>
        <v>Hörmətli *Resad Mebelline * , sizin *07,01,2024* tarixli  sifarişiniz hazırdır . Bizi seçdiyiniz üçün minnətdarıq. Hörmətlə  *AlumPro*.</v>
      </c>
      <c r="AW50" s="188" t="str">
        <f t="shared" ref="AW50" si="49">SUBSTITUTE(AX50," ","")</f>
        <v>Resad</v>
      </c>
      <c r="AX50" s="253" t="str">
        <f t="shared" si="2"/>
        <v xml:space="preserve">Resad </v>
      </c>
    </row>
    <row r="51" spans="4:50">
      <c r="D51" s="178">
        <v>284</v>
      </c>
      <c r="E51" s="179" t="s">
        <v>277</v>
      </c>
      <c r="F51" s="179" t="s">
        <v>118</v>
      </c>
      <c r="G51" s="212" t="s">
        <v>262</v>
      </c>
      <c r="H51" s="179" t="s">
        <v>41</v>
      </c>
      <c r="I51" s="179" t="s">
        <v>116</v>
      </c>
      <c r="J51" s="179"/>
      <c r="K51" s="179" t="s">
        <v>278</v>
      </c>
      <c r="L51" s="179"/>
      <c r="M51" s="179" t="str">
        <f>_xlfn.XLOOKUP(Tablo7[[#This Row],[Yan Profili]],Anbar!$J$3:$J$1000,Anbar!$H$3:$H$1000,"Tapilmadi")</f>
        <v>Tapilmadi</v>
      </c>
      <c r="N51" s="179">
        <v>2</v>
      </c>
      <c r="O51" s="179">
        <v>46</v>
      </c>
      <c r="P51" s="179" t="s">
        <v>195</v>
      </c>
      <c r="Q51" s="179" t="str">
        <f>_xlfn.XLOOKUP(Tablo7[[#This Row],[Qulp növü]],Anbar!$J$3:$J$1000,Anbar!$H$3:$H$1000,"Tapilmadi")</f>
        <v>Tapilmadi</v>
      </c>
      <c r="R51" s="179">
        <v>0</v>
      </c>
      <c r="S51" s="180">
        <v>0</v>
      </c>
      <c r="T51" s="181" t="s">
        <v>196</v>
      </c>
      <c r="U51" s="179" t="str">
        <f>_xlfn.XLOOKUP(Tablo7[[#This Row],[Petlə]],Anbar!$J$3:$J$1000,Anbar!$H$3:$H$1000,"Tapilmadi")</f>
        <v>Tapilmadi</v>
      </c>
      <c r="V51" s="179">
        <v>4</v>
      </c>
      <c r="W51" s="180">
        <v>16</v>
      </c>
      <c r="X51" s="269">
        <v>0</v>
      </c>
      <c r="Y51" s="179" t="s">
        <v>199</v>
      </c>
      <c r="Z51" s="182"/>
      <c r="AA51" s="180">
        <v>26</v>
      </c>
      <c r="AB51" s="180"/>
      <c r="AC51" s="179" t="str">
        <f>_xlfn.XLOOKUP(Tablo7[[#This Row],[Bağlantı]],Anbar!$J$3:$J$1000,Anbar!$H$3:$H$1000,"Tapilmadi")</f>
        <v>Tapilmadi</v>
      </c>
      <c r="AD51" s="179"/>
      <c r="AE51" s="180">
        <v>8</v>
      </c>
      <c r="AF51" s="180"/>
      <c r="AG51" s="179" t="str">
        <f>_xlfn.XLOOKUP(Tablo7[[#This Row],[Mexanizm]],Anbar!$J$3:$J$1000,Anbar!$H$3:$H$1000,"Tapilmadi")</f>
        <v>Tapilmadi</v>
      </c>
      <c r="AH51" s="179">
        <v>1</v>
      </c>
      <c r="AI51" s="180">
        <v>0</v>
      </c>
      <c r="AJ51" s="180">
        <v>8</v>
      </c>
      <c r="AK51" s="180">
        <v>16</v>
      </c>
      <c r="AL51" s="180">
        <v>0</v>
      </c>
      <c r="AM51" s="180">
        <v>120</v>
      </c>
      <c r="AN51" s="180">
        <v>0</v>
      </c>
      <c r="AO51" s="180">
        <v>0</v>
      </c>
      <c r="AP51" s="194">
        <f>Tablo7[[#This Row],[Ümumi məbləğ]]-Tablo7[[#This Row],[Ödəniş]]-Tablo7[[#This Row],[Endirim]]</f>
        <v>120</v>
      </c>
      <c r="AQ51" s="183" t="str">
        <f t="shared" si="0"/>
        <v>Mesaj</v>
      </c>
      <c r="AR51" s="183" t="str">
        <f t="shared" si="1"/>
        <v>Mesaj</v>
      </c>
      <c r="AS51" s="184" t="str">
        <f>IF(ISNA(VLOOKUP(Tablo7[[#This Row],[Sifariş kodu]],'Kəsim ve təhvil'!$E$5:$E1049,1,0)),"Qəbul edilməyib","Qəbul edilib")</f>
        <v>Qəbul edilməyib</v>
      </c>
      <c r="AT51" s="185" t="str">
        <f>IF(ISNA(VLOOKUP(Tablo7[[#This Row],[Sifariş kodu]],'Kəsim ve təhvil'!$H$5:$H1049,1,0)),"Anbardadır","Təhvil verilib")</f>
        <v>Anbardadır</v>
      </c>
      <c r="AU51" s="186" t="str">
        <f>"Hörmətli *"&amp;Tablo7[[#This Row],[Müştəri]]&amp;"*  ,Sizin *"&amp;G51&amp;"* tarixli sifarişiniz qeydə alındı. Sifariş Məbləğı *"&amp;AM51&amp;" AZN* , Qalıq *"&amp;AP51&amp;" AZN* . Hörmətlə  *AlumPro*"</f>
        <v>Hörmətli *Fariz Faiq*  ,Sizin *07,01,2024* tarixli sifarişiniz qeydə alındı. Sifariş Məbləğı *120 AZN* , Qalıq *120 AZN* . Hörmətlə  *AlumPro*</v>
      </c>
      <c r="AV51" s="187" t="str">
        <f>"Hörmətli *"&amp;Tablo7[[#This Row],[Müştəri]]&amp;"* , sizin *"&amp;G51&amp;"* tarixli  sifarişiniz hazırdır . Bizi seçdiyiniz üçün minnətdarıq. Hörmətlə  *AlumPro*."</f>
        <v>Hörmətli *Fariz Faiq* , sizin *07,01,2024* tarixli  sifarişiniz hazırdır . Bizi seçdiyiniz üçün minnətdarıq. Hörmətlə  *AlumPro*.</v>
      </c>
      <c r="AW51" s="188" t="str">
        <f t="shared" ref="AW51" si="50">SUBSTITUTE(AX51," ","")</f>
        <v>Fariz</v>
      </c>
      <c r="AX51" s="253" t="str">
        <f t="shared" si="2"/>
        <v xml:space="preserve">Fariz </v>
      </c>
    </row>
    <row r="52" spans="4:50">
      <c r="D52" s="178">
        <v>283</v>
      </c>
      <c r="E52" s="179" t="s">
        <v>279</v>
      </c>
      <c r="F52" s="179" t="s">
        <v>118</v>
      </c>
      <c r="G52" s="212" t="s">
        <v>280</v>
      </c>
      <c r="H52" s="179" t="s">
        <v>281</v>
      </c>
      <c r="I52" s="179" t="s">
        <v>282</v>
      </c>
      <c r="J52" s="179"/>
      <c r="K52" s="179"/>
      <c r="L52" s="179"/>
      <c r="M52" s="179" t="str">
        <f>_xlfn.XLOOKUP(Tablo7[[#This Row],[Yan Profili]],Anbar!$J$3:$J$1000,Anbar!$H$3:$H$1000,"Tapilmadi")</f>
        <v>Tapilmadi</v>
      </c>
      <c r="N52" s="179">
        <v>1</v>
      </c>
      <c r="O52" s="179">
        <v>914</v>
      </c>
      <c r="P52" s="179" t="s">
        <v>195</v>
      </c>
      <c r="Q52" s="179" t="str">
        <f>_xlfn.XLOOKUP(Tablo7[[#This Row],[Qulp növü]],Anbar!$J$3:$J$1000,Anbar!$H$3:$H$1000,"Tapilmadi")</f>
        <v>Tapilmadi</v>
      </c>
      <c r="R52" s="179">
        <v>0</v>
      </c>
      <c r="S52" s="180">
        <v>0</v>
      </c>
      <c r="T52" s="181"/>
      <c r="U52" s="179" t="str">
        <f>_xlfn.XLOOKUP(Tablo7[[#This Row],[Petlə]],Anbar!$J$3:$J$1000,Anbar!$H$3:$H$1000,"Tapilmadi")</f>
        <v>Tapilmadi</v>
      </c>
      <c r="V52" s="179">
        <v>0</v>
      </c>
      <c r="W52" s="180">
        <v>0</v>
      </c>
      <c r="X52" s="269">
        <v>0</v>
      </c>
      <c r="Y52" s="179" t="s">
        <v>36</v>
      </c>
      <c r="Z52" s="182"/>
      <c r="AA52" s="180">
        <v>0</v>
      </c>
      <c r="AB52" s="180"/>
      <c r="AC52" s="179" t="str">
        <f>_xlfn.XLOOKUP(Tablo7[[#This Row],[Bağlantı]],Anbar!$J$3:$J$1000,Anbar!$H$3:$H$1000,"Tapilmadi")</f>
        <v>Tapilmadi</v>
      </c>
      <c r="AD52" s="179"/>
      <c r="AE52" s="180">
        <v>0</v>
      </c>
      <c r="AF52" s="180"/>
      <c r="AG52" s="179" t="str">
        <f>_xlfn.XLOOKUP(Tablo7[[#This Row],[Mexanizm]],Anbar!$J$3:$J$1000,Anbar!$H$3:$H$1000,"Tapilmadi")</f>
        <v>Tapilmadi</v>
      </c>
      <c r="AH52" s="179">
        <v>1</v>
      </c>
      <c r="AI52" s="180">
        <v>0</v>
      </c>
      <c r="AJ52" s="180">
        <v>0</v>
      </c>
      <c r="AK52" s="180">
        <v>0</v>
      </c>
      <c r="AL52" s="180">
        <v>0</v>
      </c>
      <c r="AM52" s="180">
        <v>914</v>
      </c>
      <c r="AN52" s="180">
        <v>0</v>
      </c>
      <c r="AO52" s="180">
        <v>0</v>
      </c>
      <c r="AP52" s="194">
        <f>Tablo7[[#This Row],[Ümumi məbləğ]]-Tablo7[[#This Row],[Ödəniş]]-Tablo7[[#This Row],[Endirim]]</f>
        <v>914</v>
      </c>
      <c r="AQ52" s="183" t="str">
        <f t="shared" si="0"/>
        <v>Mesaj</v>
      </c>
      <c r="AR52" s="183" t="str">
        <f t="shared" si="1"/>
        <v>Mesaj</v>
      </c>
      <c r="AS52" s="184" t="str">
        <f>IF(ISNA(VLOOKUP(Tablo7[[#This Row],[Sifariş kodu]],'Kəsim ve təhvil'!$E$5:$E1050,1,0)),"Qəbul edilməyib","Qəbul edilib")</f>
        <v>Qəbul edilməyib</v>
      </c>
      <c r="AT52" s="185" t="str">
        <f>IF(ISNA(VLOOKUP(Tablo7[[#This Row],[Sifariş kodu]],'Kəsim ve təhvil'!$H$5:$H1050,1,0)),"Anbardadır","Təhvil verilib")</f>
        <v>Anbardadır</v>
      </c>
      <c r="AU52" s="186" t="str">
        <f>"Hörmətli *"&amp;Tablo7[[#This Row],[Müştəri]]&amp;"*  ,Sizin *"&amp;G52&amp;"* tarixli sifarişiniz qeydə alındı. Sifariş Məbləğı *"&amp;AM52&amp;" AZN* , Qalıq *"&amp;AP52&amp;" AZN* . Hörmətlə  *AlumPro*"</f>
        <v>Hörmətli *Muxtar Fierro*  ,Sizin *06,01,2024* tarixli sifarişiniz qeydə alındı. Sifariş Məbləğı *914 AZN* , Qalıq *914 AZN* . Hörmətlə  *AlumPro*</v>
      </c>
      <c r="AV52" s="187" t="str">
        <f>"Hörmətli *"&amp;Tablo7[[#This Row],[Müştəri]]&amp;"* , sizin *"&amp;G52&amp;"* tarixli  sifarişiniz hazırdır . Bizi seçdiyiniz üçün minnətdarıq. Hörmətlə  *AlumPro*."</f>
        <v>Hörmətli *Muxtar Fierro* , sizin *06,01,2024* tarixli  sifarişiniz hazırdır . Bizi seçdiyiniz üçün minnətdarıq. Hörmətlə  *AlumPro*.</v>
      </c>
      <c r="AW52" s="188" t="str">
        <f t="shared" ref="AW52" si="51">SUBSTITUTE(AX52," ","")</f>
        <v>Muxtar</v>
      </c>
      <c r="AX52" s="253" t="str">
        <f t="shared" si="2"/>
        <v xml:space="preserve">Muxtar </v>
      </c>
    </row>
    <row r="53" spans="4:50">
      <c r="D53" s="178">
        <v>282</v>
      </c>
      <c r="E53" s="179" t="s">
        <v>283</v>
      </c>
      <c r="F53" s="179" t="s">
        <v>118</v>
      </c>
      <c r="G53" s="212" t="s">
        <v>280</v>
      </c>
      <c r="H53" s="179" t="s">
        <v>284</v>
      </c>
      <c r="I53" s="179">
        <v>0</v>
      </c>
      <c r="J53" s="179"/>
      <c r="K53" s="179" t="s">
        <v>183</v>
      </c>
      <c r="L53" s="179"/>
      <c r="M53" s="179" t="str">
        <f>_xlfn.XLOOKUP(Tablo7[[#This Row],[Yan Profili]],Anbar!$J$3:$J$1000,Anbar!$H$3:$H$1000,"Tapilmadi")</f>
        <v>Tapilmadi</v>
      </c>
      <c r="N53" s="179">
        <v>1</v>
      </c>
      <c r="O53" s="179">
        <v>23</v>
      </c>
      <c r="P53" s="179" t="s">
        <v>195</v>
      </c>
      <c r="Q53" s="179" t="str">
        <f>_xlfn.XLOOKUP(Tablo7[[#This Row],[Qulp növü]],Anbar!$J$3:$J$1000,Anbar!$H$3:$H$1000,"Tapilmadi")</f>
        <v>Tapilmadi</v>
      </c>
      <c r="R53" s="179">
        <v>0</v>
      </c>
      <c r="S53" s="180">
        <v>0</v>
      </c>
      <c r="T53" s="181"/>
      <c r="U53" s="179" t="str">
        <f>_xlfn.XLOOKUP(Tablo7[[#This Row],[Petlə]],Anbar!$J$3:$J$1000,Anbar!$H$3:$H$1000,"Tapilmadi")</f>
        <v>Tapilmadi</v>
      </c>
      <c r="V53" s="179">
        <v>0</v>
      </c>
      <c r="W53" s="180">
        <v>0</v>
      </c>
      <c r="X53" s="269">
        <v>0</v>
      </c>
      <c r="Y53" s="179" t="s">
        <v>36</v>
      </c>
      <c r="Z53" s="182"/>
      <c r="AA53" s="180">
        <v>13</v>
      </c>
      <c r="AB53" s="180"/>
      <c r="AC53" s="179" t="str">
        <f>_xlfn.XLOOKUP(Tablo7[[#This Row],[Bağlantı]],Anbar!$J$3:$J$1000,Anbar!$H$3:$H$1000,"Tapilmadi")</f>
        <v>Tapilmadi</v>
      </c>
      <c r="AD53" s="179"/>
      <c r="AE53" s="180">
        <v>4</v>
      </c>
      <c r="AF53" s="180"/>
      <c r="AG53" s="179" t="str">
        <f>_xlfn.XLOOKUP(Tablo7[[#This Row],[Mexanizm]],Anbar!$J$3:$J$1000,Anbar!$H$3:$H$1000,"Tapilmadi")</f>
        <v>Tapilmadi</v>
      </c>
      <c r="AH53" s="179">
        <v>1</v>
      </c>
      <c r="AI53" s="180">
        <v>0</v>
      </c>
      <c r="AJ53" s="180">
        <v>0</v>
      </c>
      <c r="AK53" s="180">
        <v>15</v>
      </c>
      <c r="AL53" s="180">
        <v>0</v>
      </c>
      <c r="AM53" s="180">
        <v>55</v>
      </c>
      <c r="AN53" s="180">
        <v>0</v>
      </c>
      <c r="AO53" s="180">
        <v>0</v>
      </c>
      <c r="AP53" s="194">
        <f>Tablo7[[#This Row],[Ümumi məbləğ]]-Tablo7[[#This Row],[Ödəniş]]-Tablo7[[#This Row],[Endirim]]</f>
        <v>55</v>
      </c>
      <c r="AQ53" s="183" t="str">
        <f t="shared" si="0"/>
        <v>Mesaj</v>
      </c>
      <c r="AR53" s="183" t="str">
        <f t="shared" si="1"/>
        <v>Mesaj</v>
      </c>
      <c r="AS53" s="184" t="str">
        <f>IF(ISNA(VLOOKUP(Tablo7[[#This Row],[Sifariş kodu]],'Kəsim ve təhvil'!$E$5:$E1051,1,0)),"Qəbul edilməyib","Qəbul edilib")</f>
        <v>Qəbul edilməyib</v>
      </c>
      <c r="AT53" s="185" t="str">
        <f>IF(ISNA(VLOOKUP(Tablo7[[#This Row],[Sifariş kodu]],'Kəsim ve təhvil'!$H$5:$H1051,1,0)),"Anbardadır","Təhvil verilib")</f>
        <v>Anbardadır</v>
      </c>
      <c r="AU53" s="186" t="str">
        <f>"Hörmətli *"&amp;Tablo7[[#This Row],[Müştəri]]&amp;"*  ,Sizin *"&amp;G53&amp;"* tarixli sifarişiniz qeydə alındı. Sifariş Məbləğı *"&amp;AM53&amp;" AZN* , Qalıq *"&amp;AP53&amp;" AZN* . Hörmətlə  *AlumPro*"</f>
        <v>Hörmətli *Arzena*  ,Sizin *06,01,2024* tarixli sifarişiniz qeydə alındı. Sifariş Məbləğı *55 AZN* , Qalıq *55 AZN* . Hörmətlə  *AlumPro*</v>
      </c>
      <c r="AV53" s="187" t="str">
        <f>"Hörmətli *"&amp;Tablo7[[#This Row],[Müştəri]]&amp;"* , sizin *"&amp;G53&amp;"* tarixli  sifarişiniz hazırdır . Bizi seçdiyiniz üçün minnətdarıq. Hörmətlə  *AlumPro*."</f>
        <v>Hörmətli *Arzena* , sizin *06,01,2024* tarixli  sifarişiniz hazırdır . Bizi seçdiyiniz üçün minnətdarıq. Hörmətlə  *AlumPro*.</v>
      </c>
      <c r="AW53" s="188" t="e">
        <f t="shared" ref="AW53" si="52">SUBSTITUTE(AX53," ","")</f>
        <v>#VALUE!</v>
      </c>
      <c r="AX53" s="253" t="e">
        <f t="shared" si="2"/>
        <v>#VALUE!</v>
      </c>
    </row>
    <row r="54" spans="4:50">
      <c r="D54" s="178">
        <v>281</v>
      </c>
      <c r="E54" s="179" t="s">
        <v>285</v>
      </c>
      <c r="F54" s="179" t="s">
        <v>118</v>
      </c>
      <c r="G54" s="212" t="s">
        <v>280</v>
      </c>
      <c r="H54" s="179" t="s">
        <v>286</v>
      </c>
      <c r="I54" s="179" t="s">
        <v>287</v>
      </c>
      <c r="J54" s="179"/>
      <c r="K54" s="179" t="s">
        <v>183</v>
      </c>
      <c r="L54" s="179"/>
      <c r="M54" s="179" t="str">
        <f>_xlfn.XLOOKUP(Tablo7[[#This Row],[Yan Profili]],Anbar!$J$3:$J$1000,Anbar!$H$3:$H$1000,"Tapilmadi")</f>
        <v>Tapilmadi</v>
      </c>
      <c r="N54" s="179">
        <v>6</v>
      </c>
      <c r="O54" s="179">
        <v>138</v>
      </c>
      <c r="P54" s="179" t="s">
        <v>288</v>
      </c>
      <c r="Q54" s="179" t="str">
        <f>_xlfn.XLOOKUP(Tablo7[[#This Row],[Qulp növü]],Anbar!$J$3:$J$1000,Anbar!$H$3:$H$1000,"Tapilmadi")</f>
        <v>Tapilmadi</v>
      </c>
      <c r="R54" s="179">
        <v>4</v>
      </c>
      <c r="S54" s="180">
        <v>104</v>
      </c>
      <c r="T54" s="181"/>
      <c r="U54" s="179" t="str">
        <f>_xlfn.XLOOKUP(Tablo7[[#This Row],[Petlə]],Anbar!$J$3:$J$1000,Anbar!$H$3:$H$1000,"Tapilmadi")</f>
        <v>Tapilmadi</v>
      </c>
      <c r="V54" s="179">
        <v>0</v>
      </c>
      <c r="W54" s="180">
        <v>0</v>
      </c>
      <c r="X54" s="269">
        <v>0</v>
      </c>
      <c r="Y54" s="179" t="s">
        <v>36</v>
      </c>
      <c r="Z54" s="182"/>
      <c r="AA54" s="180">
        <v>95</v>
      </c>
      <c r="AB54" s="180"/>
      <c r="AC54" s="179" t="str">
        <f>_xlfn.XLOOKUP(Tablo7[[#This Row],[Bağlantı]],Anbar!$J$3:$J$1000,Anbar!$H$3:$H$1000,"Tapilmadi")</f>
        <v>Tapilmadi</v>
      </c>
      <c r="AD54" s="179"/>
      <c r="AE54" s="180">
        <v>40</v>
      </c>
      <c r="AF54" s="180"/>
      <c r="AG54" s="179" t="str">
        <f>_xlfn.XLOOKUP(Tablo7[[#This Row],[Mexanizm]],Anbar!$J$3:$J$1000,Anbar!$H$3:$H$1000,"Tapilmadi")</f>
        <v>Tapilmadi</v>
      </c>
      <c r="AH54" s="179">
        <v>1</v>
      </c>
      <c r="AI54" s="180">
        <v>0</v>
      </c>
      <c r="AJ54" s="180">
        <v>22</v>
      </c>
      <c r="AK54" s="180">
        <v>105</v>
      </c>
      <c r="AL54" s="180">
        <v>0</v>
      </c>
      <c r="AM54" s="180">
        <v>500</v>
      </c>
      <c r="AN54" s="180">
        <v>4</v>
      </c>
      <c r="AO54" s="180">
        <v>250</v>
      </c>
      <c r="AP54" s="194">
        <f>Tablo7[[#This Row],[Ümumi məbləğ]]-Tablo7[[#This Row],[Ödəniş]]-Tablo7[[#This Row],[Endirim]]</f>
        <v>246</v>
      </c>
      <c r="AQ54" s="183" t="str">
        <f t="shared" si="0"/>
        <v>Mesaj</v>
      </c>
      <c r="AR54" s="183" t="str">
        <f t="shared" si="1"/>
        <v>Mesaj</v>
      </c>
      <c r="AS54" s="184" t="str">
        <f>IF(ISNA(VLOOKUP(Tablo7[[#This Row],[Sifariş kodu]],'Kəsim ve təhvil'!$E$5:$E1052,1,0)),"Qəbul edilməyib","Qəbul edilib")</f>
        <v>Qəbul edilməyib</v>
      </c>
      <c r="AT54" s="185" t="str">
        <f>IF(ISNA(VLOOKUP(Tablo7[[#This Row],[Sifariş kodu]],'Kəsim ve təhvil'!$H$5:$H1052,1,0)),"Anbardadır","Təhvil verilib")</f>
        <v>Anbardadır</v>
      </c>
      <c r="AU54" s="186" t="str">
        <f>"Hörmətli *"&amp;Tablo7[[#This Row],[Müştəri]]&amp;"*  ,Sizin *"&amp;G54&amp;"* tarixli sifarişiniz qeydə alındı. Sifariş Məbləğı *"&amp;AM54&amp;" AZN* , Qalıq *"&amp;AP54&amp;" AZN* . Hörmətlə  *AlumPro*"</f>
        <v>Hörmətli *Mehdiyev Mikayil*  ,Sizin *06,01,2024* tarixli sifarişiniz qeydə alındı. Sifariş Məbləğı *500 AZN* , Qalıq *246 AZN* . Hörmətlə  *AlumPro*</v>
      </c>
      <c r="AV54" s="187" t="str">
        <f>"Hörmətli *"&amp;Tablo7[[#This Row],[Müştəri]]&amp;"* , sizin *"&amp;G54&amp;"* tarixli  sifarişiniz hazırdır . Bizi seçdiyiniz üçün minnətdarıq. Hörmətlə  *AlumPro*."</f>
        <v>Hörmətli *Mehdiyev Mikayil* , sizin *06,01,2024* tarixli  sifarişiniz hazırdır . Bizi seçdiyiniz üçün minnətdarıq. Hörmətlə  *AlumPro*.</v>
      </c>
      <c r="AW54" s="188" t="str">
        <f t="shared" ref="AW54" si="53">SUBSTITUTE(AX54," ","")</f>
        <v>Mehdiyev</v>
      </c>
      <c r="AX54" s="253" t="str">
        <f t="shared" si="2"/>
        <v xml:space="preserve">Mehdiyev </v>
      </c>
    </row>
    <row r="55" spans="4:50">
      <c r="D55" s="178">
        <v>280</v>
      </c>
      <c r="E55" s="179" t="s">
        <v>289</v>
      </c>
      <c r="F55" s="179" t="s">
        <v>118</v>
      </c>
      <c r="G55" s="212" t="s">
        <v>280</v>
      </c>
      <c r="H55" s="179" t="s">
        <v>290</v>
      </c>
      <c r="I55" s="179" t="s">
        <v>291</v>
      </c>
      <c r="J55" s="179"/>
      <c r="K55" s="179" t="s">
        <v>194</v>
      </c>
      <c r="L55" s="179"/>
      <c r="M55" s="179" t="str">
        <f>_xlfn.XLOOKUP(Tablo7[[#This Row],[Yan Profili]],Anbar!$J$3:$J$1000,Anbar!$H$3:$H$1000,"Tapilmadi")</f>
        <v>Tapilmadi</v>
      </c>
      <c r="N55" s="179">
        <v>4</v>
      </c>
      <c r="O55" s="179">
        <v>92</v>
      </c>
      <c r="P55" s="179" t="s">
        <v>288</v>
      </c>
      <c r="Q55" s="179" t="str">
        <f>_xlfn.XLOOKUP(Tablo7[[#This Row],[Qulp növü]],Anbar!$J$3:$J$1000,Anbar!$H$3:$H$1000,"Tapilmadi")</f>
        <v>Tapilmadi</v>
      </c>
      <c r="R55" s="179">
        <v>1</v>
      </c>
      <c r="S55" s="180">
        <v>26</v>
      </c>
      <c r="T55" s="181" t="s">
        <v>196</v>
      </c>
      <c r="U55" s="179" t="str">
        <f>_xlfn.XLOOKUP(Tablo7[[#This Row],[Petlə]],Anbar!$J$3:$J$1000,Anbar!$H$3:$H$1000,"Tapilmadi")</f>
        <v>Tapilmadi</v>
      </c>
      <c r="V55" s="179">
        <v>14</v>
      </c>
      <c r="W55" s="180">
        <v>56</v>
      </c>
      <c r="X55" s="269"/>
      <c r="Y55" s="179" t="s">
        <v>203</v>
      </c>
      <c r="Z55" s="182"/>
      <c r="AA55" s="180">
        <v>50</v>
      </c>
      <c r="AB55" s="180"/>
      <c r="AC55" s="179" t="str">
        <f>_xlfn.XLOOKUP(Tablo7[[#This Row],[Bağlantı]],Anbar!$J$3:$J$1000,Anbar!$H$3:$H$1000,"Tapilmadi")</f>
        <v>Tapilmadi</v>
      </c>
      <c r="AD55" s="179"/>
      <c r="AE55" s="180">
        <v>56</v>
      </c>
      <c r="AF55" s="180"/>
      <c r="AG55" s="179" t="str">
        <f>_xlfn.XLOOKUP(Tablo7[[#This Row],[Mexanizm]],Anbar!$J$3:$J$1000,Anbar!$H$3:$H$1000,"Tapilmadi")</f>
        <v>Tapilmadi</v>
      </c>
      <c r="AH55" s="179">
        <v>1</v>
      </c>
      <c r="AI55" s="180">
        <v>0</v>
      </c>
      <c r="AJ55" s="180">
        <v>28</v>
      </c>
      <c r="AK55" s="180">
        <v>70</v>
      </c>
      <c r="AL55" s="180">
        <v>0</v>
      </c>
      <c r="AM55" s="180">
        <v>378</v>
      </c>
      <c r="AN55" s="180">
        <v>0</v>
      </c>
      <c r="AO55" s="180">
        <v>300</v>
      </c>
      <c r="AP55" s="194">
        <f>Tablo7[[#This Row],[Ümumi məbləğ]]-Tablo7[[#This Row],[Ödəniş]]-Tablo7[[#This Row],[Endirim]]</f>
        <v>78</v>
      </c>
      <c r="AQ55" s="183" t="str">
        <f t="shared" si="0"/>
        <v>Mesaj</v>
      </c>
      <c r="AR55" s="183" t="str">
        <f t="shared" si="1"/>
        <v>Mesaj</v>
      </c>
      <c r="AS55" s="184" t="str">
        <f>IF(ISNA(VLOOKUP(Tablo7[[#This Row],[Sifariş kodu]],'Kəsim ve təhvil'!$E$5:$E1053,1,0)),"Qəbul edilməyib","Qəbul edilib")</f>
        <v>Qəbul edilməyib</v>
      </c>
      <c r="AT55" s="185" t="str">
        <f>IF(ISNA(VLOOKUP(Tablo7[[#This Row],[Sifariş kodu]],'Kəsim ve təhvil'!$H$5:$H1053,1,0)),"Anbardadır","Təhvil verilib")</f>
        <v>Anbardadır</v>
      </c>
      <c r="AU55" s="186" t="str">
        <f>"Hörmətli *"&amp;Tablo7[[#This Row],[Müştəri]]&amp;"*  ,Sizin *"&amp;G55&amp;"* tarixli sifarişiniz qeydə alındı. Sifariş Məbləğı *"&amp;AM55&amp;" AZN* , Qalıq *"&amp;AP55&amp;" AZN* . Hörmətlə  *AlumPro*"</f>
        <v>Hörmətli *Vaqif German*  ,Sizin *06,01,2024* tarixli sifarişiniz qeydə alındı. Sifariş Məbləğı *378 AZN* , Qalıq *78 AZN* . Hörmətlə  *AlumPro*</v>
      </c>
      <c r="AV55" s="187" t="str">
        <f>"Hörmətli *"&amp;Tablo7[[#This Row],[Müştəri]]&amp;"* , sizin *"&amp;G55&amp;"* tarixli  sifarişiniz hazırdır . Bizi seçdiyiniz üçün minnətdarıq. Hörmətlə  *AlumPro*."</f>
        <v>Hörmətli *Vaqif German* , sizin *06,01,2024* tarixli  sifarişiniz hazırdır . Bizi seçdiyiniz üçün minnətdarıq. Hörmətlə  *AlumPro*.</v>
      </c>
      <c r="AW55" s="188" t="str">
        <f t="shared" ref="AW55" si="54">SUBSTITUTE(AX55," ","")</f>
        <v>Vaqif</v>
      </c>
      <c r="AX55" s="253" t="str">
        <f t="shared" si="2"/>
        <v xml:space="preserve">Vaqif </v>
      </c>
    </row>
    <row r="56" spans="4:50">
      <c r="D56" s="178">
        <v>279</v>
      </c>
      <c r="E56" s="179" t="s">
        <v>292</v>
      </c>
      <c r="F56" s="179" t="s">
        <v>118</v>
      </c>
      <c r="G56" s="212" t="s">
        <v>280</v>
      </c>
      <c r="H56" s="179" t="s">
        <v>293</v>
      </c>
      <c r="I56" s="179" t="s">
        <v>294</v>
      </c>
      <c r="J56" s="179"/>
      <c r="K56" s="179" t="s">
        <v>278</v>
      </c>
      <c r="L56" s="179"/>
      <c r="M56" s="179" t="str">
        <f>_xlfn.XLOOKUP(Tablo7[[#This Row],[Yan Profili]],Anbar!$J$3:$J$1000,Anbar!$H$3:$H$1000,"Tapilmadi")</f>
        <v>Tapilmadi</v>
      </c>
      <c r="N56" s="179">
        <v>23</v>
      </c>
      <c r="O56" s="179">
        <v>529</v>
      </c>
      <c r="P56" s="179" t="s">
        <v>288</v>
      </c>
      <c r="Q56" s="179" t="str">
        <f>_xlfn.XLOOKUP(Tablo7[[#This Row],[Qulp növü]],Anbar!$J$3:$J$1000,Anbar!$H$3:$H$1000,"Tapilmadi")</f>
        <v>Tapilmadi</v>
      </c>
      <c r="R56" s="179">
        <v>13</v>
      </c>
      <c r="S56" s="180">
        <v>338</v>
      </c>
      <c r="T56" s="181" t="s">
        <v>196</v>
      </c>
      <c r="U56" s="179" t="str">
        <f>_xlfn.XLOOKUP(Tablo7[[#This Row],[Petlə]],Anbar!$J$3:$J$1000,Anbar!$H$3:$H$1000,"Tapilmadi")</f>
        <v>Tapilmadi</v>
      </c>
      <c r="V56" s="179">
        <v>78</v>
      </c>
      <c r="W56" s="180">
        <v>312</v>
      </c>
      <c r="X56" s="269"/>
      <c r="Y56" s="179" t="s">
        <v>36</v>
      </c>
      <c r="Z56" s="182"/>
      <c r="AA56" s="180">
        <v>494</v>
      </c>
      <c r="AB56" s="180"/>
      <c r="AC56" s="179" t="str">
        <f>_xlfn.XLOOKUP(Tablo7[[#This Row],[Bağlantı]],Anbar!$J$3:$J$1000,Anbar!$H$3:$H$1000,"Tapilmadi")</f>
        <v>Tapilmadi</v>
      </c>
      <c r="AD56" s="179"/>
      <c r="AE56" s="180">
        <v>104</v>
      </c>
      <c r="AF56" s="180"/>
      <c r="AG56" s="179" t="str">
        <f>_xlfn.XLOOKUP(Tablo7[[#This Row],[Mexanizm]],Anbar!$J$3:$J$1000,Anbar!$H$3:$H$1000,"Tapilmadi")</f>
        <v>Tapilmadi</v>
      </c>
      <c r="AH56" s="179">
        <v>1</v>
      </c>
      <c r="AI56" s="180">
        <v>0</v>
      </c>
      <c r="AJ56" s="180">
        <v>78</v>
      </c>
      <c r="AK56" s="180">
        <v>325</v>
      </c>
      <c r="AL56" s="180">
        <v>0</v>
      </c>
      <c r="AM56" s="180">
        <v>2144</v>
      </c>
      <c r="AN56" s="180">
        <v>36</v>
      </c>
      <c r="AO56" s="180">
        <v>2144</v>
      </c>
      <c r="AP56" s="194">
        <f>Tablo7[[#This Row],[Ümumi məbləğ]]-Tablo7[[#This Row],[Ödəniş]]-Tablo7[[#This Row],[Endirim]]</f>
        <v>-36</v>
      </c>
      <c r="AQ56" s="183" t="str">
        <f t="shared" si="0"/>
        <v>Mesaj</v>
      </c>
      <c r="AR56" s="183" t="str">
        <f t="shared" si="1"/>
        <v>Mesaj</v>
      </c>
      <c r="AS56" s="184" t="str">
        <f>IF(ISNA(VLOOKUP(Tablo7[[#This Row],[Sifariş kodu]],'Kəsim ve təhvil'!$E$5:$E1054,1,0)),"Qəbul edilməyib","Qəbul edilib")</f>
        <v>Qəbul edilməyib</v>
      </c>
      <c r="AT56" s="185" t="str">
        <f>IF(ISNA(VLOOKUP(Tablo7[[#This Row],[Sifariş kodu]],'Kəsim ve təhvil'!$H$5:$H1054,1,0)),"Anbardadır","Təhvil verilib")</f>
        <v>Anbardadır</v>
      </c>
      <c r="AU56" s="186" t="str">
        <f>"Hörmətli *"&amp;Tablo7[[#This Row],[Müştəri]]&amp;"*  ,Sizin *"&amp;G56&amp;"* tarixli sifarişiniz qeydə alındı. Sifariş Məbləğı *"&amp;AM56&amp;" AZN* , Qalıq *"&amp;AP56&amp;" AZN* . Hörmətlə  *AlumPro*"</f>
        <v>Hörmətli *Emilya Xudiyeva*  ,Sizin *06,01,2024* tarixli sifarişiniz qeydə alındı. Sifariş Məbləğı *2144 AZN* , Qalıq *-36 AZN* . Hörmətlə  *AlumPro*</v>
      </c>
      <c r="AV56" s="187" t="str">
        <f>"Hörmətli *"&amp;Tablo7[[#This Row],[Müştəri]]&amp;"* , sizin *"&amp;G56&amp;"* tarixli  sifarişiniz hazırdır . Bizi seçdiyiniz üçün minnətdarıq. Hörmətlə  *AlumPro*."</f>
        <v>Hörmətli *Emilya Xudiyeva* , sizin *06,01,2024* tarixli  sifarişiniz hazırdır . Bizi seçdiyiniz üçün minnətdarıq. Hörmətlə  *AlumPro*.</v>
      </c>
      <c r="AW56" s="188" t="str">
        <f t="shared" ref="AW56" si="55">SUBSTITUTE(AX56," ","")</f>
        <v>Emilya</v>
      </c>
      <c r="AX56" s="253" t="str">
        <f t="shared" si="2"/>
        <v xml:space="preserve">Emilya </v>
      </c>
    </row>
    <row r="57" spans="4:50">
      <c r="D57" s="178">
        <v>278</v>
      </c>
      <c r="E57" s="179" t="s">
        <v>295</v>
      </c>
      <c r="F57" s="179" t="s">
        <v>118</v>
      </c>
      <c r="G57" s="212" t="s">
        <v>280</v>
      </c>
      <c r="H57" s="179" t="s">
        <v>296</v>
      </c>
      <c r="I57" s="179" t="s">
        <v>297</v>
      </c>
      <c r="J57" s="179" t="s">
        <v>298</v>
      </c>
      <c r="K57" s="179" t="s">
        <v>299</v>
      </c>
      <c r="L57" s="179"/>
      <c r="M57" s="179" t="str">
        <f>_xlfn.XLOOKUP(Tablo7[[#This Row],[Yan Profili]],Anbar!$J$3:$J$1000,Anbar!$H$3:$H$1000,"Tapilmadi")</f>
        <v>Tapilmadi</v>
      </c>
      <c r="N57" s="179">
        <v>4</v>
      </c>
      <c r="O57" s="179">
        <v>100</v>
      </c>
      <c r="P57" s="179"/>
      <c r="Q57" s="179" t="str">
        <f>_xlfn.XLOOKUP(Tablo7[[#This Row],[Qulp növü]],Anbar!$J$3:$J$1000,Anbar!$H$3:$H$1000,"Tapilmadi")</f>
        <v>Tapilmadi</v>
      </c>
      <c r="R57" s="179"/>
      <c r="S57" s="180"/>
      <c r="T57" s="181"/>
      <c r="U57" s="179" t="str">
        <f>_xlfn.XLOOKUP(Tablo7[[#This Row],[Petlə]],Anbar!$J$3:$J$1000,Anbar!$H$3:$H$1000,"Tapilmadi")</f>
        <v>Tapilmadi</v>
      </c>
      <c r="V57" s="179">
        <v>0</v>
      </c>
      <c r="W57" s="180">
        <v>0</v>
      </c>
      <c r="X57" s="269"/>
      <c r="Y57" s="179" t="s">
        <v>199</v>
      </c>
      <c r="Z57" s="182"/>
      <c r="AA57" s="180"/>
      <c r="AB57" s="180"/>
      <c r="AC57" s="179" t="str">
        <f>_xlfn.XLOOKUP(Tablo7[[#This Row],[Bağlantı]],Anbar!$J$3:$J$1000,Anbar!$H$3:$H$1000,"Tapilmadi")</f>
        <v>Tapilmadi</v>
      </c>
      <c r="AD57" s="179"/>
      <c r="AE57" s="180"/>
      <c r="AF57" s="180"/>
      <c r="AG57" s="179" t="str">
        <f>_xlfn.XLOOKUP(Tablo7[[#This Row],[Mexanizm]],Anbar!$J$3:$J$1000,Anbar!$H$3:$H$1000,"Tapilmadi")</f>
        <v>Tapilmadi</v>
      </c>
      <c r="AH57" s="179">
        <v>1</v>
      </c>
      <c r="AI57" s="180">
        <v>0</v>
      </c>
      <c r="AJ57" s="180"/>
      <c r="AK57" s="180"/>
      <c r="AL57" s="180">
        <v>0</v>
      </c>
      <c r="AM57" s="180">
        <v>100</v>
      </c>
      <c r="AN57" s="180">
        <v>0</v>
      </c>
      <c r="AO57" s="180">
        <v>0</v>
      </c>
      <c r="AP57" s="194">
        <f>Tablo7[[#This Row],[Ümumi məbləğ]]-Tablo7[[#This Row],[Ödəniş]]-Tablo7[[#This Row],[Endirim]]</f>
        <v>100</v>
      </c>
      <c r="AQ57" s="183" t="str">
        <f t="shared" si="0"/>
        <v>Mesaj</v>
      </c>
      <c r="AR57" s="183" t="str">
        <f t="shared" si="1"/>
        <v>Mesaj</v>
      </c>
      <c r="AS57" s="184" t="str">
        <f>IF(ISNA(VLOOKUP(Tablo7[[#This Row],[Sifariş kodu]],'Kəsim ve təhvil'!$E$5:$E1055,1,0)),"Qəbul edilməyib","Qəbul edilib")</f>
        <v>Qəbul edilməyib</v>
      </c>
      <c r="AT57" s="185" t="str">
        <f>IF(ISNA(VLOOKUP(Tablo7[[#This Row],[Sifariş kodu]],'Kəsim ve təhvil'!$H$5:$H1055,1,0)),"Anbardadır","Təhvil verilib")</f>
        <v>Anbardadır</v>
      </c>
      <c r="AU57" s="186" t="str">
        <f>"Hörmətli *"&amp;Tablo7[[#This Row],[Müştəri]]&amp;"*  ,Sizin *"&amp;G57&amp;"* tarixli sifarişiniz qeydə alındı. Sifariş Məbləğı *"&amp;AM57&amp;" AZN* , Qalıq *"&amp;AP57&amp;" AZN* . Hörmətlə  *AlumPro*"</f>
        <v>Hörmətli *Resad Qarazavod*  ,Sizin *06,01,2024* tarixli sifarişiniz qeydə alındı. Sifariş Məbləğı *100 AZN* , Qalıq *100 AZN* . Hörmətlə  *AlumPro*</v>
      </c>
      <c r="AV57" s="187" t="str">
        <f>"Hörmətli *"&amp;Tablo7[[#This Row],[Müştəri]]&amp;"* , sizin *"&amp;G57&amp;"* tarixli  sifarişiniz hazırdır . Bizi seçdiyiniz üçün minnətdarıq. Hörmətlə  *AlumPro*."</f>
        <v>Hörmətli *Resad Qarazavod* , sizin *06,01,2024* tarixli  sifarişiniz hazırdır . Bizi seçdiyiniz üçün minnətdarıq. Hörmətlə  *AlumPro*.</v>
      </c>
      <c r="AW57" s="188" t="str">
        <f t="shared" ref="AW57" si="56">SUBSTITUTE(AX57," ","")</f>
        <v>Resad</v>
      </c>
      <c r="AX57" s="253" t="str">
        <f t="shared" si="2"/>
        <v xml:space="preserve">Resad </v>
      </c>
    </row>
    <row r="58" spans="4:50">
      <c r="D58" s="178">
        <v>277</v>
      </c>
      <c r="E58" s="179" t="s">
        <v>300</v>
      </c>
      <c r="F58" s="179" t="s">
        <v>118</v>
      </c>
      <c r="G58" s="212" t="s">
        <v>280</v>
      </c>
      <c r="H58" s="179" t="s">
        <v>296</v>
      </c>
      <c r="I58" s="179" t="s">
        <v>297</v>
      </c>
      <c r="J58" s="179" t="s">
        <v>301</v>
      </c>
      <c r="K58" s="179" t="s">
        <v>302</v>
      </c>
      <c r="L58" s="179"/>
      <c r="M58" s="179">
        <f>_xlfn.XLOOKUP(Tablo7[[#This Row],[Yan Profili]],Anbar!$J$3:$J$1000,Anbar!$H$3:$H$1000,"Tapilmadi")</f>
        <v>0</v>
      </c>
      <c r="N58" s="179">
        <v>2</v>
      </c>
      <c r="O58" s="179">
        <v>88</v>
      </c>
      <c r="P58" s="179"/>
      <c r="Q58" s="179" t="str">
        <f>_xlfn.XLOOKUP(Tablo7[[#This Row],[Qulp növü]],Anbar!$J$3:$J$1000,Anbar!$H$3:$H$1000,"Tapilmadi")</f>
        <v>Tapilmadi</v>
      </c>
      <c r="R58" s="179"/>
      <c r="S58" s="180"/>
      <c r="T58" s="181"/>
      <c r="U58" s="179" t="str">
        <f>_xlfn.XLOOKUP(Tablo7[[#This Row],[Petlə]],Anbar!$J$3:$J$1000,Anbar!$H$3:$H$1000,"Tapilmadi")</f>
        <v>Tapilmadi</v>
      </c>
      <c r="V58" s="179">
        <v>0</v>
      </c>
      <c r="W58" s="180">
        <v>0</v>
      </c>
      <c r="X58" s="269"/>
      <c r="Y58" s="179" t="s">
        <v>199</v>
      </c>
      <c r="Z58" s="182"/>
      <c r="AA58" s="180"/>
      <c r="AB58" s="180"/>
      <c r="AC58" s="179" t="str">
        <f>_xlfn.XLOOKUP(Tablo7[[#This Row],[Bağlantı]],Anbar!$J$3:$J$1000,Anbar!$H$3:$H$1000,"Tapilmadi")</f>
        <v>Tapilmadi</v>
      </c>
      <c r="AD58" s="179"/>
      <c r="AE58" s="180"/>
      <c r="AF58" s="180"/>
      <c r="AG58" s="179" t="str">
        <f>_xlfn.XLOOKUP(Tablo7[[#This Row],[Mexanizm]],Anbar!$J$3:$J$1000,Anbar!$H$3:$H$1000,"Tapilmadi")</f>
        <v>Tapilmadi</v>
      </c>
      <c r="AH58" s="179">
        <v>1</v>
      </c>
      <c r="AI58" s="180">
        <v>0</v>
      </c>
      <c r="AJ58" s="180"/>
      <c r="AK58" s="180"/>
      <c r="AL58" s="180">
        <v>0</v>
      </c>
      <c r="AM58" s="180">
        <v>88</v>
      </c>
      <c r="AN58" s="180">
        <v>0</v>
      </c>
      <c r="AO58" s="180">
        <v>0</v>
      </c>
      <c r="AP58" s="194">
        <f>Tablo7[[#This Row],[Ümumi məbləğ]]-Tablo7[[#This Row],[Ödəniş]]-Tablo7[[#This Row],[Endirim]]</f>
        <v>88</v>
      </c>
      <c r="AQ58" s="183" t="str">
        <f t="shared" si="0"/>
        <v>Mesaj</v>
      </c>
      <c r="AR58" s="183" t="str">
        <f t="shared" si="1"/>
        <v>Mesaj</v>
      </c>
      <c r="AS58" s="184" t="str">
        <f>IF(ISNA(VLOOKUP(Tablo7[[#This Row],[Sifariş kodu]],'Kəsim ve təhvil'!$E$5:$E1056,1,0)),"Qəbul edilməyib","Qəbul edilib")</f>
        <v>Qəbul edilməyib</v>
      </c>
      <c r="AT58" s="185" t="str">
        <f>IF(ISNA(VLOOKUP(Tablo7[[#This Row],[Sifariş kodu]],'Kəsim ve təhvil'!$H$5:$H1056,1,0)),"Anbardadır","Təhvil verilib")</f>
        <v>Anbardadır</v>
      </c>
      <c r="AU58" s="186" t="str">
        <f>"Hörmətli *"&amp;Tablo7[[#This Row],[Müştəri]]&amp;"*  ,Sizin *"&amp;G58&amp;"* tarixli sifarişiniz qeydə alındı. Sifariş Məbləğı *"&amp;AM58&amp;" AZN* , Qalıq *"&amp;AP58&amp;" AZN* . Hörmətlə  *AlumPro*"</f>
        <v>Hörmətli *Resad Qarazavod*  ,Sizin *06,01,2024* tarixli sifarişiniz qeydə alındı. Sifariş Məbləğı *88 AZN* , Qalıq *88 AZN* . Hörmətlə  *AlumPro*</v>
      </c>
      <c r="AV58" s="187" t="str">
        <f>"Hörmətli *"&amp;Tablo7[[#This Row],[Müştəri]]&amp;"* , sizin *"&amp;G58&amp;"* tarixli  sifarişiniz hazırdır . Bizi seçdiyiniz üçün minnətdarıq. Hörmətlə  *AlumPro*."</f>
        <v>Hörmətli *Resad Qarazavod* , sizin *06,01,2024* tarixli  sifarişiniz hazırdır . Bizi seçdiyiniz üçün minnətdarıq. Hörmətlə  *AlumPro*.</v>
      </c>
      <c r="AW58" s="188" t="str">
        <f t="shared" ref="AW58" si="57">SUBSTITUTE(AX58," ","")</f>
        <v>Resad</v>
      </c>
      <c r="AX58" s="253" t="str">
        <f t="shared" si="2"/>
        <v xml:space="preserve">Resad </v>
      </c>
    </row>
    <row r="59" spans="4:50">
      <c r="D59" s="178">
        <v>276</v>
      </c>
      <c r="E59" s="179" t="s">
        <v>303</v>
      </c>
      <c r="F59" s="179" t="s">
        <v>118</v>
      </c>
      <c r="G59" s="212" t="s">
        <v>280</v>
      </c>
      <c r="H59" s="179" t="s">
        <v>296</v>
      </c>
      <c r="I59" s="179" t="s">
        <v>297</v>
      </c>
      <c r="J59" s="179"/>
      <c r="K59" s="179" t="s">
        <v>183</v>
      </c>
      <c r="L59" s="179"/>
      <c r="M59" s="179" t="str">
        <f>_xlfn.XLOOKUP(Tablo7[[#This Row],[Yan Profili]],Anbar!$J$3:$J$1000,Anbar!$H$3:$H$1000,"Tapilmadi")</f>
        <v>Tapilmadi</v>
      </c>
      <c r="N59" s="179">
        <v>23</v>
      </c>
      <c r="O59" s="179">
        <v>529</v>
      </c>
      <c r="P59" s="179" t="s">
        <v>184</v>
      </c>
      <c r="Q59" s="179" t="str">
        <f>_xlfn.XLOOKUP(Tablo7[[#This Row],[Qulp növü]],Anbar!$J$3:$J$1000,Anbar!$H$3:$H$1000,"Tapilmadi")</f>
        <v>Tapilmadi</v>
      </c>
      <c r="R59" s="179">
        <v>17</v>
      </c>
      <c r="S59" s="180">
        <v>442</v>
      </c>
      <c r="T59" s="181"/>
      <c r="U59" s="179" t="str">
        <f>_xlfn.XLOOKUP(Tablo7[[#This Row],[Petlə]],Anbar!$J$3:$J$1000,Anbar!$H$3:$H$1000,"Tapilmadi")</f>
        <v>Tapilmadi</v>
      </c>
      <c r="V59" s="179">
        <v>0</v>
      </c>
      <c r="W59" s="180">
        <v>0</v>
      </c>
      <c r="X59" s="269">
        <v>120</v>
      </c>
      <c r="Y59" s="179" t="s">
        <v>199</v>
      </c>
      <c r="Z59" s="182"/>
      <c r="AA59" s="180">
        <v>198</v>
      </c>
      <c r="AB59" s="180"/>
      <c r="AC59" s="179" t="str">
        <f>_xlfn.XLOOKUP(Tablo7[[#This Row],[Bağlantı]],Anbar!$J$3:$J$1000,Anbar!$H$3:$H$1000,"Tapilmadi")</f>
        <v>Tapilmadi</v>
      </c>
      <c r="AD59" s="179"/>
      <c r="AE59" s="180">
        <v>76</v>
      </c>
      <c r="AF59" s="180"/>
      <c r="AG59" s="179" t="str">
        <f>_xlfn.XLOOKUP(Tablo7[[#This Row],[Mexanizm]],Anbar!$J$3:$J$1000,Anbar!$H$3:$H$1000,"Tapilmadi")</f>
        <v>Tapilmadi</v>
      </c>
      <c r="AH59" s="179">
        <v>1</v>
      </c>
      <c r="AI59" s="180">
        <v>0</v>
      </c>
      <c r="AJ59" s="180">
        <v>89</v>
      </c>
      <c r="AK59" s="180">
        <v>270</v>
      </c>
      <c r="AL59" s="180">
        <v>0</v>
      </c>
      <c r="AM59" s="180">
        <v>1724</v>
      </c>
      <c r="AN59" s="180">
        <v>0</v>
      </c>
      <c r="AO59" s="180">
        <v>1000</v>
      </c>
      <c r="AP59" s="194">
        <f>Tablo7[[#This Row],[Ümumi məbləğ]]-Tablo7[[#This Row],[Ödəniş]]-Tablo7[[#This Row],[Endirim]]</f>
        <v>724</v>
      </c>
      <c r="AQ59" s="183" t="str">
        <f t="shared" si="0"/>
        <v>Mesaj</v>
      </c>
      <c r="AR59" s="183" t="str">
        <f t="shared" si="1"/>
        <v>Mesaj</v>
      </c>
      <c r="AS59" s="184" t="str">
        <f>IF(ISNA(VLOOKUP(Tablo7[[#This Row],[Sifariş kodu]],'Kəsim ve təhvil'!$E$5:$E1057,1,0)),"Qəbul edilməyib","Qəbul edilib")</f>
        <v>Qəbul edilməyib</v>
      </c>
      <c r="AT59" s="185" t="str">
        <f>IF(ISNA(VLOOKUP(Tablo7[[#This Row],[Sifariş kodu]],'Kəsim ve təhvil'!$H$5:$H1057,1,0)),"Anbardadır","Təhvil verilib")</f>
        <v>Anbardadır</v>
      </c>
      <c r="AU59" s="186" t="str">
        <f>"Hörmətli *"&amp;Tablo7[[#This Row],[Müştəri]]&amp;"*  ,Sizin *"&amp;G59&amp;"* tarixli sifarişiniz qeydə alındı. Sifariş Məbləğı *"&amp;AM59&amp;" AZN* , Qalıq *"&amp;AP59&amp;" AZN* . Hörmətlə  *AlumPro*"</f>
        <v>Hörmətli *Resad Qarazavod*  ,Sizin *06,01,2024* tarixli sifarişiniz qeydə alındı. Sifariş Məbləğı *1724 AZN* , Qalıq *724 AZN* . Hörmətlə  *AlumPro*</v>
      </c>
      <c r="AV59" s="187" t="str">
        <f>"Hörmətli *"&amp;Tablo7[[#This Row],[Müştəri]]&amp;"* , sizin *"&amp;G59&amp;"* tarixli  sifarişiniz hazırdır . Bizi seçdiyiniz üçün minnətdarıq. Hörmətlə  *AlumPro*."</f>
        <v>Hörmətli *Resad Qarazavod* , sizin *06,01,2024* tarixli  sifarişiniz hazırdır . Bizi seçdiyiniz üçün minnətdarıq. Hörmətlə  *AlumPro*.</v>
      </c>
      <c r="AW59" s="188" t="str">
        <f t="shared" ref="AW59" si="58">SUBSTITUTE(AX59," ","")</f>
        <v>Resad</v>
      </c>
      <c r="AX59" s="253" t="str">
        <f t="shared" si="2"/>
        <v xml:space="preserve">Resad </v>
      </c>
    </row>
    <row r="60" spans="4:50">
      <c r="D60" s="178">
        <v>275</v>
      </c>
      <c r="E60" s="179" t="s">
        <v>304</v>
      </c>
      <c r="F60" s="179" t="s">
        <v>118</v>
      </c>
      <c r="G60" s="212" t="s">
        <v>305</v>
      </c>
      <c r="H60" s="179" t="s">
        <v>192</v>
      </c>
      <c r="I60" s="179" t="s">
        <v>193</v>
      </c>
      <c r="J60" s="179"/>
      <c r="K60" s="179" t="s">
        <v>183</v>
      </c>
      <c r="L60" s="179"/>
      <c r="M60" s="179" t="str">
        <f>_xlfn.XLOOKUP(Tablo7[[#This Row],[Yan Profili]],Anbar!$J$3:$J$1000,Anbar!$H$3:$H$1000,"Tapilmadi")</f>
        <v>Tapilmadi</v>
      </c>
      <c r="N60" s="179">
        <v>2</v>
      </c>
      <c r="O60" s="179">
        <v>46</v>
      </c>
      <c r="P60" s="179" t="s">
        <v>184</v>
      </c>
      <c r="Q60" s="179" t="str">
        <f>_xlfn.XLOOKUP(Tablo7[[#This Row],[Qulp növü]],Anbar!$J$3:$J$1000,Anbar!$H$3:$H$1000,"Tapilmadi")</f>
        <v>Tapilmadi</v>
      </c>
      <c r="R60" s="179">
        <v>1</v>
      </c>
      <c r="S60" s="180">
        <v>26</v>
      </c>
      <c r="T60" s="181"/>
      <c r="U60" s="179" t="str">
        <f>_xlfn.XLOOKUP(Tablo7[[#This Row],[Petlə]],Anbar!$J$3:$J$1000,Anbar!$H$3:$H$1000,"Tapilmadi")</f>
        <v>Tapilmadi</v>
      </c>
      <c r="V60" s="179">
        <v>0</v>
      </c>
      <c r="W60" s="180">
        <v>0</v>
      </c>
      <c r="X60" s="269">
        <v>9</v>
      </c>
      <c r="Y60" s="179" t="s">
        <v>36</v>
      </c>
      <c r="Z60" s="182"/>
      <c r="AA60" s="180">
        <v>27</v>
      </c>
      <c r="AB60" s="180"/>
      <c r="AC60" s="179" t="str">
        <f>_xlfn.XLOOKUP(Tablo7[[#This Row],[Bağlantı]],Anbar!$J$3:$J$1000,Anbar!$H$3:$H$1000,"Tapilmadi")</f>
        <v>Tapilmadi</v>
      </c>
      <c r="AD60" s="179"/>
      <c r="AE60" s="180">
        <v>4</v>
      </c>
      <c r="AF60" s="180"/>
      <c r="AG60" s="179" t="str">
        <f>_xlfn.XLOOKUP(Tablo7[[#This Row],[Mexanizm]],Anbar!$J$3:$J$1000,Anbar!$H$3:$H$1000,"Tapilmadi")</f>
        <v>Tapilmadi</v>
      </c>
      <c r="AH60" s="179">
        <v>1</v>
      </c>
      <c r="AI60" s="180">
        <v>0</v>
      </c>
      <c r="AJ60" s="180">
        <v>4</v>
      </c>
      <c r="AK60" s="180">
        <v>15</v>
      </c>
      <c r="AL60" s="180">
        <v>0</v>
      </c>
      <c r="AM60" s="180">
        <v>131</v>
      </c>
      <c r="AN60" s="180">
        <v>0</v>
      </c>
      <c r="AO60" s="180">
        <v>73</v>
      </c>
      <c r="AP60" s="194">
        <f>Tablo7[[#This Row],[Ümumi məbləğ]]-Tablo7[[#This Row],[Ödəniş]]-Tablo7[[#This Row],[Endirim]]</f>
        <v>58</v>
      </c>
      <c r="AQ60" s="183" t="str">
        <f t="shared" si="0"/>
        <v>Mesaj</v>
      </c>
      <c r="AR60" s="183" t="str">
        <f t="shared" si="1"/>
        <v>Mesaj</v>
      </c>
      <c r="AS60" s="184" t="str">
        <f>IF(ISNA(VLOOKUP(Tablo7[[#This Row],[Sifariş kodu]],'Kəsim ve təhvil'!$E$5:$E1058,1,0)),"Qəbul edilməyib","Qəbul edilib")</f>
        <v>Qəbul edilməyib</v>
      </c>
      <c r="AT60" s="185" t="str">
        <f>IF(ISNA(VLOOKUP(Tablo7[[#This Row],[Sifariş kodu]],'Kəsim ve təhvil'!$H$5:$H1058,1,0)),"Anbardadır","Təhvil verilib")</f>
        <v>Anbardadır</v>
      </c>
      <c r="AU60" s="186" t="str">
        <f>"Hörmətli *"&amp;Tablo7[[#This Row],[Müştəri]]&amp;"*  ,Sizin *"&amp;G60&amp;"* tarixli sifarişiniz qeydə alındı. Sifariş Məbləğı *"&amp;AM60&amp;" AZN* , Qalıq *"&amp;AP60&amp;" AZN* . Hörmətlə  *AlumPro*"</f>
        <v>Hörmətli *Aksin Mahmudov*  ,Sizin *03,01,2025* tarixli sifarişiniz qeydə alındı. Sifariş Məbləğı *131 AZN* , Qalıq *58 AZN* . Hörmətlə  *AlumPro*</v>
      </c>
      <c r="AV60" s="187" t="str">
        <f>"Hörmətli *"&amp;Tablo7[[#This Row],[Müştəri]]&amp;"* , sizin *"&amp;G60&amp;"* tarixli  sifarişiniz hazırdır . Bizi seçdiyiniz üçün minnətdarıq. Hörmətlə  *AlumPro*."</f>
        <v>Hörmətli *Aksin Mahmudov* , sizin *03,01,2025* tarixli  sifarişiniz hazırdır . Bizi seçdiyiniz üçün minnətdarıq. Hörmətlə  *AlumPro*.</v>
      </c>
      <c r="AW60" s="188" t="str">
        <f t="shared" ref="AW60" si="59">SUBSTITUTE(AX60," ","")</f>
        <v>Aksin</v>
      </c>
      <c r="AX60" s="253" t="str">
        <f t="shared" si="2"/>
        <v xml:space="preserve">Aksin </v>
      </c>
    </row>
    <row r="61" spans="4:50">
      <c r="D61" s="178">
        <v>274</v>
      </c>
      <c r="E61" s="179" t="s">
        <v>306</v>
      </c>
      <c r="F61" s="179" t="s">
        <v>118</v>
      </c>
      <c r="G61" s="212" t="s">
        <v>305</v>
      </c>
      <c r="H61" s="179" t="s">
        <v>307</v>
      </c>
      <c r="I61" s="179" t="s">
        <v>308</v>
      </c>
      <c r="J61" s="179"/>
      <c r="K61" s="179" t="s">
        <v>194</v>
      </c>
      <c r="L61" s="179"/>
      <c r="M61" s="179" t="str">
        <f>_xlfn.XLOOKUP(Tablo7[[#This Row],[Yan Profili]],Anbar!$J$3:$J$1000,Anbar!$H$3:$H$1000,"Tapilmadi")</f>
        <v>Tapilmadi</v>
      </c>
      <c r="N61" s="179">
        <v>7</v>
      </c>
      <c r="O61" s="179">
        <v>161</v>
      </c>
      <c r="P61" s="179" t="s">
        <v>184</v>
      </c>
      <c r="Q61" s="179" t="str">
        <f>_xlfn.XLOOKUP(Tablo7[[#This Row],[Qulp növü]],Anbar!$J$3:$J$1000,Anbar!$H$3:$H$1000,"Tapilmadi")</f>
        <v>Tapilmadi</v>
      </c>
      <c r="R61" s="179">
        <v>6</v>
      </c>
      <c r="S61" s="180">
        <v>156</v>
      </c>
      <c r="T61" s="181" t="s">
        <v>196</v>
      </c>
      <c r="U61" s="179" t="str">
        <f>_xlfn.XLOOKUP(Tablo7[[#This Row],[Petlə]],Anbar!$J$3:$J$1000,Anbar!$H$3:$H$1000,"Tapilmadi")</f>
        <v>Tapilmadi</v>
      </c>
      <c r="V61" s="179">
        <v>24</v>
      </c>
      <c r="W61" s="180">
        <v>96</v>
      </c>
      <c r="X61" s="269">
        <v>0</v>
      </c>
      <c r="Y61" s="179" t="s">
        <v>36</v>
      </c>
      <c r="Z61" s="182"/>
      <c r="AA61" s="180">
        <v>164</v>
      </c>
      <c r="AB61" s="180"/>
      <c r="AC61" s="179" t="str">
        <f>_xlfn.XLOOKUP(Tablo7[[#This Row],[Bağlantı]],Anbar!$J$3:$J$1000,Anbar!$H$3:$H$1000,"Tapilmadi")</f>
        <v>Tapilmadi</v>
      </c>
      <c r="AD61" s="179"/>
      <c r="AE61" s="180">
        <v>48</v>
      </c>
      <c r="AF61" s="180"/>
      <c r="AG61" s="179" t="str">
        <f>_xlfn.XLOOKUP(Tablo7[[#This Row],[Mexanizm]],Anbar!$J$3:$J$1000,Anbar!$H$3:$H$1000,"Tapilmadi")</f>
        <v>Tapilmadi</v>
      </c>
      <c r="AH61" s="179">
        <v>1</v>
      </c>
      <c r="AI61" s="180">
        <v>0</v>
      </c>
      <c r="AJ61" s="180">
        <v>48</v>
      </c>
      <c r="AK61" s="180">
        <v>90</v>
      </c>
      <c r="AL61" s="180">
        <v>0</v>
      </c>
      <c r="AM61" s="180">
        <v>763</v>
      </c>
      <c r="AN61" s="180">
        <v>0</v>
      </c>
      <c r="AO61" s="180">
        <v>400</v>
      </c>
      <c r="AP61" s="194">
        <f>Tablo7[[#This Row],[Ümumi məbləğ]]-Tablo7[[#This Row],[Ödəniş]]-Tablo7[[#This Row],[Endirim]]</f>
        <v>363</v>
      </c>
      <c r="AQ61" s="183" t="str">
        <f t="shared" si="0"/>
        <v>Mesaj</v>
      </c>
      <c r="AR61" s="183" t="str">
        <f t="shared" si="1"/>
        <v>Mesaj</v>
      </c>
      <c r="AS61" s="184" t="str">
        <f>IF(ISNA(VLOOKUP(Tablo7[[#This Row],[Sifariş kodu]],'Kəsim ve təhvil'!$E$5:$E1059,1,0)),"Qəbul edilməyib","Qəbul edilib")</f>
        <v>Qəbul edilməyib</v>
      </c>
      <c r="AT61" s="185" t="str">
        <f>IF(ISNA(VLOOKUP(Tablo7[[#This Row],[Sifariş kodu]],'Kəsim ve təhvil'!$H$5:$H1059,1,0)),"Anbardadır","Təhvil verilib")</f>
        <v>Anbardadır</v>
      </c>
      <c r="AU61" s="186" t="str">
        <f>"Hörmətli *"&amp;Tablo7[[#This Row],[Müştəri]]&amp;"*  ,Sizin *"&amp;G61&amp;"* tarixli sifarişiniz qeydə alındı. Sifariş Məbləğı *"&amp;AM61&amp;" AZN* , Qalıq *"&amp;AP61&amp;" AZN* . Hörmətlə  *AlumPro*"</f>
        <v>Hörmətli *Rovsen Qarazavod*  ,Sizin *03,01,2025* tarixli sifarişiniz qeydə alındı. Sifariş Məbləğı *763 AZN* , Qalıq *363 AZN* . Hörmətlə  *AlumPro*</v>
      </c>
      <c r="AV61" s="187" t="str">
        <f>"Hörmətli *"&amp;Tablo7[[#This Row],[Müştəri]]&amp;"* , sizin *"&amp;G61&amp;"* tarixli  sifarişiniz hazırdır . Bizi seçdiyiniz üçün minnətdarıq. Hörmətlə  *AlumPro*."</f>
        <v>Hörmətli *Rovsen Qarazavod* , sizin *03,01,2025* tarixli  sifarişiniz hazırdır . Bizi seçdiyiniz üçün minnətdarıq. Hörmətlə  *AlumPro*.</v>
      </c>
      <c r="AW61" s="188" t="str">
        <f t="shared" ref="AW61" si="60">SUBSTITUTE(AX61," ","")</f>
        <v>Rovsen</v>
      </c>
      <c r="AX61" s="253" t="str">
        <f t="shared" si="2"/>
        <v xml:space="preserve">Rovsen </v>
      </c>
    </row>
    <row r="62" spans="4:50">
      <c r="D62" s="178">
        <v>273</v>
      </c>
      <c r="E62" s="179" t="s">
        <v>309</v>
      </c>
      <c r="F62" s="179" t="s">
        <v>118</v>
      </c>
      <c r="G62" s="212" t="s">
        <v>305</v>
      </c>
      <c r="H62" s="179" t="s">
        <v>310</v>
      </c>
      <c r="I62" s="179" t="s">
        <v>311</v>
      </c>
      <c r="J62" s="179"/>
      <c r="K62" s="179" t="s">
        <v>183</v>
      </c>
      <c r="L62" s="179"/>
      <c r="M62" s="179" t="str">
        <f>_xlfn.XLOOKUP(Tablo7[[#This Row],[Yan Profili]],Anbar!$J$3:$J$1000,Anbar!$H$3:$H$1000,"Tapilmadi")</f>
        <v>Tapilmadi</v>
      </c>
      <c r="N62" s="179">
        <v>0</v>
      </c>
      <c r="O62" s="179">
        <v>82</v>
      </c>
      <c r="P62" s="179"/>
      <c r="Q62" s="179" t="str">
        <f>_xlfn.XLOOKUP(Tablo7[[#This Row],[Qulp növü]],Anbar!$J$3:$J$1000,Anbar!$H$3:$H$1000,"Tapilmadi")</f>
        <v>Tapilmadi</v>
      </c>
      <c r="R62" s="179">
        <v>0</v>
      </c>
      <c r="S62" s="180">
        <v>0</v>
      </c>
      <c r="T62" s="181"/>
      <c r="U62" s="179" t="str">
        <f>_xlfn.XLOOKUP(Tablo7[[#This Row],[Petlə]],Anbar!$J$3:$J$1000,Anbar!$H$3:$H$1000,"Tapilmadi")</f>
        <v>Tapilmadi</v>
      </c>
      <c r="V62" s="179">
        <v>0</v>
      </c>
      <c r="W62" s="180">
        <v>0</v>
      </c>
      <c r="X62" s="269">
        <v>0</v>
      </c>
      <c r="Y62" s="179"/>
      <c r="Z62" s="182"/>
      <c r="AA62" s="180">
        <v>0</v>
      </c>
      <c r="AB62" s="180"/>
      <c r="AC62" s="179" t="str">
        <f>_xlfn.XLOOKUP(Tablo7[[#This Row],[Bağlantı]],Anbar!$J$3:$J$1000,Anbar!$H$3:$H$1000,"Tapilmadi")</f>
        <v>Tapilmadi</v>
      </c>
      <c r="AD62" s="179"/>
      <c r="AE62" s="180">
        <v>0</v>
      </c>
      <c r="AF62" s="180"/>
      <c r="AG62" s="179" t="str">
        <f>_xlfn.XLOOKUP(Tablo7[[#This Row],[Mexanizm]],Anbar!$J$3:$J$1000,Anbar!$H$3:$H$1000,"Tapilmadi")</f>
        <v>Tapilmadi</v>
      </c>
      <c r="AH62" s="179">
        <v>1</v>
      </c>
      <c r="AI62" s="180">
        <v>0</v>
      </c>
      <c r="AJ62" s="180">
        <v>0</v>
      </c>
      <c r="AK62" s="180">
        <v>0</v>
      </c>
      <c r="AL62" s="180">
        <v>0</v>
      </c>
      <c r="AM62" s="180">
        <v>82</v>
      </c>
      <c r="AN62" s="180">
        <v>0</v>
      </c>
      <c r="AO62" s="180">
        <v>0</v>
      </c>
      <c r="AP62" s="194">
        <f>Tablo7[[#This Row],[Ümumi məbləğ]]-Tablo7[[#This Row],[Ödəniş]]-Tablo7[[#This Row],[Endirim]]</f>
        <v>82</v>
      </c>
      <c r="AQ62" s="183" t="str">
        <f t="shared" si="0"/>
        <v>Mesaj</v>
      </c>
      <c r="AR62" s="183" t="str">
        <f t="shared" si="1"/>
        <v>Mesaj</v>
      </c>
      <c r="AS62" s="184" t="str">
        <f>IF(ISNA(VLOOKUP(Tablo7[[#This Row],[Sifariş kodu]],'Kəsim ve təhvil'!$E$5:$E1060,1,0)),"Qəbul edilməyib","Qəbul edilib")</f>
        <v>Qəbul edilməyib</v>
      </c>
      <c r="AT62" s="185" t="str">
        <f>IF(ISNA(VLOOKUP(Tablo7[[#This Row],[Sifariş kodu]],'Kəsim ve təhvil'!$H$5:$H1060,1,0)),"Anbardadır","Təhvil verilib")</f>
        <v>Anbardadır</v>
      </c>
      <c r="AU62" s="186" t="str">
        <f>"Hörmətli *"&amp;Tablo7[[#This Row],[Müştəri]]&amp;"*  ,Sizin *"&amp;G62&amp;"* tarixli sifarişiniz qeydə alındı. Sifariş Məbləğı *"&amp;AM62&amp;" AZN* , Qalıq *"&amp;AP62&amp;" AZN* . Hörmətlə  *AlumPro*"</f>
        <v>Hörmətli *Mecnun Sahmurov*  ,Sizin *03,01,2025* tarixli sifarişiniz qeydə alındı. Sifariş Məbləğı *82 AZN* , Qalıq *82 AZN* . Hörmətlə  *AlumPro*</v>
      </c>
      <c r="AV62" s="187" t="str">
        <f>"Hörmətli *"&amp;Tablo7[[#This Row],[Müştəri]]&amp;"* , sizin *"&amp;G62&amp;"* tarixli  sifarişiniz hazırdır . Bizi seçdiyiniz üçün minnətdarıq. Hörmətlə  *AlumPro*."</f>
        <v>Hörmətli *Mecnun Sahmurov* , sizin *03,01,2025* tarixli  sifarişiniz hazırdır . Bizi seçdiyiniz üçün minnətdarıq. Hörmətlə  *AlumPro*.</v>
      </c>
      <c r="AW62" s="188" t="str">
        <f t="shared" ref="AW62" si="61">SUBSTITUTE(AX62," ","")</f>
        <v>Mecnun</v>
      </c>
      <c r="AX62" s="253" t="str">
        <f t="shared" si="2"/>
        <v xml:space="preserve">Mecnun </v>
      </c>
    </row>
    <row r="63" spans="4:50">
      <c r="D63" s="178">
        <v>272</v>
      </c>
      <c r="E63" s="179" t="s">
        <v>312</v>
      </c>
      <c r="F63" s="179" t="s">
        <v>118</v>
      </c>
      <c r="G63" s="212" t="s">
        <v>313</v>
      </c>
      <c r="H63" s="179" t="s">
        <v>314</v>
      </c>
      <c r="I63" s="179" t="s">
        <v>315</v>
      </c>
      <c r="J63" s="179" t="s">
        <v>316</v>
      </c>
      <c r="K63" s="179" t="s">
        <v>317</v>
      </c>
      <c r="L63" s="179"/>
      <c r="M63" s="179" t="str">
        <f>_xlfn.XLOOKUP(Tablo7[[#This Row],[Yan Profili]],Anbar!$J$3:$J$1000,Anbar!$H$3:$H$1000,"Tapilmadi")</f>
        <v>Tapilmadi</v>
      </c>
      <c r="N63" s="179">
        <v>3</v>
      </c>
      <c r="O63" s="179">
        <v>750</v>
      </c>
      <c r="P63" s="179"/>
      <c r="Q63" s="179" t="str">
        <f>_xlfn.XLOOKUP(Tablo7[[#This Row],[Qulp növü]],Anbar!$J$3:$J$1000,Anbar!$H$3:$H$1000,"Tapilmadi")</f>
        <v>Tapilmadi</v>
      </c>
      <c r="R63" s="179">
        <v>0</v>
      </c>
      <c r="S63" s="180">
        <v>0</v>
      </c>
      <c r="T63" s="181" t="s">
        <v>318</v>
      </c>
      <c r="U63" s="179" t="str">
        <f>_xlfn.XLOOKUP(Tablo7[[#This Row],[Petlə]],Anbar!$J$3:$J$1000,Anbar!$H$3:$H$1000,"Tapilmadi")</f>
        <v>Tapilmadi</v>
      </c>
      <c r="V63" s="179">
        <v>9</v>
      </c>
      <c r="W63" s="180">
        <v>540</v>
      </c>
      <c r="X63" s="269">
        <v>0</v>
      </c>
      <c r="Y63" s="179"/>
      <c r="Z63" s="182"/>
      <c r="AA63" s="180">
        <v>0</v>
      </c>
      <c r="AB63" s="180"/>
      <c r="AC63" s="179" t="str">
        <f>_xlfn.XLOOKUP(Tablo7[[#This Row],[Bağlantı]],Anbar!$J$3:$J$1000,Anbar!$H$3:$H$1000,"Tapilmadi")</f>
        <v>Tapilmadi</v>
      </c>
      <c r="AD63" s="179"/>
      <c r="AE63" s="180">
        <v>0</v>
      </c>
      <c r="AF63" s="180"/>
      <c r="AG63" s="179" t="str">
        <f>_xlfn.XLOOKUP(Tablo7[[#This Row],[Mexanizm]],Anbar!$J$3:$J$1000,Anbar!$H$3:$H$1000,"Tapilmadi")</f>
        <v>Tapilmadi</v>
      </c>
      <c r="AH63" s="179">
        <v>1</v>
      </c>
      <c r="AI63" s="180">
        <v>0</v>
      </c>
      <c r="AJ63" s="180">
        <v>0</v>
      </c>
      <c r="AK63" s="180">
        <v>255</v>
      </c>
      <c r="AL63" s="180">
        <v>0</v>
      </c>
      <c r="AM63" s="180">
        <v>1545</v>
      </c>
      <c r="AN63" s="180">
        <v>0</v>
      </c>
      <c r="AO63" s="180">
        <v>1545</v>
      </c>
      <c r="AP63" s="194">
        <f>Tablo7[[#This Row],[Ümumi məbləğ]]-Tablo7[[#This Row],[Ödəniş]]-Tablo7[[#This Row],[Endirim]]</f>
        <v>0</v>
      </c>
      <c r="AQ63" s="183" t="str">
        <f t="shared" si="0"/>
        <v>Mesaj</v>
      </c>
      <c r="AR63" s="183" t="str">
        <f t="shared" si="1"/>
        <v>Mesaj</v>
      </c>
      <c r="AS63" s="184" t="str">
        <f>IF(ISNA(VLOOKUP(Tablo7[[#This Row],[Sifariş kodu]],'Kəsim ve təhvil'!$E$5:$E1061,1,0)),"Qəbul edilməyib","Qəbul edilib")</f>
        <v>Qəbul edilməyib</v>
      </c>
      <c r="AT63" s="185" t="str">
        <f>IF(ISNA(VLOOKUP(Tablo7[[#This Row],[Sifariş kodu]],'Kəsim ve təhvil'!$H$5:$H1061,1,0)),"Anbardadır","Təhvil verilib")</f>
        <v>Anbardadır</v>
      </c>
      <c r="AU63" s="186" t="str">
        <f>"Hörmətli *"&amp;Tablo7[[#This Row],[Müştəri]]&amp;"*  ,Sizin *"&amp;G63&amp;"* tarixli sifarişiniz qeydə alındı. Sifariş Məbləğı *"&amp;AM63&amp;" AZN* , Qalıq *"&amp;AP63&amp;" AZN* . Hörmətlə  *AlumPro*"</f>
        <v>Hörmətli *Avni Aydin*  ,Sizin *1/4/2025* tarixli sifarişiniz qeydə alındı. Sifariş Məbləğı *1545 AZN* , Qalıq *0 AZN* . Hörmətlə  *AlumPro*</v>
      </c>
      <c r="AV63" s="187" t="str">
        <f>"Hörmətli *"&amp;Tablo7[[#This Row],[Müştəri]]&amp;"* , sizin *"&amp;G63&amp;"* tarixli  sifarişiniz hazırdır . Bizi seçdiyiniz üçün minnətdarıq. Hörmətlə  *AlumPro*."</f>
        <v>Hörmətli *Avni Aydin* , sizin *1/4/2025* tarixli  sifarişiniz hazırdır . Bizi seçdiyiniz üçün minnətdarıq. Hörmətlə  *AlumPro*.</v>
      </c>
      <c r="AW63" s="188" t="str">
        <f t="shared" ref="AW63" si="62">SUBSTITUTE(AX63," ","")</f>
        <v>Avni</v>
      </c>
      <c r="AX63" s="253" t="str">
        <f t="shared" si="2"/>
        <v xml:space="preserve">Avni </v>
      </c>
    </row>
    <row r="64" spans="4:50">
      <c r="D64" s="178">
        <v>271</v>
      </c>
      <c r="E64" s="179" t="s">
        <v>319</v>
      </c>
      <c r="F64" s="179" t="s">
        <v>118</v>
      </c>
      <c r="G64" s="212" t="s">
        <v>305</v>
      </c>
      <c r="H64" s="179" t="s">
        <v>314</v>
      </c>
      <c r="I64" s="179" t="s">
        <v>315</v>
      </c>
      <c r="J64" s="179" t="s">
        <v>320</v>
      </c>
      <c r="K64" s="179" t="s">
        <v>278</v>
      </c>
      <c r="L64" s="179"/>
      <c r="M64" s="179" t="str">
        <f>_xlfn.XLOOKUP(Tablo7[[#This Row],[Yan Profili]],Anbar!$J$3:$J$1000,Anbar!$H$3:$H$1000,"Tapilmadi")</f>
        <v>Tapilmadi</v>
      </c>
      <c r="N64" s="179">
        <v>2</v>
      </c>
      <c r="O64" s="179">
        <v>46</v>
      </c>
      <c r="P64" s="179" t="s">
        <v>321</v>
      </c>
      <c r="Q64" s="179" t="str">
        <f>_xlfn.XLOOKUP(Tablo7[[#This Row],[Qulp növü]],Anbar!$J$3:$J$1000,Anbar!$H$3:$H$1000,"Tapilmadi")</f>
        <v>Tapilmadi</v>
      </c>
      <c r="R64" s="179">
        <v>1</v>
      </c>
      <c r="S64" s="180">
        <v>25</v>
      </c>
      <c r="T64" s="181"/>
      <c r="U64" s="179" t="str">
        <f>_xlfn.XLOOKUP(Tablo7[[#This Row],[Petlə]],Anbar!$J$3:$J$1000,Anbar!$H$3:$H$1000,"Tapilmadi")</f>
        <v>Tapilmadi</v>
      </c>
      <c r="V64" s="179">
        <v>3</v>
      </c>
      <c r="W64" s="180">
        <v>12</v>
      </c>
      <c r="X64" s="269">
        <v>0</v>
      </c>
      <c r="Y64" s="179" t="s">
        <v>203</v>
      </c>
      <c r="Z64" s="182"/>
      <c r="AA64" s="180">
        <v>41</v>
      </c>
      <c r="AB64" s="180"/>
      <c r="AC64" s="179" t="str">
        <f>_xlfn.XLOOKUP(Tablo7[[#This Row],[Bağlantı]],Anbar!$J$3:$J$1000,Anbar!$H$3:$H$1000,"Tapilmadi")</f>
        <v>Tapilmadi</v>
      </c>
      <c r="AD64" s="179"/>
      <c r="AE64" s="180">
        <v>8</v>
      </c>
      <c r="AF64" s="180"/>
      <c r="AG64" s="179" t="str">
        <f>_xlfn.XLOOKUP(Tablo7[[#This Row],[Mexanizm]],Anbar!$J$3:$J$1000,Anbar!$H$3:$H$1000,"Tapilmadi")</f>
        <v>Tapilmadi</v>
      </c>
      <c r="AH64" s="179">
        <v>1</v>
      </c>
      <c r="AI64" s="180">
        <v>0</v>
      </c>
      <c r="AJ64" s="180">
        <v>6</v>
      </c>
      <c r="AK64" s="180">
        <v>20</v>
      </c>
      <c r="AL64" s="180">
        <v>3</v>
      </c>
      <c r="AM64" s="180">
        <v>160</v>
      </c>
      <c r="AN64" s="180">
        <v>0</v>
      </c>
      <c r="AO64" s="180">
        <v>160</v>
      </c>
      <c r="AP64" s="194">
        <f>Tablo7[[#This Row],[Ümumi məbləğ]]-Tablo7[[#This Row],[Ödəniş]]-Tablo7[[#This Row],[Endirim]]</f>
        <v>0</v>
      </c>
      <c r="AQ64" s="183" t="str">
        <f t="shared" si="0"/>
        <v>Mesaj</v>
      </c>
      <c r="AR64" s="183" t="str">
        <f t="shared" si="1"/>
        <v>Mesaj</v>
      </c>
      <c r="AS64" s="184" t="str">
        <f>IF(ISNA(VLOOKUP(Tablo7[[#This Row],[Sifariş kodu]],'Kəsim ve təhvil'!$E$5:$E1062,1,0)),"Qəbul edilməyib","Qəbul edilib")</f>
        <v>Qəbul edilməyib</v>
      </c>
      <c r="AT64" s="185" t="str">
        <f>IF(ISNA(VLOOKUP(Tablo7[[#This Row],[Sifariş kodu]],'Kəsim ve təhvil'!$H$5:$H1062,1,0)),"Anbardadır","Təhvil verilib")</f>
        <v>Anbardadır</v>
      </c>
      <c r="AU64" s="186" t="str">
        <f>"Hörmətli *"&amp;Tablo7[[#This Row],[Müştəri]]&amp;"*  ,Sizin *"&amp;G64&amp;"* tarixli sifarişiniz qeydə alındı. Sifariş Məbləğı *"&amp;AM64&amp;" AZN* , Qalıq *"&amp;AP64&amp;" AZN* . Hörmətlə  *AlumPro*"</f>
        <v>Hörmətli *Avni Aydin*  ,Sizin *03,01,2025* tarixli sifarişiniz qeydə alındı. Sifariş Məbləğı *160 AZN* , Qalıq *0 AZN* . Hörmətlə  *AlumPro*</v>
      </c>
      <c r="AV64" s="187" t="str">
        <f>"Hörmətli *"&amp;Tablo7[[#This Row],[Müştəri]]&amp;"* , sizin *"&amp;G64&amp;"* tarixli  sifarişiniz hazırdır . Bizi seçdiyiniz üçün minnətdarıq. Hörmətlə  *AlumPro*."</f>
        <v>Hörmətli *Avni Aydin* , sizin *03,01,2025* tarixli  sifarişiniz hazırdır . Bizi seçdiyiniz üçün minnətdarıq. Hörmətlə  *AlumPro*.</v>
      </c>
      <c r="AW64" s="188" t="str">
        <f t="shared" ref="AW64" si="63">SUBSTITUTE(AX64," ","")</f>
        <v>Avni</v>
      </c>
      <c r="AX64" s="253" t="str">
        <f t="shared" si="2"/>
        <v xml:space="preserve">Avni </v>
      </c>
    </row>
    <row r="65" spans="4:50">
      <c r="D65" s="178">
        <v>270</v>
      </c>
      <c r="E65" s="179" t="s">
        <v>322</v>
      </c>
      <c r="F65" s="179" t="s">
        <v>118</v>
      </c>
      <c r="G65" s="212" t="s">
        <v>323</v>
      </c>
      <c r="H65" s="179" t="s">
        <v>314</v>
      </c>
      <c r="I65" s="179" t="s">
        <v>315</v>
      </c>
      <c r="J65" s="179" t="s">
        <v>324</v>
      </c>
      <c r="K65" s="179" t="s">
        <v>226</v>
      </c>
      <c r="L65" s="179"/>
      <c r="M65" s="179" t="str">
        <f>_xlfn.XLOOKUP(Tablo7[[#This Row],[Yan Profili]],Anbar!$J$3:$J$1000,Anbar!$H$3:$H$1000,"Tapilmadi")</f>
        <v>Tapilmadi</v>
      </c>
      <c r="N65" s="179">
        <v>8</v>
      </c>
      <c r="O65" s="179">
        <v>184</v>
      </c>
      <c r="P65" s="179" t="s">
        <v>321</v>
      </c>
      <c r="Q65" s="179" t="str">
        <f>_xlfn.XLOOKUP(Tablo7[[#This Row],[Qulp növü]],Anbar!$J$3:$J$1000,Anbar!$H$3:$H$1000,"Tapilmadi")</f>
        <v>Tapilmadi</v>
      </c>
      <c r="R65" s="179">
        <v>3</v>
      </c>
      <c r="S65" s="180">
        <v>75</v>
      </c>
      <c r="T65" s="181"/>
      <c r="U65" s="179" t="str">
        <f>_xlfn.XLOOKUP(Tablo7[[#This Row],[Petlə]],Anbar!$J$3:$J$1000,Anbar!$H$3:$H$1000,"Tapilmadi")</f>
        <v>Tapilmadi</v>
      </c>
      <c r="V65" s="179">
        <v>12</v>
      </c>
      <c r="W65" s="180">
        <v>48</v>
      </c>
      <c r="X65" s="269">
        <v>0</v>
      </c>
      <c r="Y65" s="179" t="s">
        <v>325</v>
      </c>
      <c r="Z65" s="182"/>
      <c r="AA65" s="180">
        <v>176</v>
      </c>
      <c r="AB65" s="180"/>
      <c r="AC65" s="179" t="str">
        <f>_xlfn.XLOOKUP(Tablo7[[#This Row],[Bağlantı]],Anbar!$J$3:$J$1000,Anbar!$H$3:$H$1000,"Tapilmadi")</f>
        <v>Tapilmadi</v>
      </c>
      <c r="AD65" s="179"/>
      <c r="AE65" s="180">
        <v>24</v>
      </c>
      <c r="AF65" s="180"/>
      <c r="AG65" s="179" t="str">
        <f>_xlfn.XLOOKUP(Tablo7[[#This Row],[Mexanizm]],Anbar!$J$3:$J$1000,Anbar!$H$3:$H$1000,"Tapilmadi")</f>
        <v>Tapilmadi</v>
      </c>
      <c r="AH65" s="179">
        <v>1</v>
      </c>
      <c r="AI65" s="180">
        <v>0</v>
      </c>
      <c r="AJ65" s="180">
        <v>24</v>
      </c>
      <c r="AK65" s="180">
        <v>60</v>
      </c>
      <c r="AL65" s="180">
        <v>0</v>
      </c>
      <c r="AM65" s="180">
        <v>590</v>
      </c>
      <c r="AN65" s="180">
        <v>0</v>
      </c>
      <c r="AO65" s="180">
        <v>590</v>
      </c>
      <c r="AP65" s="194">
        <f>Tablo7[[#This Row],[Ümumi məbləğ]]-Tablo7[[#This Row],[Ödəniş]]-Tablo7[[#This Row],[Endirim]]</f>
        <v>0</v>
      </c>
      <c r="AQ65" s="183" t="str">
        <f t="shared" si="0"/>
        <v>Mesaj</v>
      </c>
      <c r="AR65" s="183" t="str">
        <f t="shared" si="1"/>
        <v>Mesaj</v>
      </c>
      <c r="AS65" s="184" t="str">
        <f>IF(ISNA(VLOOKUP(Tablo7[[#This Row],[Sifariş kodu]],'Kəsim ve təhvil'!$E$5:$E1063,1,0)),"Qəbul edilməyib","Qəbul edilib")</f>
        <v>Qəbul edilməyib</v>
      </c>
      <c r="AT65" s="185" t="str">
        <f>IF(ISNA(VLOOKUP(Tablo7[[#This Row],[Sifariş kodu]],'Kəsim ve təhvil'!$H$5:$H1063,1,0)),"Anbardadır","Təhvil verilib")</f>
        <v>Anbardadır</v>
      </c>
      <c r="AU65" s="186" t="str">
        <f>"Hörmətli *"&amp;Tablo7[[#This Row],[Müştəri]]&amp;"*  ,Sizin *"&amp;G65&amp;"* tarixli sifarişiniz qeydə alındı. Sifariş Məbləğı *"&amp;AM65&amp;" AZN* , Qalıq *"&amp;AP65&amp;" AZN* . Hörmətlə  *AlumPro*"</f>
        <v>Hörmətli *Avni Aydin*  ,Sizin *28,12,2024* tarixli sifarişiniz qeydə alındı. Sifariş Məbləğı *590 AZN* , Qalıq *0 AZN* . Hörmətlə  *AlumPro*</v>
      </c>
      <c r="AV65" s="187" t="str">
        <f>"Hörmətli *"&amp;Tablo7[[#This Row],[Müştəri]]&amp;"* , sizin *"&amp;G65&amp;"* tarixli  sifarişiniz hazırdır . Bizi seçdiyiniz üçün minnətdarıq. Hörmətlə  *AlumPro*."</f>
        <v>Hörmətli *Avni Aydin* , sizin *28,12,2024* tarixli  sifarişiniz hazırdır . Bizi seçdiyiniz üçün minnətdarıq. Hörmətlə  *AlumPro*.</v>
      </c>
      <c r="AW65" s="188" t="str">
        <f t="shared" ref="AW65" si="64">SUBSTITUTE(AX65," ","")</f>
        <v>Avni</v>
      </c>
      <c r="AX65" s="253" t="str">
        <f t="shared" si="2"/>
        <v xml:space="preserve">Avni </v>
      </c>
    </row>
    <row r="66" spans="4:50">
      <c r="D66" s="178">
        <v>269</v>
      </c>
      <c r="E66" s="179" t="s">
        <v>326</v>
      </c>
      <c r="F66" s="179" t="s">
        <v>118</v>
      </c>
      <c r="G66" s="212" t="s">
        <v>323</v>
      </c>
      <c r="H66" s="179" t="s">
        <v>327</v>
      </c>
      <c r="I66" s="179">
        <v>0</v>
      </c>
      <c r="J66" s="179"/>
      <c r="K66" s="179"/>
      <c r="L66" s="179"/>
      <c r="M66" s="179">
        <f>_xlfn.XLOOKUP(Tablo7[[#This Row],[Yan Profili]],Anbar!$J$3:$J$1000,Anbar!$H$3:$H$1000,"Tapilmadi")</f>
        <v>0</v>
      </c>
      <c r="N66" s="179">
        <v>0</v>
      </c>
      <c r="O66" s="179">
        <v>2550</v>
      </c>
      <c r="P66" s="179">
        <v>0</v>
      </c>
      <c r="Q66" s="179" t="str">
        <f>_xlfn.XLOOKUP(Tablo7[[#This Row],[Qulp növü]],Anbar!$J$3:$J$1000,Anbar!$H$3:$H$1000,"Tapilmadi")</f>
        <v>Tapilmadi</v>
      </c>
      <c r="R66" s="179">
        <v>0</v>
      </c>
      <c r="S66" s="180">
        <v>0</v>
      </c>
      <c r="T66" s="181"/>
      <c r="U66" s="179" t="str">
        <f>_xlfn.XLOOKUP(Tablo7[[#This Row],[Petlə]],Anbar!$J$3:$J$1000,Anbar!$H$3:$H$1000,"Tapilmadi")</f>
        <v>Tapilmadi</v>
      </c>
      <c r="V66" s="179">
        <v>0</v>
      </c>
      <c r="W66" s="180">
        <v>0</v>
      </c>
      <c r="X66" s="269">
        <v>0</v>
      </c>
      <c r="Y66" s="179"/>
      <c r="Z66" s="182"/>
      <c r="AA66" s="180">
        <v>0</v>
      </c>
      <c r="AB66" s="180"/>
      <c r="AC66" s="179" t="str">
        <f>_xlfn.XLOOKUP(Tablo7[[#This Row],[Bağlantı]],Anbar!$J$3:$J$1000,Anbar!$H$3:$H$1000,"Tapilmadi")</f>
        <v>Tapilmadi</v>
      </c>
      <c r="AD66" s="179"/>
      <c r="AE66" s="180">
        <v>0</v>
      </c>
      <c r="AF66" s="180"/>
      <c r="AG66" s="179" t="str">
        <f>_xlfn.XLOOKUP(Tablo7[[#This Row],[Mexanizm]],Anbar!$J$3:$J$1000,Anbar!$H$3:$H$1000,"Tapilmadi")</f>
        <v>Tapilmadi</v>
      </c>
      <c r="AH66" s="179">
        <v>1</v>
      </c>
      <c r="AI66" s="180">
        <v>0</v>
      </c>
      <c r="AJ66" s="180">
        <v>0</v>
      </c>
      <c r="AK66" s="180">
        <v>0</v>
      </c>
      <c r="AL66" s="180">
        <v>0</v>
      </c>
      <c r="AM66" s="180">
        <v>2550</v>
      </c>
      <c r="AN66" s="180">
        <v>0</v>
      </c>
      <c r="AO66" s="180">
        <v>2550</v>
      </c>
      <c r="AP66" s="194">
        <f>Tablo7[[#This Row],[Ümumi məbləğ]]-Tablo7[[#This Row],[Ödəniş]]-Tablo7[[#This Row],[Endirim]]</f>
        <v>0</v>
      </c>
      <c r="AQ66" s="183" t="str">
        <f t="shared" si="0"/>
        <v>Mesaj</v>
      </c>
      <c r="AR66" s="183" t="str">
        <f t="shared" si="1"/>
        <v>Mesaj</v>
      </c>
      <c r="AS66" s="184" t="str">
        <f>IF(ISNA(VLOOKUP(Tablo7[[#This Row],[Sifariş kodu]],'Kəsim ve təhvil'!$E$5:$E1064,1,0)),"Qəbul edilməyib","Qəbul edilib")</f>
        <v>Qəbul edilməyib</v>
      </c>
      <c r="AT66" s="185" t="str">
        <f>IF(ISNA(VLOOKUP(Tablo7[[#This Row],[Sifariş kodu]],'Kəsim ve təhvil'!$H$5:$H1064,1,0)),"Anbardadır","Təhvil verilib")</f>
        <v>Anbardadır</v>
      </c>
      <c r="AU66" s="186" t="str">
        <f>"Hörmətli *"&amp;Tablo7[[#This Row],[Müştəri]]&amp;"*  ,Sizin *"&amp;G66&amp;"* tarixli sifarişiniz qeydə alındı. Sifariş Məbləğı *"&amp;AM66&amp;" AZN* , Qalıq *"&amp;AP66&amp;" AZN* . Hörmətlə  *AlumPro*"</f>
        <v>Hörmətli *Elnur Cəlal*  ,Sizin *28,12,2024* tarixli sifarişiniz qeydə alındı. Sifariş Məbləğı *2550 AZN* , Qalıq *0 AZN* . Hörmətlə  *AlumPro*</v>
      </c>
      <c r="AV66" s="187" t="str">
        <f>"Hörmətli *"&amp;Tablo7[[#This Row],[Müştəri]]&amp;"* , sizin *"&amp;G66&amp;"* tarixli  sifarişiniz hazırdır . Bizi seçdiyiniz üçün minnətdarıq. Hörmətlə  *AlumPro*."</f>
        <v>Hörmətli *Elnur Cəlal* , sizin *28,12,2024* tarixli  sifarişiniz hazırdır . Bizi seçdiyiniz üçün minnətdarıq. Hörmətlə  *AlumPro*.</v>
      </c>
      <c r="AW66" s="188" t="str">
        <f t="shared" ref="AW66" si="65">SUBSTITUTE(AX66," ","")</f>
        <v>Elnur</v>
      </c>
      <c r="AX66" s="253" t="str">
        <f t="shared" si="2"/>
        <v xml:space="preserve">Elnur </v>
      </c>
    </row>
    <row r="67" spans="4:50">
      <c r="D67" s="178">
        <v>268</v>
      </c>
      <c r="E67" s="179" t="s">
        <v>328</v>
      </c>
      <c r="F67" s="179" t="s">
        <v>118</v>
      </c>
      <c r="G67" s="212" t="s">
        <v>323</v>
      </c>
      <c r="H67" s="179" t="s">
        <v>201</v>
      </c>
      <c r="I67" s="179" t="s">
        <v>202</v>
      </c>
      <c r="J67" s="179" t="s">
        <v>329</v>
      </c>
      <c r="K67" s="179"/>
      <c r="L67" s="179"/>
      <c r="M67" s="179" t="str">
        <f>_xlfn.XLOOKUP(Tablo7[[#This Row],[Yan Profili]],Anbar!$J$3:$J$1000,Anbar!$H$3:$H$1000,"Tapilmadi")</f>
        <v>Tapilmadi</v>
      </c>
      <c r="N67" s="179">
        <v>5</v>
      </c>
      <c r="O67" s="179">
        <v>115</v>
      </c>
      <c r="P67" s="179">
        <v>0</v>
      </c>
      <c r="Q67" s="179" t="str">
        <f>_xlfn.XLOOKUP(Tablo7[[#This Row],[Qulp növü]],Anbar!$J$3:$J$1000,Anbar!$H$3:$H$1000,"Tapilmadi")</f>
        <v>Tapilmadi</v>
      </c>
      <c r="R67" s="179">
        <v>0</v>
      </c>
      <c r="S67" s="180">
        <v>0</v>
      </c>
      <c r="T67" s="181"/>
      <c r="U67" s="179" t="str">
        <f>_xlfn.XLOOKUP(Tablo7[[#This Row],[Petlə]],Anbar!$J$3:$J$1000,Anbar!$H$3:$H$1000,"Tapilmadi")</f>
        <v>Tapilmadi</v>
      </c>
      <c r="V67" s="179">
        <v>0</v>
      </c>
      <c r="W67" s="180">
        <v>0</v>
      </c>
      <c r="X67" s="269">
        <v>0</v>
      </c>
      <c r="Y67" s="179" t="s">
        <v>36</v>
      </c>
      <c r="Z67" s="182"/>
      <c r="AA67" s="180">
        <v>370</v>
      </c>
      <c r="AB67" s="180"/>
      <c r="AC67" s="179" t="str">
        <f>_xlfn.XLOOKUP(Tablo7[[#This Row],[Bağlantı]],Anbar!$J$3:$J$1000,Anbar!$H$3:$H$1000,"Tapilmadi")</f>
        <v>Tapilmadi</v>
      </c>
      <c r="AD67" s="179"/>
      <c r="AE67" s="180">
        <v>0</v>
      </c>
      <c r="AF67" s="180"/>
      <c r="AG67" s="179" t="str">
        <f>_xlfn.XLOOKUP(Tablo7[[#This Row],[Mexanizm]],Anbar!$J$3:$J$1000,Anbar!$H$3:$H$1000,"Tapilmadi")</f>
        <v>Tapilmadi</v>
      </c>
      <c r="AH67" s="179">
        <v>1</v>
      </c>
      <c r="AI67" s="180">
        <v>0</v>
      </c>
      <c r="AJ67" s="180">
        <v>0</v>
      </c>
      <c r="AK67" s="180">
        <v>360</v>
      </c>
      <c r="AL67" s="180">
        <v>0</v>
      </c>
      <c r="AM67" s="180">
        <v>845</v>
      </c>
      <c r="AN67" s="180">
        <v>0</v>
      </c>
      <c r="AO67" s="180">
        <v>0</v>
      </c>
      <c r="AP67" s="194">
        <f>Tablo7[[#This Row],[Ümumi məbləğ]]-Tablo7[[#This Row],[Ödəniş]]-Tablo7[[#This Row],[Endirim]]</f>
        <v>845</v>
      </c>
      <c r="AQ67" s="183" t="str">
        <f t="shared" ref="AQ67:AQ130" si="66">HYPERLINK("https://web.whatsapp.com/send?phone="&amp;I67&amp;"&amp;text="&amp;AU67,"Mesaj")</f>
        <v>Mesaj</v>
      </c>
      <c r="AR67" s="183" t="str">
        <f t="shared" ref="AR67:AR130" si="67">HYPERLINK("https://web.whatsapp.com/send?phone="&amp;I67&amp;"&amp;text="&amp;AV67,"Mesaj")</f>
        <v>Mesaj</v>
      </c>
      <c r="AS67" s="184" t="str">
        <f>IF(ISNA(VLOOKUP(Tablo7[[#This Row],[Sifariş kodu]],'Kəsim ve təhvil'!$E$5:$E1065,1,0)),"Qəbul edilməyib","Qəbul edilib")</f>
        <v>Qəbul edilməyib</v>
      </c>
      <c r="AT67" s="185" t="str">
        <f>IF(ISNA(VLOOKUP(Tablo7[[#This Row],[Sifariş kodu]],'Kəsim ve təhvil'!$H$5:$H1065,1,0)),"Anbardadır","Təhvil verilib")</f>
        <v>Anbardadır</v>
      </c>
      <c r="AU67" s="186" t="str">
        <f>"Hörmətli *"&amp;Tablo7[[#This Row],[Müştəri]]&amp;"*  ,Sizin *"&amp;G67&amp;"* tarixli sifarişiniz qeydə alındı. Sifariş Məbləğı *"&amp;AM67&amp;" AZN* , Qalıq *"&amp;AP67&amp;" AZN* . Hörmətlə  *AlumPro*"</f>
        <v>Hörmətli *Kandar Palid*  ,Sizin *28,12,2024* tarixli sifarişiniz qeydə alındı. Sifariş Məbləğı *845 AZN* , Qalıq *845 AZN* . Hörmətlə  *AlumPro*</v>
      </c>
      <c r="AV67" s="187" t="str">
        <f>"Hörmətli *"&amp;Tablo7[[#This Row],[Müştəri]]&amp;"* , sizin *"&amp;G67&amp;"* tarixli  sifarişiniz hazırdır . Bizi seçdiyiniz üçün minnətdarıq. Hörmətlə  *AlumPro*."</f>
        <v>Hörmətli *Kandar Palid* , sizin *28,12,2024* tarixli  sifarişiniz hazırdır . Bizi seçdiyiniz üçün minnətdarıq. Hörmətlə  *AlumPro*.</v>
      </c>
      <c r="AW67" s="188" t="str">
        <f t="shared" ref="AW67" si="68">SUBSTITUTE(AX67," ","")</f>
        <v>Kandar</v>
      </c>
      <c r="AX67" s="253" t="str">
        <f t="shared" ref="AX67:AX130" si="69">LEFT(H67,FIND("*",SUBSTITUTE(H67," ","*",1)))</f>
        <v xml:space="preserve">Kandar </v>
      </c>
    </row>
    <row r="68" spans="4:50">
      <c r="D68" s="178">
        <v>267</v>
      </c>
      <c r="E68" s="179" t="s">
        <v>330</v>
      </c>
      <c r="F68" s="179" t="s">
        <v>118</v>
      </c>
      <c r="G68" s="212" t="s">
        <v>323</v>
      </c>
      <c r="H68" s="179" t="s">
        <v>41</v>
      </c>
      <c r="I68" s="179" t="s">
        <v>116</v>
      </c>
      <c r="J68" s="179"/>
      <c r="K68" s="179"/>
      <c r="L68" s="179"/>
      <c r="M68" s="179" t="str">
        <f>_xlfn.XLOOKUP(Tablo7[[#This Row],[Yan Profili]],Anbar!$J$3:$J$1000,Anbar!$H$3:$H$1000,"Tapilmadi")</f>
        <v>Tapilmadi</v>
      </c>
      <c r="N68" s="179">
        <v>0</v>
      </c>
      <c r="O68" s="179">
        <v>576</v>
      </c>
      <c r="P68" s="179">
        <v>0</v>
      </c>
      <c r="Q68" s="179" t="str">
        <f>_xlfn.XLOOKUP(Tablo7[[#This Row],[Qulp növü]],Anbar!$J$3:$J$1000,Anbar!$H$3:$H$1000,"Tapilmadi")</f>
        <v>Tapilmadi</v>
      </c>
      <c r="R68" s="179">
        <v>0</v>
      </c>
      <c r="S68" s="180">
        <v>0</v>
      </c>
      <c r="T68" s="181"/>
      <c r="U68" s="179" t="str">
        <f>_xlfn.XLOOKUP(Tablo7[[#This Row],[Petlə]],Anbar!$J$3:$J$1000,Anbar!$H$3:$H$1000,"Tapilmadi")</f>
        <v>Tapilmadi</v>
      </c>
      <c r="V68" s="179">
        <v>0</v>
      </c>
      <c r="W68" s="180">
        <v>0</v>
      </c>
      <c r="X68" s="269">
        <v>0</v>
      </c>
      <c r="Y68" s="179"/>
      <c r="Z68" s="182"/>
      <c r="AA68" s="180">
        <v>0</v>
      </c>
      <c r="AB68" s="180"/>
      <c r="AC68" s="179" t="str">
        <f>_xlfn.XLOOKUP(Tablo7[[#This Row],[Bağlantı]],Anbar!$J$3:$J$1000,Anbar!$H$3:$H$1000,"Tapilmadi")</f>
        <v>Tapilmadi</v>
      </c>
      <c r="AD68" s="179"/>
      <c r="AE68" s="180">
        <v>0</v>
      </c>
      <c r="AF68" s="180"/>
      <c r="AG68" s="179" t="str">
        <f>_xlfn.XLOOKUP(Tablo7[[#This Row],[Mexanizm]],Anbar!$J$3:$J$1000,Anbar!$H$3:$H$1000,"Tapilmadi")</f>
        <v>Tapilmadi</v>
      </c>
      <c r="AH68" s="179">
        <v>1</v>
      </c>
      <c r="AI68" s="180">
        <v>0</v>
      </c>
      <c r="AJ68" s="180">
        <v>0</v>
      </c>
      <c r="AK68" s="180">
        <v>0</v>
      </c>
      <c r="AL68" s="180">
        <v>0</v>
      </c>
      <c r="AM68" s="180">
        <v>576</v>
      </c>
      <c r="AN68" s="180">
        <v>0</v>
      </c>
      <c r="AO68" s="180">
        <v>0</v>
      </c>
      <c r="AP68" s="194">
        <f>Tablo7[[#This Row],[Ümumi məbləğ]]-Tablo7[[#This Row],[Ödəniş]]-Tablo7[[#This Row],[Endirim]]</f>
        <v>576</v>
      </c>
      <c r="AQ68" s="183" t="str">
        <f t="shared" si="66"/>
        <v>Mesaj</v>
      </c>
      <c r="AR68" s="183" t="str">
        <f t="shared" si="67"/>
        <v>Mesaj</v>
      </c>
      <c r="AS68" s="184" t="str">
        <f>IF(ISNA(VLOOKUP(Tablo7[[#This Row],[Sifariş kodu]],'Kəsim ve təhvil'!$E$5:$E1066,1,0)),"Qəbul edilməyib","Qəbul edilib")</f>
        <v>Qəbul edilməyib</v>
      </c>
      <c r="AT68" s="185" t="str">
        <f>IF(ISNA(VLOOKUP(Tablo7[[#This Row],[Sifariş kodu]],'Kəsim ve təhvil'!$H$5:$H1066,1,0)),"Anbardadır","Təhvil verilib")</f>
        <v>Anbardadır</v>
      </c>
      <c r="AU68" s="186" t="str">
        <f>"Hörmətli *"&amp;Tablo7[[#This Row],[Müştəri]]&amp;"*  ,Sizin *"&amp;G68&amp;"* tarixli sifarişiniz qeydə alındı. Sifariş Məbləğı *"&amp;AM68&amp;" AZN* , Qalıq *"&amp;AP68&amp;" AZN* . Hörmətlə  *AlumPro*"</f>
        <v>Hörmətli *Fariz Faiq*  ,Sizin *28,12,2024* tarixli sifarişiniz qeydə alındı. Sifariş Məbləğı *576 AZN* , Qalıq *576 AZN* . Hörmətlə  *AlumPro*</v>
      </c>
      <c r="AV68" s="187" t="str">
        <f>"Hörmətli *"&amp;Tablo7[[#This Row],[Müştəri]]&amp;"* , sizin *"&amp;G68&amp;"* tarixli  sifarişiniz hazırdır . Bizi seçdiyiniz üçün minnətdarıq. Hörmətlə  *AlumPro*."</f>
        <v>Hörmətli *Fariz Faiq* , sizin *28,12,2024* tarixli  sifarişiniz hazırdır . Bizi seçdiyiniz üçün minnətdarıq. Hörmətlə  *AlumPro*.</v>
      </c>
      <c r="AW68" s="188" t="str">
        <f t="shared" ref="AW68" si="70">SUBSTITUTE(AX68," ","")</f>
        <v>Fariz</v>
      </c>
      <c r="AX68" s="253" t="str">
        <f t="shared" si="69"/>
        <v xml:space="preserve">Fariz </v>
      </c>
    </row>
    <row r="69" spans="4:50">
      <c r="D69" s="178">
        <v>266</v>
      </c>
      <c r="E69" s="179" t="s">
        <v>331</v>
      </c>
      <c r="F69" s="179" t="s">
        <v>118</v>
      </c>
      <c r="G69" s="212" t="s">
        <v>332</v>
      </c>
      <c r="H69" s="179" t="s">
        <v>268</v>
      </c>
      <c r="I69" s="179" t="s">
        <v>269</v>
      </c>
      <c r="J69" s="179" t="s">
        <v>333</v>
      </c>
      <c r="K69" s="179"/>
      <c r="L69" s="179"/>
      <c r="M69" s="179" t="str">
        <f>_xlfn.XLOOKUP(Tablo7[[#This Row],[Yan Profili]],Anbar!$J$3:$J$1000,Anbar!$H$3:$H$1000,"Tapilmadi")</f>
        <v>Tapilmadi</v>
      </c>
      <c r="N69" s="179">
        <v>0</v>
      </c>
      <c r="O69" s="179">
        <v>106</v>
      </c>
      <c r="P69" s="179">
        <v>0</v>
      </c>
      <c r="Q69" s="179" t="str">
        <f>_xlfn.XLOOKUP(Tablo7[[#This Row],[Qulp növü]],Anbar!$J$3:$J$1000,Anbar!$H$3:$H$1000,"Tapilmadi")</f>
        <v>Tapilmadi</v>
      </c>
      <c r="R69" s="179">
        <v>0</v>
      </c>
      <c r="S69" s="180">
        <v>0</v>
      </c>
      <c r="T69" s="181"/>
      <c r="U69" s="179" t="str">
        <f>_xlfn.XLOOKUP(Tablo7[[#This Row],[Petlə]],Anbar!$J$3:$J$1000,Anbar!$H$3:$H$1000,"Tapilmadi")</f>
        <v>Tapilmadi</v>
      </c>
      <c r="V69" s="179">
        <v>0</v>
      </c>
      <c r="W69" s="180">
        <v>0</v>
      </c>
      <c r="X69" s="269">
        <v>0</v>
      </c>
      <c r="Y69" s="179"/>
      <c r="Z69" s="182"/>
      <c r="AA69" s="180">
        <v>0</v>
      </c>
      <c r="AB69" s="180"/>
      <c r="AC69" s="179" t="str">
        <f>_xlfn.XLOOKUP(Tablo7[[#This Row],[Bağlantı]],Anbar!$J$3:$J$1000,Anbar!$H$3:$H$1000,"Tapilmadi")</f>
        <v>Tapilmadi</v>
      </c>
      <c r="AD69" s="179"/>
      <c r="AE69" s="180">
        <v>0</v>
      </c>
      <c r="AF69" s="180"/>
      <c r="AG69" s="179" t="str">
        <f>_xlfn.XLOOKUP(Tablo7[[#This Row],[Mexanizm]],Anbar!$J$3:$J$1000,Anbar!$H$3:$H$1000,"Tapilmadi")</f>
        <v>Tapilmadi</v>
      </c>
      <c r="AH69" s="179">
        <v>1</v>
      </c>
      <c r="AI69" s="180">
        <v>0</v>
      </c>
      <c r="AJ69" s="180">
        <v>0</v>
      </c>
      <c r="AK69" s="180">
        <v>0</v>
      </c>
      <c r="AL69" s="180">
        <v>0</v>
      </c>
      <c r="AM69" s="180">
        <v>106</v>
      </c>
      <c r="AN69" s="180">
        <v>0</v>
      </c>
      <c r="AO69" s="180">
        <v>0</v>
      </c>
      <c r="AP69" s="194">
        <v>106</v>
      </c>
      <c r="AQ69" s="183" t="str">
        <f t="shared" si="66"/>
        <v>Mesaj</v>
      </c>
      <c r="AR69" s="183" t="str">
        <f t="shared" si="67"/>
        <v>Mesaj</v>
      </c>
      <c r="AS69" s="184" t="str">
        <f>IF(ISNA(VLOOKUP(Tablo7[[#This Row],[Sifariş kodu]],'Kəsim ve təhvil'!$E$5:$E1067,1,0)),"Qəbul edilməyib","Qəbul edilib")</f>
        <v>Qəbul edilməyib</v>
      </c>
      <c r="AT69" s="185" t="str">
        <f>IF(ISNA(VLOOKUP(Tablo7[[#This Row],[Sifariş kodu]],'Kəsim ve təhvil'!$H$5:$H1067,1,0)),"Anbardadır","Təhvil verilib")</f>
        <v>Anbardadır</v>
      </c>
      <c r="AU69" s="186" t="str">
        <f>"Hörmətli *"&amp;Tablo7[[#This Row],[Müştəri]]&amp;"*  ,Sizin *"&amp;G69&amp;"* tarixli sifarişiniz qeydə alındı. Sifariş Məbləğı *"&amp;AM69&amp;" AZN* , Qalıq *"&amp;AP69&amp;" AZN* . Hörmətlə  *AlumPro*"</f>
        <v>Hörmətli *Elsever Vusal Gedebey*  ,Sizin *1/3/2025* tarixli sifarişiniz qeydə alındı. Sifariş Məbləğı *106 AZN* , Qalıq *106 AZN* . Hörmətlə  *AlumPro*</v>
      </c>
      <c r="AV69" s="187" t="str">
        <f>"Hörmətli *"&amp;Tablo7[[#This Row],[Müştəri]]&amp;"* , sizin *"&amp;G69&amp;"* tarixli  sifarişiniz hazırdır . Bizi seçdiyiniz üçün minnətdarıq. Hörmətlə  *AlumPro*."</f>
        <v>Hörmətli *Elsever Vusal Gedebey* , sizin *1/3/2025* tarixli  sifarişiniz hazırdır . Bizi seçdiyiniz üçün minnətdarıq. Hörmətlə  *AlumPro*.</v>
      </c>
      <c r="AW69" s="188" t="str">
        <f t="shared" ref="AW69" si="71">SUBSTITUTE(AX69," ","")</f>
        <v>Elsever</v>
      </c>
      <c r="AX69" s="253" t="str">
        <f t="shared" si="69"/>
        <v xml:space="preserve">Elsever </v>
      </c>
    </row>
    <row r="70" spans="4:50">
      <c r="D70" s="178">
        <v>265</v>
      </c>
      <c r="E70" s="179" t="s">
        <v>334</v>
      </c>
      <c r="F70" s="179" t="s">
        <v>118</v>
      </c>
      <c r="G70" s="212" t="s">
        <v>335</v>
      </c>
      <c r="H70" s="179" t="s">
        <v>336</v>
      </c>
      <c r="I70" s="179" t="s">
        <v>337</v>
      </c>
      <c r="J70" s="179"/>
      <c r="K70" s="179"/>
      <c r="L70" s="179"/>
      <c r="M70" s="179" t="str">
        <f>_xlfn.XLOOKUP(Tablo7[[#This Row],[Yan Profili]],Anbar!$J$3:$J$1000,Anbar!$H$3:$H$1000,"Tapilmadi")</f>
        <v>Tapilmadi</v>
      </c>
      <c r="N70" s="179">
        <v>0</v>
      </c>
      <c r="O70" s="179">
        <v>86</v>
      </c>
      <c r="P70" s="179">
        <v>0</v>
      </c>
      <c r="Q70" s="179" t="str">
        <f>_xlfn.XLOOKUP(Tablo7[[#This Row],[Qulp növü]],Anbar!$J$3:$J$1000,Anbar!$H$3:$H$1000,"Tapilmadi")</f>
        <v>Tapilmadi</v>
      </c>
      <c r="R70" s="179">
        <v>0</v>
      </c>
      <c r="S70" s="180">
        <v>0</v>
      </c>
      <c r="T70" s="181"/>
      <c r="U70" s="179" t="str">
        <f>_xlfn.XLOOKUP(Tablo7[[#This Row],[Petlə]],Anbar!$J$3:$J$1000,Anbar!$H$3:$H$1000,"Tapilmadi")</f>
        <v>Tapilmadi</v>
      </c>
      <c r="V70" s="179">
        <v>0</v>
      </c>
      <c r="W70" s="180">
        <v>0</v>
      </c>
      <c r="X70" s="269">
        <v>0</v>
      </c>
      <c r="Y70" s="179"/>
      <c r="Z70" s="182"/>
      <c r="AA70" s="180">
        <v>0</v>
      </c>
      <c r="AB70" s="180"/>
      <c r="AC70" s="179" t="str">
        <f>_xlfn.XLOOKUP(Tablo7[[#This Row],[Bağlantı]],Anbar!$J$3:$J$1000,Anbar!$H$3:$H$1000,"Tapilmadi")</f>
        <v>Tapilmadi</v>
      </c>
      <c r="AD70" s="179"/>
      <c r="AE70" s="180">
        <v>0</v>
      </c>
      <c r="AF70" s="180"/>
      <c r="AG70" s="179" t="str">
        <f>_xlfn.XLOOKUP(Tablo7[[#This Row],[Mexanizm]],Anbar!$J$3:$J$1000,Anbar!$H$3:$H$1000,"Tapilmadi")</f>
        <v>Tapilmadi</v>
      </c>
      <c r="AH70" s="179">
        <v>1</v>
      </c>
      <c r="AI70" s="180">
        <v>0</v>
      </c>
      <c r="AJ70" s="180">
        <v>0</v>
      </c>
      <c r="AK70" s="180">
        <v>0</v>
      </c>
      <c r="AL70" s="180">
        <v>0</v>
      </c>
      <c r="AM70" s="180">
        <v>86</v>
      </c>
      <c r="AN70" s="180">
        <v>0</v>
      </c>
      <c r="AO70" s="180">
        <v>0</v>
      </c>
      <c r="AP70" s="194">
        <f>Tablo7[[#This Row],[Ümumi məbləğ]]-Tablo7[[#This Row],[Ödəniş]]-Tablo7[[#This Row],[Endirim]]</f>
        <v>86</v>
      </c>
      <c r="AQ70" s="183" t="str">
        <f t="shared" si="66"/>
        <v>Mesaj</v>
      </c>
      <c r="AR70" s="183" t="str">
        <f t="shared" si="67"/>
        <v>Mesaj</v>
      </c>
      <c r="AS70" s="184" t="str">
        <f>IF(ISNA(VLOOKUP(Tablo7[[#This Row],[Sifariş kodu]],'Kəsim ve təhvil'!$E$5:$E1068,1,0)),"Qəbul edilməyib","Qəbul edilib")</f>
        <v>Qəbul edilməyib</v>
      </c>
      <c r="AT70" s="185" t="str">
        <f>IF(ISNA(VLOOKUP(Tablo7[[#This Row],[Sifariş kodu]],'Kəsim ve təhvil'!$H$5:$H1068,1,0)),"Anbardadır","Təhvil verilib")</f>
        <v>Anbardadır</v>
      </c>
      <c r="AU70" s="186" t="str">
        <f>"Hörmətli *"&amp;Tablo7[[#This Row],[Müştəri]]&amp;"*  ,Sizin *"&amp;G70&amp;"* tarixli sifarişiniz qeydə alındı. Sifariş Məbləğı *"&amp;AM70&amp;" AZN* , Qalıq *"&amp;AP70&amp;" AZN* . Hörmətlə  *AlumPro*"</f>
        <v>Hörmətli *Eshqin Lastella*  ,Sizin *12/29/2024* tarixli sifarişiniz qeydə alındı. Sifariş Məbləğı *86 AZN* , Qalıq *86 AZN* . Hörmətlə  *AlumPro*</v>
      </c>
      <c r="AV70" s="187" t="str">
        <f>"Hörmətli *"&amp;Tablo7[[#This Row],[Müştəri]]&amp;"* , sizin *"&amp;G70&amp;"* tarixli  sifarişiniz hazırdır . Bizi seçdiyiniz üçün minnətdarıq. Hörmətlə  *AlumPro*."</f>
        <v>Hörmətli *Eshqin Lastella* , sizin *12/29/2024* tarixli  sifarişiniz hazırdır . Bizi seçdiyiniz üçün minnətdarıq. Hörmətlə  *AlumPro*.</v>
      </c>
      <c r="AW70" s="188" t="str">
        <f t="shared" ref="AW70:AW132" si="72">SUBSTITUTE(AX70," ","")</f>
        <v>Eshqin</v>
      </c>
      <c r="AX70" s="253" t="str">
        <f t="shared" si="69"/>
        <v xml:space="preserve">Eshqin </v>
      </c>
    </row>
    <row r="71" spans="4:50">
      <c r="D71" s="178">
        <v>264</v>
      </c>
      <c r="E71" s="179" t="s">
        <v>338</v>
      </c>
      <c r="F71" s="179" t="s">
        <v>339</v>
      </c>
      <c r="G71" s="212" t="s">
        <v>323</v>
      </c>
      <c r="H71" s="179" t="s">
        <v>201</v>
      </c>
      <c r="I71" s="179" t="s">
        <v>202</v>
      </c>
      <c r="J71" s="179"/>
      <c r="K71" s="179" t="s">
        <v>194</v>
      </c>
      <c r="L71" s="179"/>
      <c r="M71" s="179" t="str">
        <f>_xlfn.XLOOKUP(Tablo7[[#This Row],[Yan Profili]],Anbar!$J$3:$J$1000,Anbar!$H$3:$H$1000,"Tapilmadi")</f>
        <v>Tapilmadi</v>
      </c>
      <c r="N71" s="179">
        <v>7</v>
      </c>
      <c r="O71" s="179">
        <v>161</v>
      </c>
      <c r="P71" s="179" t="s">
        <v>195</v>
      </c>
      <c r="Q71" s="179" t="str">
        <f>_xlfn.XLOOKUP(Tablo7[[#This Row],[Qulp növü]],Anbar!$J$3:$J$1000,Anbar!$H$3:$H$1000,"Tapilmadi")</f>
        <v>Tapilmadi</v>
      </c>
      <c r="R71" s="179">
        <v>0</v>
      </c>
      <c r="S71" s="180">
        <v>0</v>
      </c>
      <c r="T71" s="181"/>
      <c r="U71" s="179" t="str">
        <f>_xlfn.XLOOKUP(Tablo7[[#This Row],[Petlə]],Anbar!$J$3:$J$1000,Anbar!$H$3:$H$1000,"Tapilmadi")</f>
        <v>Tapilmadi</v>
      </c>
      <c r="V71" s="179">
        <v>0</v>
      </c>
      <c r="W71" s="180">
        <v>0</v>
      </c>
      <c r="X71" s="269">
        <v>0</v>
      </c>
      <c r="Y71" s="179" t="s">
        <v>276</v>
      </c>
      <c r="Z71" s="182"/>
      <c r="AA71" s="180">
        <v>192</v>
      </c>
      <c r="AB71" s="180"/>
      <c r="AC71" s="179" t="str">
        <f>_xlfn.XLOOKUP(Tablo7[[#This Row],[Bağlantı]],Anbar!$J$3:$J$1000,Anbar!$H$3:$H$1000,"Tapilmadi")</f>
        <v>Tapilmadi</v>
      </c>
      <c r="AD71" s="179"/>
      <c r="AE71" s="180">
        <v>32</v>
      </c>
      <c r="AF71" s="180"/>
      <c r="AG71" s="179" t="str">
        <f>_xlfn.XLOOKUP(Tablo7[[#This Row],[Mexanizm]],Anbar!$J$3:$J$1000,Anbar!$H$3:$H$1000,"Tapilmadi")</f>
        <v>Tapilmadi</v>
      </c>
      <c r="AH71" s="179">
        <v>1</v>
      </c>
      <c r="AI71" s="180">
        <v>0</v>
      </c>
      <c r="AJ71" s="180">
        <v>0</v>
      </c>
      <c r="AK71" s="180">
        <v>55</v>
      </c>
      <c r="AL71" s="180">
        <v>0</v>
      </c>
      <c r="AM71" s="180">
        <v>440</v>
      </c>
      <c r="AN71" s="180">
        <v>0</v>
      </c>
      <c r="AO71" s="180">
        <v>0</v>
      </c>
      <c r="AP71" s="194">
        <f>Tablo7[[#This Row],[Ümumi məbləğ]]-Tablo7[[#This Row],[Ödəniş]]-Tablo7[[#This Row],[Endirim]]</f>
        <v>440</v>
      </c>
      <c r="AQ71" s="183" t="str">
        <f t="shared" si="66"/>
        <v>Mesaj</v>
      </c>
      <c r="AR71" s="183" t="str">
        <f t="shared" si="67"/>
        <v>Mesaj</v>
      </c>
      <c r="AS71" s="184" t="str">
        <f>IF(ISNA(VLOOKUP(Tablo7[[#This Row],[Sifariş kodu]],'Kəsim ve təhvil'!$E$5:$E1069,1,0)),"Qəbul edilməyib","Qəbul edilib")</f>
        <v>Qəbul edilməyib</v>
      </c>
      <c r="AT71" s="185" t="str">
        <f>IF(ISNA(VLOOKUP(Tablo7[[#This Row],[Sifariş kodu]],'Kəsim ve təhvil'!$H$5:$H1069,1,0)),"Anbardadır","Təhvil verilib")</f>
        <v>Anbardadır</v>
      </c>
      <c r="AU71" s="186" t="str">
        <f>"Hörmətli *"&amp;Tablo7[[#This Row],[Müştəri]]&amp;"*  ,Sizin *"&amp;G71&amp;"* tarixli sifarişiniz qeydə alındı. Sifariş Məbləğı *"&amp;AM71&amp;" AZN* , Qalıq *"&amp;AP71&amp;" AZN* . Hörmətlə  *AlumPro*"</f>
        <v>Hörmətli *Kandar Palid*  ,Sizin *28,12,2024* tarixli sifarişiniz qeydə alındı. Sifariş Məbləğı *440 AZN* , Qalıq *440 AZN* . Hörmətlə  *AlumPro*</v>
      </c>
      <c r="AV71" s="187" t="str">
        <f>"Hörmətli *"&amp;Tablo7[[#This Row],[Müştəri]]&amp;"* , sizin *"&amp;G71&amp;"* tarixli  sifarişiniz hazırdır . Bizi seçdiyiniz üçün minnətdarıq. Hörmətlə  *AlumPro*."</f>
        <v>Hörmətli *Kandar Palid* , sizin *28,12,2024* tarixli  sifarişiniz hazırdır . Bizi seçdiyiniz üçün minnətdarıq. Hörmətlə  *AlumPro*.</v>
      </c>
      <c r="AW71" s="188" t="str">
        <f t="shared" si="72"/>
        <v>Kandar</v>
      </c>
      <c r="AX71" s="253" t="str">
        <f t="shared" si="69"/>
        <v xml:space="preserve">Kandar </v>
      </c>
    </row>
    <row r="72" spans="4:50">
      <c r="D72" s="178">
        <v>263</v>
      </c>
      <c r="E72" s="179" t="s">
        <v>340</v>
      </c>
      <c r="F72" s="179" t="s">
        <v>339</v>
      </c>
      <c r="G72" s="212" t="s">
        <v>323</v>
      </c>
      <c r="H72" s="179" t="s">
        <v>341</v>
      </c>
      <c r="I72" s="179" t="s">
        <v>342</v>
      </c>
      <c r="J72" s="179"/>
      <c r="K72" s="179" t="s">
        <v>317</v>
      </c>
      <c r="L72" s="179"/>
      <c r="M72" s="179" t="str">
        <f>_xlfn.XLOOKUP(Tablo7[[#This Row],[Yan Profili]],Anbar!$J$3:$J$1000,Anbar!$H$3:$H$1000,"Tapilmadi")</f>
        <v>Tapilmadi</v>
      </c>
      <c r="N72" s="179">
        <v>6</v>
      </c>
      <c r="O72" s="179">
        <v>1440</v>
      </c>
      <c r="P72" s="179"/>
      <c r="Q72" s="179" t="str">
        <f>_xlfn.XLOOKUP(Tablo7[[#This Row],[Qulp növü]],Anbar!$J$3:$J$1000,Anbar!$H$3:$H$1000,"Tapilmadi")</f>
        <v>Tapilmadi</v>
      </c>
      <c r="R72" s="179">
        <v>0</v>
      </c>
      <c r="S72" s="180">
        <v>0</v>
      </c>
      <c r="T72" s="181" t="s">
        <v>318</v>
      </c>
      <c r="U72" s="179" t="str">
        <f>_xlfn.XLOOKUP(Tablo7[[#This Row],[Petlə]],Anbar!$J$3:$J$1000,Anbar!$H$3:$H$1000,"Tapilmadi")</f>
        <v>Tapilmadi</v>
      </c>
      <c r="V72" s="179">
        <v>18</v>
      </c>
      <c r="W72" s="180">
        <v>1170</v>
      </c>
      <c r="X72" s="269">
        <v>0</v>
      </c>
      <c r="Y72" s="179"/>
      <c r="Z72" s="182"/>
      <c r="AA72" s="180">
        <v>0</v>
      </c>
      <c r="AB72" s="180"/>
      <c r="AC72" s="179" t="str">
        <f>_xlfn.XLOOKUP(Tablo7[[#This Row],[Bağlantı]],Anbar!$J$3:$J$1000,Anbar!$H$3:$H$1000,"Tapilmadi")</f>
        <v>Tapilmadi</v>
      </c>
      <c r="AD72" s="179"/>
      <c r="AE72" s="180">
        <v>0</v>
      </c>
      <c r="AF72" s="180"/>
      <c r="AG72" s="179" t="str">
        <f>_xlfn.XLOOKUP(Tablo7[[#This Row],[Mexanizm]],Anbar!$J$3:$J$1000,Anbar!$H$3:$H$1000,"Tapilmadi")</f>
        <v>Tapilmadi</v>
      </c>
      <c r="AH72" s="179">
        <v>1</v>
      </c>
      <c r="AI72" s="180">
        <v>0</v>
      </c>
      <c r="AJ72" s="180">
        <v>0</v>
      </c>
      <c r="AK72" s="180">
        <v>420</v>
      </c>
      <c r="AL72" s="180">
        <v>0</v>
      </c>
      <c r="AM72" s="180">
        <v>3030</v>
      </c>
      <c r="AN72" s="180">
        <v>0</v>
      </c>
      <c r="AO72" s="180">
        <v>0</v>
      </c>
      <c r="AP72" s="194">
        <f>Tablo7[[#This Row],[Ümumi məbləğ]]-Tablo7[[#This Row],[Ödəniş]]-Tablo7[[#This Row],[Endirim]]</f>
        <v>3030</v>
      </c>
      <c r="AQ72" s="183" t="str">
        <f t="shared" si="66"/>
        <v>Mesaj</v>
      </c>
      <c r="AR72" s="183" t="str">
        <f t="shared" si="67"/>
        <v>Mesaj</v>
      </c>
      <c r="AS72" s="184" t="str">
        <f>IF(ISNA(VLOOKUP(Tablo7[[#This Row],[Sifariş kodu]],'Kəsim ve təhvil'!$E$5:$E1070,1,0)),"Qəbul edilməyib","Qəbul edilib")</f>
        <v>Qəbul edilməyib</v>
      </c>
      <c r="AT72" s="185" t="str">
        <f>IF(ISNA(VLOOKUP(Tablo7[[#This Row],[Sifariş kodu]],'Kəsim ve təhvil'!$H$5:$H1070,1,0)),"Anbardadır","Təhvil verilib")</f>
        <v>Anbardadır</v>
      </c>
      <c r="AU72" s="186" t="str">
        <f>"Hörmətli *"&amp;Tablo7[[#This Row],[Müştəri]]&amp;"*  ,Sizin *"&amp;G72&amp;"* tarixli sifarişiniz qeydə alındı. Sifariş Məbləğı *"&amp;AM72&amp;" AZN* , Qalıq *"&amp;AP72&amp;" AZN* . Hörmətlə  *AlumPro*"</f>
        <v>Hörmətli *Cavid Kahveci*  ,Sizin *28,12,2024* tarixli sifarişiniz qeydə alındı. Sifariş Məbləğı *3030 AZN* , Qalıq *3030 AZN* . Hörmətlə  *AlumPro*</v>
      </c>
      <c r="AV72" s="187" t="str">
        <f>"Hörmətli *"&amp;Tablo7[[#This Row],[Müştəri]]&amp;"* , sizin *"&amp;G72&amp;"* tarixli  sifarişiniz hazırdır . Bizi seçdiyiniz üçün minnətdarıq. Hörmətlə  *AlumPro*."</f>
        <v>Hörmətli *Cavid Kahveci* , sizin *28,12,2024* tarixli  sifarişiniz hazırdır . Bizi seçdiyiniz üçün minnətdarıq. Hörmətlə  *AlumPro*.</v>
      </c>
      <c r="AW72" s="188" t="str">
        <f t="shared" si="72"/>
        <v>Cavid</v>
      </c>
      <c r="AX72" s="253" t="str">
        <f t="shared" si="69"/>
        <v xml:space="preserve">Cavid </v>
      </c>
    </row>
    <row r="73" spans="4:50">
      <c r="D73" s="178">
        <v>262</v>
      </c>
      <c r="E73" s="179" t="s">
        <v>343</v>
      </c>
      <c r="F73" s="179" t="s">
        <v>339</v>
      </c>
      <c r="G73" s="212" t="s">
        <v>323</v>
      </c>
      <c r="H73" s="179" t="s">
        <v>158</v>
      </c>
      <c r="I73" s="179" t="s">
        <v>159</v>
      </c>
      <c r="J73" s="179"/>
      <c r="K73" s="179"/>
      <c r="L73" s="179"/>
      <c r="M73" s="179" t="str">
        <f>_xlfn.XLOOKUP(Tablo7[[#This Row],[Yan Profili]],Anbar!$J$3:$J$1000,Anbar!$H$3:$H$1000,"Tapilmadi")</f>
        <v>Tapilmadi</v>
      </c>
      <c r="N73" s="179">
        <v>0</v>
      </c>
      <c r="O73" s="179">
        <v>8242</v>
      </c>
      <c r="P73" s="179">
        <v>0</v>
      </c>
      <c r="Q73" s="179" t="str">
        <f>_xlfn.XLOOKUP(Tablo7[[#This Row],[Qulp növü]],Anbar!$J$3:$J$1000,Anbar!$H$3:$H$1000,"Tapilmadi")</f>
        <v>Tapilmadi</v>
      </c>
      <c r="R73" s="179">
        <v>0</v>
      </c>
      <c r="S73" s="180">
        <v>0</v>
      </c>
      <c r="T73" s="181"/>
      <c r="U73" s="179" t="str">
        <f>_xlfn.XLOOKUP(Tablo7[[#This Row],[Petlə]],Anbar!$J$3:$J$1000,Anbar!$H$3:$H$1000,"Tapilmadi")</f>
        <v>Tapilmadi</v>
      </c>
      <c r="V73" s="179">
        <v>0</v>
      </c>
      <c r="W73" s="180">
        <v>0</v>
      </c>
      <c r="X73" s="269">
        <v>0</v>
      </c>
      <c r="Y73" s="179"/>
      <c r="Z73" s="182"/>
      <c r="AA73" s="180">
        <v>0</v>
      </c>
      <c r="AB73" s="180"/>
      <c r="AC73" s="179" t="str">
        <f>_xlfn.XLOOKUP(Tablo7[[#This Row],[Bağlantı]],Anbar!$J$3:$J$1000,Anbar!$H$3:$H$1000,"Tapilmadi")</f>
        <v>Tapilmadi</v>
      </c>
      <c r="AD73" s="179"/>
      <c r="AE73" s="180">
        <v>0</v>
      </c>
      <c r="AF73" s="180"/>
      <c r="AG73" s="179" t="str">
        <f>_xlfn.XLOOKUP(Tablo7[[#This Row],[Mexanizm]],Anbar!$J$3:$J$1000,Anbar!$H$3:$H$1000,"Tapilmadi")</f>
        <v>Tapilmadi</v>
      </c>
      <c r="AH73" s="179">
        <v>1</v>
      </c>
      <c r="AI73" s="180">
        <v>0</v>
      </c>
      <c r="AJ73" s="180">
        <v>0</v>
      </c>
      <c r="AK73" s="180">
        <v>0</v>
      </c>
      <c r="AL73" s="180">
        <v>0</v>
      </c>
      <c r="AM73" s="180">
        <v>8242</v>
      </c>
      <c r="AN73" s="180">
        <v>0</v>
      </c>
      <c r="AO73" s="180">
        <v>2000</v>
      </c>
      <c r="AP73" s="194">
        <f>Tablo7[[#This Row],[Ümumi məbləğ]]-Tablo7[[#This Row],[Ödəniş]]-Tablo7[[#This Row],[Endirim]]</f>
        <v>6242</v>
      </c>
      <c r="AQ73" s="183" t="str">
        <f t="shared" si="66"/>
        <v>Mesaj</v>
      </c>
      <c r="AR73" s="183" t="str">
        <f t="shared" si="67"/>
        <v>Mesaj</v>
      </c>
      <c r="AS73" s="184" t="str">
        <f>IF(ISNA(VLOOKUP(Tablo7[[#This Row],[Sifariş kodu]],'Kəsim ve təhvil'!$E$5:$E1071,1,0)),"Qəbul edilməyib","Qəbul edilib")</f>
        <v>Qəbul edilməyib</v>
      </c>
      <c r="AT73" s="185" t="str">
        <f>IF(ISNA(VLOOKUP(Tablo7[[#This Row],[Sifariş kodu]],'Kəsim ve təhvil'!$H$5:$H1071,1,0)),"Anbardadır","Təhvil verilib")</f>
        <v>Anbardadır</v>
      </c>
      <c r="AU73" s="186" t="str">
        <f>"Hörmətli *"&amp;Tablo7[[#This Row],[Müştəri]]&amp;"*  ,Sizin *"&amp;G73&amp;"* tarixli sifarişiniz qeydə alındı. Sifariş Məbləğı *"&amp;AM73&amp;" AZN* , Qalıq *"&amp;AP73&amp;" AZN* . Hörmətlə  *AlumPro*"</f>
        <v>Hörmətli *My Concept*  ,Sizin *28,12,2024* tarixli sifarişiniz qeydə alındı. Sifariş Məbləğı *8242 AZN* , Qalıq *6242 AZN* . Hörmətlə  *AlumPro*</v>
      </c>
      <c r="AV73" s="187" t="str">
        <f>"Hörmətli *"&amp;Tablo7[[#This Row],[Müştəri]]&amp;"* , sizin *"&amp;G73&amp;"* tarixli  sifarişiniz hazırdır . Bizi seçdiyiniz üçün minnətdarıq. Hörmətlə  *AlumPro*."</f>
        <v>Hörmətli *My Concept* , sizin *28,12,2024* tarixli  sifarişiniz hazırdır . Bizi seçdiyiniz üçün minnətdarıq. Hörmətlə  *AlumPro*.</v>
      </c>
      <c r="AW73" s="188" t="str">
        <f t="shared" si="72"/>
        <v>My</v>
      </c>
      <c r="AX73" s="253" t="str">
        <f t="shared" si="69"/>
        <v xml:space="preserve">My </v>
      </c>
    </row>
    <row r="74" spans="4:50">
      <c r="D74" s="178">
        <v>261</v>
      </c>
      <c r="E74" s="179" t="s">
        <v>344</v>
      </c>
      <c r="F74" s="179" t="s">
        <v>339</v>
      </c>
      <c r="G74" s="212" t="s">
        <v>323</v>
      </c>
      <c r="H74" s="179" t="s">
        <v>345</v>
      </c>
      <c r="I74" s="179" t="s">
        <v>346</v>
      </c>
      <c r="J74" s="179"/>
      <c r="K74" s="179"/>
      <c r="L74" s="179"/>
      <c r="M74" s="179">
        <f>_xlfn.XLOOKUP(Tablo7[[#This Row],[Yan Profili]],Anbar!$J$3:$J$1000,Anbar!$H$3:$H$1000,"Tapilmadi")</f>
        <v>0</v>
      </c>
      <c r="N74" s="179">
        <v>0</v>
      </c>
      <c r="O74" s="179">
        <v>50</v>
      </c>
      <c r="P74" s="179">
        <v>0</v>
      </c>
      <c r="Q74" s="179" t="str">
        <f>_xlfn.XLOOKUP(Tablo7[[#This Row],[Qulp növü]],Anbar!$J$3:$J$1000,Anbar!$H$3:$H$1000,"Tapilmadi")</f>
        <v>Tapilmadi</v>
      </c>
      <c r="R74" s="179">
        <v>0</v>
      </c>
      <c r="S74" s="180">
        <v>0</v>
      </c>
      <c r="T74" s="181"/>
      <c r="U74" s="179" t="str">
        <f>_xlfn.XLOOKUP(Tablo7[[#This Row],[Petlə]],Anbar!$J$3:$J$1000,Anbar!$H$3:$H$1000,"Tapilmadi")</f>
        <v>Tapilmadi</v>
      </c>
      <c r="V74" s="179">
        <v>0</v>
      </c>
      <c r="W74" s="180">
        <v>0</v>
      </c>
      <c r="X74" s="269">
        <v>0</v>
      </c>
      <c r="Y74" s="179"/>
      <c r="Z74" s="182"/>
      <c r="AA74" s="180">
        <v>0</v>
      </c>
      <c r="AB74" s="180"/>
      <c r="AC74" s="179" t="str">
        <f>_xlfn.XLOOKUP(Tablo7[[#This Row],[Bağlantı]],Anbar!$J$3:$J$1000,Anbar!$H$3:$H$1000,"Tapilmadi")</f>
        <v>Tapilmadi</v>
      </c>
      <c r="AD74" s="179"/>
      <c r="AE74" s="180">
        <v>0</v>
      </c>
      <c r="AF74" s="180"/>
      <c r="AG74" s="179" t="str">
        <f>_xlfn.XLOOKUP(Tablo7[[#This Row],[Mexanizm]],Anbar!$J$3:$J$1000,Anbar!$H$3:$H$1000,"Tapilmadi")</f>
        <v>Tapilmadi</v>
      </c>
      <c r="AH74" s="179">
        <v>1</v>
      </c>
      <c r="AI74" s="180">
        <v>0</v>
      </c>
      <c r="AJ74" s="180">
        <v>0</v>
      </c>
      <c r="AK74" s="180">
        <v>0</v>
      </c>
      <c r="AL74" s="180">
        <v>0</v>
      </c>
      <c r="AM74" s="180">
        <v>50</v>
      </c>
      <c r="AN74" s="180">
        <v>0</v>
      </c>
      <c r="AO74" s="180">
        <v>50</v>
      </c>
      <c r="AP74" s="194">
        <f>Tablo7[[#This Row],[Ümumi məbləğ]]-Tablo7[[#This Row],[Ödəniş]]-Tablo7[[#This Row],[Endirim]]</f>
        <v>0</v>
      </c>
      <c r="AQ74" s="183" t="str">
        <f t="shared" si="66"/>
        <v>Mesaj</v>
      </c>
      <c r="AR74" s="183" t="str">
        <f t="shared" si="67"/>
        <v>Mesaj</v>
      </c>
      <c r="AS74" s="184" t="str">
        <f>IF(ISNA(VLOOKUP(Tablo7[[#This Row],[Sifariş kodu]],'Kəsim ve təhvil'!$E$5:$E1072,1,0)),"Qəbul edilməyib","Qəbul edilib")</f>
        <v>Qəbul edilməyib</v>
      </c>
      <c r="AT74" s="185" t="str">
        <f>IF(ISNA(VLOOKUP(Tablo7[[#This Row],[Sifariş kodu]],'Kəsim ve təhvil'!$H$5:$H1072,1,0)),"Anbardadır","Təhvil verilib")</f>
        <v>Anbardadır</v>
      </c>
      <c r="AU74" s="186" t="str">
        <f>"Hörmətli *"&amp;Tablo7[[#This Row],[Müştəri]]&amp;"*  ,Sizin *"&amp;G74&amp;"* tarixli sifarişiniz qeydə alındı. Sifariş Məbləğı *"&amp;AM74&amp;" AZN* , Qalıq *"&amp;AP74&amp;" AZN* . Hörmətlə  *AlumPro*"</f>
        <v>Hörmətli *Vusal Nusalov*  ,Sizin *28,12,2024* tarixli sifarişiniz qeydə alındı. Sifariş Məbləğı *50 AZN* , Qalıq *0 AZN* . Hörmətlə  *AlumPro*</v>
      </c>
      <c r="AV74" s="187" t="str">
        <f>"Hörmətli *"&amp;Tablo7[[#This Row],[Müştəri]]&amp;"* , sizin *"&amp;G74&amp;"* tarixli  sifarişiniz hazırdır . Bizi seçdiyiniz üçün minnətdarıq. Hörmətlə  *AlumPro*."</f>
        <v>Hörmətli *Vusal Nusalov* , sizin *28,12,2024* tarixli  sifarişiniz hazırdır . Bizi seçdiyiniz üçün minnətdarıq. Hörmətlə  *AlumPro*.</v>
      </c>
      <c r="AW74" s="188" t="str">
        <f t="shared" si="72"/>
        <v>Vusal</v>
      </c>
      <c r="AX74" s="253" t="str">
        <f t="shared" si="69"/>
        <v xml:space="preserve">Vusal </v>
      </c>
    </row>
    <row r="75" spans="4:50">
      <c r="D75" s="178">
        <v>260</v>
      </c>
      <c r="E75" s="179" t="s">
        <v>347</v>
      </c>
      <c r="F75" s="179" t="s">
        <v>339</v>
      </c>
      <c r="G75" s="212" t="s">
        <v>323</v>
      </c>
      <c r="H75" s="179" t="s">
        <v>345</v>
      </c>
      <c r="I75" s="179" t="s">
        <v>346</v>
      </c>
      <c r="J75" s="179"/>
      <c r="K75" s="179"/>
      <c r="L75" s="179"/>
      <c r="M75" s="179" t="str">
        <f>_xlfn.XLOOKUP(Tablo7[[#This Row],[Yan Profili]],Anbar!$J$3:$J$1000,Anbar!$H$3:$H$1000,"Tapilmadi")</f>
        <v>Tapilmadi</v>
      </c>
      <c r="N75" s="179">
        <v>0</v>
      </c>
      <c r="O75" s="179">
        <v>86</v>
      </c>
      <c r="P75" s="179">
        <v>0</v>
      </c>
      <c r="Q75" s="179" t="str">
        <f>_xlfn.XLOOKUP(Tablo7[[#This Row],[Qulp növü]],Anbar!$J$3:$J$1000,Anbar!$H$3:$H$1000,"Tapilmadi")</f>
        <v>Tapilmadi</v>
      </c>
      <c r="R75" s="179">
        <v>0</v>
      </c>
      <c r="S75" s="180">
        <v>0</v>
      </c>
      <c r="T75" s="181"/>
      <c r="U75" s="179" t="str">
        <f>_xlfn.XLOOKUP(Tablo7[[#This Row],[Petlə]],Anbar!$J$3:$J$1000,Anbar!$H$3:$H$1000,"Tapilmadi")</f>
        <v>Tapilmadi</v>
      </c>
      <c r="V75" s="179">
        <v>0</v>
      </c>
      <c r="W75" s="180">
        <v>0</v>
      </c>
      <c r="X75" s="269">
        <v>0</v>
      </c>
      <c r="Y75" s="179"/>
      <c r="Z75" s="182"/>
      <c r="AA75" s="180">
        <v>0</v>
      </c>
      <c r="AB75" s="180"/>
      <c r="AC75" s="179" t="str">
        <f>_xlfn.XLOOKUP(Tablo7[[#This Row],[Bağlantı]],Anbar!$J$3:$J$1000,Anbar!$H$3:$H$1000,"Tapilmadi")</f>
        <v>Tapilmadi</v>
      </c>
      <c r="AD75" s="179"/>
      <c r="AE75" s="180">
        <v>0</v>
      </c>
      <c r="AF75" s="180"/>
      <c r="AG75" s="179" t="str">
        <f>_xlfn.XLOOKUP(Tablo7[[#This Row],[Mexanizm]],Anbar!$J$3:$J$1000,Anbar!$H$3:$H$1000,"Tapilmadi")</f>
        <v>Tapilmadi</v>
      </c>
      <c r="AH75" s="179">
        <v>1</v>
      </c>
      <c r="AI75" s="180">
        <v>0</v>
      </c>
      <c r="AJ75" s="180">
        <v>0</v>
      </c>
      <c r="AK75" s="180">
        <v>0</v>
      </c>
      <c r="AL75" s="180">
        <v>0</v>
      </c>
      <c r="AM75" s="180">
        <v>86</v>
      </c>
      <c r="AN75" s="180">
        <v>0</v>
      </c>
      <c r="AO75" s="180">
        <v>86</v>
      </c>
      <c r="AP75" s="194">
        <f>Tablo7[[#This Row],[Ümumi məbləğ]]-Tablo7[[#This Row],[Ödəniş]]-Tablo7[[#This Row],[Endirim]]</f>
        <v>0</v>
      </c>
      <c r="AQ75" s="183" t="str">
        <f t="shared" si="66"/>
        <v>Mesaj</v>
      </c>
      <c r="AR75" s="183" t="str">
        <f t="shared" si="67"/>
        <v>Mesaj</v>
      </c>
      <c r="AS75" s="184" t="str">
        <f>IF(ISNA(VLOOKUP(Tablo7[[#This Row],[Sifariş kodu]],'Kəsim ve təhvil'!$E$5:$E1073,1,0)),"Qəbul edilməyib","Qəbul edilib")</f>
        <v>Qəbul edilməyib</v>
      </c>
      <c r="AT75" s="185" t="str">
        <f>IF(ISNA(VLOOKUP(Tablo7[[#This Row],[Sifariş kodu]],'Kəsim ve təhvil'!$H$5:$H1073,1,0)),"Anbardadır","Təhvil verilib")</f>
        <v>Anbardadır</v>
      </c>
      <c r="AU75" s="186" t="str">
        <f>"Hörmətli *"&amp;Tablo7[[#This Row],[Müştəri]]&amp;"*  ,Sizin *"&amp;G75&amp;"* tarixli sifarişiniz qeydə alındı. Sifariş Məbləğı *"&amp;AM75&amp;" AZN* , Qalıq *"&amp;AP75&amp;" AZN* . Hörmətlə  *AlumPro*"</f>
        <v>Hörmətli *Vusal Nusalov*  ,Sizin *28,12,2024* tarixli sifarişiniz qeydə alındı. Sifariş Məbləğı *86 AZN* , Qalıq *0 AZN* . Hörmətlə  *AlumPro*</v>
      </c>
      <c r="AV75" s="187" t="str">
        <f>"Hörmətli *"&amp;Tablo7[[#This Row],[Müştəri]]&amp;"* , sizin *"&amp;G75&amp;"* tarixli  sifarişiniz hazırdır . Bizi seçdiyiniz üçün minnətdarıq. Hörmətlə  *AlumPro*."</f>
        <v>Hörmətli *Vusal Nusalov* , sizin *28,12,2024* tarixli  sifarişiniz hazırdır . Bizi seçdiyiniz üçün minnətdarıq. Hörmətlə  *AlumPro*.</v>
      </c>
      <c r="AW75" s="188" t="str">
        <f t="shared" si="72"/>
        <v>Vusal</v>
      </c>
      <c r="AX75" s="253" t="str">
        <f t="shared" si="69"/>
        <v xml:space="preserve">Vusal </v>
      </c>
    </row>
    <row r="76" spans="4:50">
      <c r="D76" s="178">
        <v>259</v>
      </c>
      <c r="E76" s="179" t="s">
        <v>348</v>
      </c>
      <c r="F76" s="179" t="s">
        <v>339</v>
      </c>
      <c r="G76" s="212" t="s">
        <v>323</v>
      </c>
      <c r="H76" s="179" t="s">
        <v>349</v>
      </c>
      <c r="I76" s="179" t="s">
        <v>350</v>
      </c>
      <c r="J76" s="179"/>
      <c r="K76" s="179"/>
      <c r="L76" s="179"/>
      <c r="M76" s="179" t="str">
        <f>_xlfn.XLOOKUP(Tablo7[[#This Row],[Yan Profili]],Anbar!$J$3:$J$1000,Anbar!$H$3:$H$1000,"Tapilmadi")</f>
        <v>Tapilmadi</v>
      </c>
      <c r="N76" s="179">
        <v>0</v>
      </c>
      <c r="O76" s="179">
        <v>170</v>
      </c>
      <c r="P76" s="179">
        <v>0</v>
      </c>
      <c r="Q76" s="179" t="str">
        <f>_xlfn.XLOOKUP(Tablo7[[#This Row],[Qulp növü]],Anbar!$J$3:$J$1000,Anbar!$H$3:$H$1000,"Tapilmadi")</f>
        <v>Tapilmadi</v>
      </c>
      <c r="R76" s="179">
        <v>0</v>
      </c>
      <c r="S76" s="180">
        <v>0</v>
      </c>
      <c r="T76" s="181"/>
      <c r="U76" s="179" t="str">
        <f>_xlfn.XLOOKUP(Tablo7[[#This Row],[Petlə]],Anbar!$J$3:$J$1000,Anbar!$H$3:$H$1000,"Tapilmadi")</f>
        <v>Tapilmadi</v>
      </c>
      <c r="V76" s="179">
        <v>0</v>
      </c>
      <c r="W76" s="180">
        <v>0</v>
      </c>
      <c r="X76" s="269">
        <v>0</v>
      </c>
      <c r="Y76" s="179"/>
      <c r="Z76" s="182"/>
      <c r="AA76" s="180">
        <v>0</v>
      </c>
      <c r="AB76" s="180"/>
      <c r="AC76" s="179" t="str">
        <f>_xlfn.XLOOKUP(Tablo7[[#This Row],[Bağlantı]],Anbar!$J$3:$J$1000,Anbar!$H$3:$H$1000,"Tapilmadi")</f>
        <v>Tapilmadi</v>
      </c>
      <c r="AD76" s="179"/>
      <c r="AE76" s="180">
        <v>0</v>
      </c>
      <c r="AF76" s="180"/>
      <c r="AG76" s="179" t="str">
        <f>_xlfn.XLOOKUP(Tablo7[[#This Row],[Mexanizm]],Anbar!$J$3:$J$1000,Anbar!$H$3:$H$1000,"Tapilmadi")</f>
        <v>Tapilmadi</v>
      </c>
      <c r="AH76" s="179">
        <v>1</v>
      </c>
      <c r="AI76" s="180">
        <v>0</v>
      </c>
      <c r="AJ76" s="180">
        <v>0</v>
      </c>
      <c r="AK76" s="180">
        <v>0</v>
      </c>
      <c r="AL76" s="180">
        <v>0</v>
      </c>
      <c r="AM76" s="180">
        <v>170</v>
      </c>
      <c r="AN76" s="180">
        <v>0</v>
      </c>
      <c r="AO76" s="180">
        <v>170</v>
      </c>
      <c r="AP76" s="194">
        <f>Tablo7[[#This Row],[Ümumi məbləğ]]-Tablo7[[#This Row],[Ödəniş]]-Tablo7[[#This Row],[Endirim]]</f>
        <v>0</v>
      </c>
      <c r="AQ76" s="183" t="str">
        <f t="shared" si="66"/>
        <v>Mesaj</v>
      </c>
      <c r="AR76" s="183" t="str">
        <f t="shared" si="67"/>
        <v>Mesaj</v>
      </c>
      <c r="AS76" s="184" t="str">
        <f>IF(ISNA(VLOOKUP(Tablo7[[#This Row],[Sifariş kodu]],'Kəsim ve təhvil'!$E$5:$E1074,1,0)),"Qəbul edilməyib","Qəbul edilib")</f>
        <v>Qəbul edilməyib</v>
      </c>
      <c r="AT76" s="185" t="str">
        <f>IF(ISNA(VLOOKUP(Tablo7[[#This Row],[Sifariş kodu]],'Kəsim ve təhvil'!$H$5:$H1074,1,0)),"Anbardadır","Təhvil verilib")</f>
        <v>Anbardadır</v>
      </c>
      <c r="AU76" s="186" t="str">
        <f>"Hörmətli *"&amp;Tablo7[[#This Row],[Müştəri]]&amp;"*  ,Sizin *"&amp;G76&amp;"* tarixli sifarişiniz qeydə alındı. Sifariş Məbləğı *"&amp;AM76&amp;" AZN* , Qalıq *"&amp;AP76&amp;" AZN* . Hörmətlə  *AlumPro*"</f>
        <v>Hörmətli *Cosqun Mebel Sex*  ,Sizin *28,12,2024* tarixli sifarişiniz qeydə alındı. Sifariş Məbləğı *170 AZN* , Qalıq *0 AZN* . Hörmətlə  *AlumPro*</v>
      </c>
      <c r="AV76" s="187" t="str">
        <f>"Hörmətli *"&amp;Tablo7[[#This Row],[Müştəri]]&amp;"* , sizin *"&amp;G76&amp;"* tarixli  sifarişiniz hazırdır . Bizi seçdiyiniz üçün minnətdarıq. Hörmətlə  *AlumPro*."</f>
        <v>Hörmətli *Cosqun Mebel Sex* , sizin *28,12,2024* tarixli  sifarişiniz hazırdır . Bizi seçdiyiniz üçün minnətdarıq. Hörmətlə  *AlumPro*.</v>
      </c>
      <c r="AW76" s="188" t="str">
        <f t="shared" si="72"/>
        <v>Cosqun</v>
      </c>
      <c r="AX76" s="253" t="str">
        <f t="shared" si="69"/>
        <v xml:space="preserve">Cosqun </v>
      </c>
    </row>
    <row r="77" spans="4:50">
      <c r="D77" s="178">
        <v>258</v>
      </c>
      <c r="E77" s="179" t="s">
        <v>351</v>
      </c>
      <c r="F77" s="179" t="s">
        <v>339</v>
      </c>
      <c r="G77" s="212" t="s">
        <v>323</v>
      </c>
      <c r="H77" s="179" t="s">
        <v>349</v>
      </c>
      <c r="I77" s="179" t="s">
        <v>350</v>
      </c>
      <c r="J77" s="179"/>
      <c r="K77" s="179"/>
      <c r="L77" s="179"/>
      <c r="M77" s="179" t="str">
        <f>_xlfn.XLOOKUP(Tablo7[[#This Row],[Yan Profili]],Anbar!$J$3:$J$1000,Anbar!$H$3:$H$1000,"Tapilmadi")</f>
        <v>Tapilmadi</v>
      </c>
      <c r="N77" s="179">
        <v>0</v>
      </c>
      <c r="O77" s="179">
        <v>300</v>
      </c>
      <c r="P77" s="179">
        <v>0</v>
      </c>
      <c r="Q77" s="179" t="str">
        <f>_xlfn.XLOOKUP(Tablo7[[#This Row],[Qulp növü]],Anbar!$J$3:$J$1000,Anbar!$H$3:$H$1000,"Tapilmadi")</f>
        <v>Tapilmadi</v>
      </c>
      <c r="R77" s="179">
        <v>0</v>
      </c>
      <c r="S77" s="180">
        <v>0</v>
      </c>
      <c r="T77" s="181"/>
      <c r="U77" s="179" t="str">
        <f>_xlfn.XLOOKUP(Tablo7[[#This Row],[Petlə]],Anbar!$J$3:$J$1000,Anbar!$H$3:$H$1000,"Tapilmadi")</f>
        <v>Tapilmadi</v>
      </c>
      <c r="V77" s="179">
        <v>0</v>
      </c>
      <c r="W77" s="180">
        <v>0</v>
      </c>
      <c r="X77" s="269">
        <v>0</v>
      </c>
      <c r="Y77" s="179"/>
      <c r="Z77" s="182"/>
      <c r="AA77" s="180">
        <v>0</v>
      </c>
      <c r="AB77" s="180"/>
      <c r="AC77" s="179" t="str">
        <f>_xlfn.XLOOKUP(Tablo7[[#This Row],[Bağlantı]],Anbar!$J$3:$J$1000,Anbar!$H$3:$H$1000,"Tapilmadi")</f>
        <v>Tapilmadi</v>
      </c>
      <c r="AD77" s="179"/>
      <c r="AE77" s="180">
        <v>0</v>
      </c>
      <c r="AF77" s="180"/>
      <c r="AG77" s="179" t="str">
        <f>_xlfn.XLOOKUP(Tablo7[[#This Row],[Mexanizm]],Anbar!$J$3:$J$1000,Anbar!$H$3:$H$1000,"Tapilmadi")</f>
        <v>Tapilmadi</v>
      </c>
      <c r="AH77" s="179">
        <v>1</v>
      </c>
      <c r="AI77" s="180">
        <v>0</v>
      </c>
      <c r="AJ77" s="180">
        <v>0</v>
      </c>
      <c r="AK77" s="180">
        <v>0</v>
      </c>
      <c r="AL77" s="180">
        <v>0</v>
      </c>
      <c r="AM77" s="180">
        <v>300</v>
      </c>
      <c r="AN77" s="180">
        <v>0</v>
      </c>
      <c r="AO77" s="180">
        <v>300</v>
      </c>
      <c r="AP77" s="194">
        <f>Tablo7[[#This Row],[Ümumi məbləğ]]-Tablo7[[#This Row],[Ödəniş]]-Tablo7[[#This Row],[Endirim]]</f>
        <v>0</v>
      </c>
      <c r="AQ77" s="183" t="str">
        <f t="shared" si="66"/>
        <v>Mesaj</v>
      </c>
      <c r="AR77" s="183" t="str">
        <f t="shared" si="67"/>
        <v>Mesaj</v>
      </c>
      <c r="AS77" s="184" t="str">
        <f>IF(ISNA(VLOOKUP(Tablo7[[#This Row],[Sifariş kodu]],'Kəsim ve təhvil'!$E$5:$E1075,1,0)),"Qəbul edilməyib","Qəbul edilib")</f>
        <v>Qəbul edilməyib</v>
      </c>
      <c r="AT77" s="185" t="str">
        <f>IF(ISNA(VLOOKUP(Tablo7[[#This Row],[Sifariş kodu]],'Kəsim ve təhvil'!$H$5:$H1075,1,0)),"Anbardadır","Təhvil verilib")</f>
        <v>Anbardadır</v>
      </c>
      <c r="AU77" s="186" t="str">
        <f>"Hörmətli *"&amp;Tablo7[[#This Row],[Müştəri]]&amp;"*  ,Sizin *"&amp;G77&amp;"* tarixli sifarişiniz qeydə alındı. Sifariş Məbləğı *"&amp;AM77&amp;" AZN* , Qalıq *"&amp;AP77&amp;" AZN* . Hörmətlə  *AlumPro*"</f>
        <v>Hörmətli *Cosqun Mebel Sex*  ,Sizin *28,12,2024* tarixli sifarişiniz qeydə alındı. Sifariş Məbləğı *300 AZN* , Qalıq *0 AZN* . Hörmətlə  *AlumPro*</v>
      </c>
      <c r="AV77" s="187" t="str">
        <f>"Hörmətli *"&amp;Tablo7[[#This Row],[Müştəri]]&amp;"* , sizin *"&amp;G77&amp;"* tarixli  sifarişiniz hazırdır . Bizi seçdiyiniz üçün minnətdarıq. Hörmətlə  *AlumPro*."</f>
        <v>Hörmətli *Cosqun Mebel Sex* , sizin *28,12,2024* tarixli  sifarişiniz hazırdır . Bizi seçdiyiniz üçün minnətdarıq. Hörmətlə  *AlumPro*.</v>
      </c>
      <c r="AW77" s="188" t="str">
        <f t="shared" si="72"/>
        <v>Cosqun</v>
      </c>
      <c r="AX77" s="253" t="str">
        <f t="shared" si="69"/>
        <v xml:space="preserve">Cosqun </v>
      </c>
    </row>
    <row r="78" spans="4:50">
      <c r="D78" s="178">
        <v>257</v>
      </c>
      <c r="E78" s="179" t="s">
        <v>352</v>
      </c>
      <c r="F78" s="179" t="s">
        <v>339</v>
      </c>
      <c r="G78" s="212" t="s">
        <v>323</v>
      </c>
      <c r="H78" s="179" t="s">
        <v>353</v>
      </c>
      <c r="I78" s="179">
        <v>0</v>
      </c>
      <c r="J78" s="179"/>
      <c r="K78" s="179"/>
      <c r="L78" s="179"/>
      <c r="M78" s="179" t="str">
        <f>_xlfn.XLOOKUP(Tablo7[[#This Row],[Yan Profili]],Anbar!$J$3:$J$1000,Anbar!$H$3:$H$1000,"Tapilmadi")</f>
        <v>Tapilmadi</v>
      </c>
      <c r="N78" s="179">
        <v>0</v>
      </c>
      <c r="O78" s="179">
        <v>1610</v>
      </c>
      <c r="P78" s="179">
        <v>0</v>
      </c>
      <c r="Q78" s="179" t="str">
        <f>_xlfn.XLOOKUP(Tablo7[[#This Row],[Qulp növü]],Anbar!$J$3:$J$1000,Anbar!$H$3:$H$1000,"Tapilmadi")</f>
        <v>Tapilmadi</v>
      </c>
      <c r="R78" s="179">
        <v>0</v>
      </c>
      <c r="S78" s="180">
        <v>0</v>
      </c>
      <c r="T78" s="181"/>
      <c r="U78" s="179" t="str">
        <f>_xlfn.XLOOKUP(Tablo7[[#This Row],[Petlə]],Anbar!$J$3:$J$1000,Anbar!$H$3:$H$1000,"Tapilmadi")</f>
        <v>Tapilmadi</v>
      </c>
      <c r="V78" s="179">
        <v>0</v>
      </c>
      <c r="W78" s="180">
        <v>0</v>
      </c>
      <c r="X78" s="269">
        <v>0</v>
      </c>
      <c r="Y78" s="179"/>
      <c r="Z78" s="182"/>
      <c r="AA78" s="180">
        <v>0</v>
      </c>
      <c r="AB78" s="180"/>
      <c r="AC78" s="179" t="str">
        <f>_xlfn.XLOOKUP(Tablo7[[#This Row],[Bağlantı]],Anbar!$J$3:$J$1000,Anbar!$H$3:$H$1000,"Tapilmadi")</f>
        <v>Tapilmadi</v>
      </c>
      <c r="AD78" s="179"/>
      <c r="AE78" s="180">
        <v>0</v>
      </c>
      <c r="AF78" s="180"/>
      <c r="AG78" s="179" t="str">
        <f>_xlfn.XLOOKUP(Tablo7[[#This Row],[Mexanizm]],Anbar!$J$3:$J$1000,Anbar!$H$3:$H$1000,"Tapilmadi")</f>
        <v>Tapilmadi</v>
      </c>
      <c r="AH78" s="179">
        <v>1</v>
      </c>
      <c r="AI78" s="180">
        <v>0</v>
      </c>
      <c r="AJ78" s="180">
        <v>0</v>
      </c>
      <c r="AK78" s="180">
        <v>0</v>
      </c>
      <c r="AL78" s="180">
        <v>0</v>
      </c>
      <c r="AM78" s="180">
        <v>1610</v>
      </c>
      <c r="AN78" s="180">
        <v>0</v>
      </c>
      <c r="AO78" s="180">
        <v>1000</v>
      </c>
      <c r="AP78" s="194">
        <f>Tablo7[[#This Row],[Ümumi məbləğ]]-Tablo7[[#This Row],[Ödəniş]]-Tablo7[[#This Row],[Endirim]]</f>
        <v>610</v>
      </c>
      <c r="AQ78" s="183" t="str">
        <f t="shared" si="66"/>
        <v>Mesaj</v>
      </c>
      <c r="AR78" s="183" t="str">
        <f t="shared" si="67"/>
        <v>Mesaj</v>
      </c>
      <c r="AS78" s="184" t="str">
        <f>IF(ISNA(VLOOKUP(Tablo7[[#This Row],[Sifariş kodu]],'Kəsim ve təhvil'!$E$5:$E1076,1,0)),"Qəbul edilməyib","Qəbul edilib")</f>
        <v>Qəbul edilməyib</v>
      </c>
      <c r="AT78" s="185" t="str">
        <f>IF(ISNA(VLOOKUP(Tablo7[[#This Row],[Sifariş kodu]],'Kəsim ve təhvil'!$H$5:$H1076,1,0)),"Anbardadır","Təhvil verilib")</f>
        <v>Anbardadır</v>
      </c>
      <c r="AU78" s="186" t="str">
        <f>"Hörmətli *"&amp;Tablo7[[#This Row],[Müştəri]]&amp;"*  ,Sizin *"&amp;G78&amp;"* tarixli sifarişiniz qeydə alındı. Sifariş Məbləğı *"&amp;AM78&amp;" AZN* , Qalıq *"&amp;AP78&amp;" AZN* . Hörmətlə  *AlumPro*"</f>
        <v>Hörmətli *Elvin Avelina*  ,Sizin *28,12,2024* tarixli sifarişiniz qeydə alındı. Sifariş Məbləğı *1610 AZN* , Qalıq *610 AZN* . Hörmətlə  *AlumPro*</v>
      </c>
      <c r="AV78" s="187" t="str">
        <f>"Hörmətli *"&amp;Tablo7[[#This Row],[Müştəri]]&amp;"* , sizin *"&amp;G78&amp;"* tarixli  sifarişiniz hazırdır . Bizi seçdiyiniz üçün minnətdarıq. Hörmətlə  *AlumPro*."</f>
        <v>Hörmətli *Elvin Avelina* , sizin *28,12,2024* tarixli  sifarişiniz hazırdır . Bizi seçdiyiniz üçün minnətdarıq. Hörmətlə  *AlumPro*.</v>
      </c>
      <c r="AW78" s="188" t="str">
        <f t="shared" si="72"/>
        <v>Elvin</v>
      </c>
      <c r="AX78" s="253" t="str">
        <f t="shared" si="69"/>
        <v xml:space="preserve">Elvin </v>
      </c>
    </row>
    <row r="79" spans="4:50">
      <c r="D79" s="178">
        <v>256</v>
      </c>
      <c r="E79" s="179" t="s">
        <v>354</v>
      </c>
      <c r="F79" s="179" t="s">
        <v>339</v>
      </c>
      <c r="G79" s="212" t="s">
        <v>323</v>
      </c>
      <c r="H79" s="179" t="s">
        <v>355</v>
      </c>
      <c r="I79" s="179" t="s">
        <v>356</v>
      </c>
      <c r="J79" s="179"/>
      <c r="K79" s="179"/>
      <c r="L79" s="179"/>
      <c r="M79" s="179" t="str">
        <f>_xlfn.XLOOKUP(Tablo7[[#This Row],[Yan Profili]],Anbar!$J$3:$J$1000,Anbar!$H$3:$H$1000,"Tapilmadi")</f>
        <v>Tapilmadi</v>
      </c>
      <c r="N79" s="179">
        <v>0</v>
      </c>
      <c r="O79" s="179">
        <v>1265</v>
      </c>
      <c r="P79" s="179">
        <v>0</v>
      </c>
      <c r="Q79" s="179" t="str">
        <f>_xlfn.XLOOKUP(Tablo7[[#This Row],[Qulp növü]],Anbar!$J$3:$J$1000,Anbar!$H$3:$H$1000,"Tapilmadi")</f>
        <v>Tapilmadi</v>
      </c>
      <c r="R79" s="179">
        <v>0</v>
      </c>
      <c r="S79" s="180">
        <v>0</v>
      </c>
      <c r="T79" s="181"/>
      <c r="U79" s="179" t="str">
        <f>_xlfn.XLOOKUP(Tablo7[[#This Row],[Petlə]],Anbar!$J$3:$J$1000,Anbar!$H$3:$H$1000,"Tapilmadi")</f>
        <v>Tapilmadi</v>
      </c>
      <c r="V79" s="179">
        <v>0</v>
      </c>
      <c r="W79" s="180">
        <v>0</v>
      </c>
      <c r="X79" s="269">
        <v>0</v>
      </c>
      <c r="Y79" s="179"/>
      <c r="Z79" s="182"/>
      <c r="AA79" s="180">
        <v>0</v>
      </c>
      <c r="AB79" s="180"/>
      <c r="AC79" s="179" t="str">
        <f>_xlfn.XLOOKUP(Tablo7[[#This Row],[Bağlantı]],Anbar!$J$3:$J$1000,Anbar!$H$3:$H$1000,"Tapilmadi")</f>
        <v>Tapilmadi</v>
      </c>
      <c r="AD79" s="179"/>
      <c r="AE79" s="180">
        <v>0</v>
      </c>
      <c r="AF79" s="180"/>
      <c r="AG79" s="179" t="str">
        <f>_xlfn.XLOOKUP(Tablo7[[#This Row],[Mexanizm]],Anbar!$J$3:$J$1000,Anbar!$H$3:$H$1000,"Tapilmadi")</f>
        <v>Tapilmadi</v>
      </c>
      <c r="AH79" s="179">
        <v>1</v>
      </c>
      <c r="AI79" s="180">
        <v>0</v>
      </c>
      <c r="AJ79" s="180">
        <v>0</v>
      </c>
      <c r="AK79" s="180">
        <v>0</v>
      </c>
      <c r="AL79" s="180">
        <v>0</v>
      </c>
      <c r="AM79" s="180">
        <v>1265</v>
      </c>
      <c r="AN79" s="180">
        <v>0</v>
      </c>
      <c r="AO79" s="180">
        <v>0</v>
      </c>
      <c r="AP79" s="194">
        <f>Tablo7[[#This Row],[Ümumi məbləğ]]-Tablo7[[#This Row],[Ödəniş]]-Tablo7[[#This Row],[Endirim]]</f>
        <v>1265</v>
      </c>
      <c r="AQ79" s="183" t="str">
        <f t="shared" si="66"/>
        <v>Mesaj</v>
      </c>
      <c r="AR79" s="183" t="str">
        <f t="shared" si="67"/>
        <v>Mesaj</v>
      </c>
      <c r="AS79" s="184" t="str">
        <f>IF(ISNA(VLOOKUP(Tablo7[[#This Row],[Sifariş kodu]],'Kəsim ve təhvil'!$E$5:$E1077,1,0)),"Qəbul edilməyib","Qəbul edilib")</f>
        <v>Qəbul edilməyib</v>
      </c>
      <c r="AT79" s="185" t="str">
        <f>IF(ISNA(VLOOKUP(Tablo7[[#This Row],[Sifariş kodu]],'Kəsim ve təhvil'!$H$5:$H1077,1,0)),"Anbardadır","Təhvil verilib")</f>
        <v>Anbardadır</v>
      </c>
      <c r="AU79" s="186" t="str">
        <f>"Hörmətli *"&amp;Tablo7[[#This Row],[Müştəri]]&amp;"*  ,Sizin *"&amp;G79&amp;"* tarixli sifarişiniz qeydə alındı. Sifariş Məbləğı *"&amp;AM79&amp;" AZN* , Qalıq *"&amp;AP79&amp;" AZN* . Hörmətlə  *AlumPro*"</f>
        <v>Hörmətli *Sabir Vusal*  ,Sizin *28,12,2024* tarixli sifarişiniz qeydə alındı. Sifariş Məbləğı *1265 AZN* , Qalıq *1265 AZN* . Hörmətlə  *AlumPro*</v>
      </c>
      <c r="AV79" s="187" t="str">
        <f>"Hörmətli *"&amp;Tablo7[[#This Row],[Müştəri]]&amp;"* , sizin *"&amp;G79&amp;"* tarixli  sifarişiniz hazırdır . Bizi seçdiyiniz üçün minnətdarıq. Hörmətlə  *AlumPro*."</f>
        <v>Hörmətli *Sabir Vusal* , sizin *28,12,2024* tarixli  sifarişiniz hazırdır . Bizi seçdiyiniz üçün minnətdarıq. Hörmətlə  *AlumPro*.</v>
      </c>
      <c r="AW79" s="188" t="str">
        <f t="shared" si="72"/>
        <v>Sabir</v>
      </c>
      <c r="AX79" s="253" t="str">
        <f t="shared" si="69"/>
        <v xml:space="preserve">Sabir </v>
      </c>
    </row>
    <row r="80" spans="4:50">
      <c r="D80" s="178">
        <v>255</v>
      </c>
      <c r="E80" s="179" t="s">
        <v>357</v>
      </c>
      <c r="F80" s="179" t="s">
        <v>339</v>
      </c>
      <c r="G80" s="212" t="s">
        <v>323</v>
      </c>
      <c r="H80" s="179" t="s">
        <v>358</v>
      </c>
      <c r="I80" s="179" t="s">
        <v>359</v>
      </c>
      <c r="J80" s="179"/>
      <c r="K80" s="179"/>
      <c r="L80" s="179"/>
      <c r="M80" s="179" t="str">
        <f>_xlfn.XLOOKUP(Tablo7[[#This Row],[Yan Profili]],Anbar!$J$3:$J$1000,Anbar!$H$3:$H$1000,"Tapilmadi")</f>
        <v>Tapilmadi</v>
      </c>
      <c r="N80" s="179">
        <v>0</v>
      </c>
      <c r="O80" s="179">
        <v>343</v>
      </c>
      <c r="P80" s="179">
        <v>0</v>
      </c>
      <c r="Q80" s="179" t="str">
        <f>_xlfn.XLOOKUP(Tablo7[[#This Row],[Qulp növü]],Anbar!$J$3:$J$1000,Anbar!$H$3:$H$1000,"Tapilmadi")</f>
        <v>Tapilmadi</v>
      </c>
      <c r="R80" s="179">
        <v>0</v>
      </c>
      <c r="S80" s="180">
        <v>0</v>
      </c>
      <c r="T80" s="181"/>
      <c r="U80" s="179" t="str">
        <f>_xlfn.XLOOKUP(Tablo7[[#This Row],[Petlə]],Anbar!$J$3:$J$1000,Anbar!$H$3:$H$1000,"Tapilmadi")</f>
        <v>Tapilmadi</v>
      </c>
      <c r="V80" s="179">
        <v>0</v>
      </c>
      <c r="W80" s="180">
        <v>0</v>
      </c>
      <c r="X80" s="269">
        <v>0</v>
      </c>
      <c r="Y80" s="179"/>
      <c r="Z80" s="182"/>
      <c r="AA80" s="180">
        <v>0</v>
      </c>
      <c r="AB80" s="180"/>
      <c r="AC80" s="179" t="str">
        <f>_xlfn.XLOOKUP(Tablo7[[#This Row],[Bağlantı]],Anbar!$J$3:$J$1000,Anbar!$H$3:$H$1000,"Tapilmadi")</f>
        <v>Tapilmadi</v>
      </c>
      <c r="AD80" s="179"/>
      <c r="AE80" s="180">
        <v>0</v>
      </c>
      <c r="AF80" s="180"/>
      <c r="AG80" s="179" t="str">
        <f>_xlfn.XLOOKUP(Tablo7[[#This Row],[Mexanizm]],Anbar!$J$3:$J$1000,Anbar!$H$3:$H$1000,"Tapilmadi")</f>
        <v>Tapilmadi</v>
      </c>
      <c r="AH80" s="179">
        <v>1</v>
      </c>
      <c r="AI80" s="180">
        <v>0</v>
      </c>
      <c r="AJ80" s="180">
        <v>0</v>
      </c>
      <c r="AK80" s="180">
        <v>0</v>
      </c>
      <c r="AL80" s="180">
        <v>0</v>
      </c>
      <c r="AM80" s="180">
        <v>343</v>
      </c>
      <c r="AN80" s="180">
        <v>0</v>
      </c>
      <c r="AO80" s="180">
        <v>200</v>
      </c>
      <c r="AP80" s="194">
        <f>Tablo7[[#This Row],[Ümumi məbləğ]]-Tablo7[[#This Row],[Ödəniş]]-Tablo7[[#This Row],[Endirim]]</f>
        <v>143</v>
      </c>
      <c r="AQ80" s="183" t="str">
        <f t="shared" si="66"/>
        <v>Mesaj</v>
      </c>
      <c r="AR80" s="183" t="str">
        <f t="shared" si="67"/>
        <v>Mesaj</v>
      </c>
      <c r="AS80" s="184" t="str">
        <f>IF(ISNA(VLOOKUP(Tablo7[[#This Row],[Sifariş kodu]],'Kəsim ve təhvil'!$E$5:$E1078,1,0)),"Qəbul edilməyib","Qəbul edilib")</f>
        <v>Qəbul edilməyib</v>
      </c>
      <c r="AT80" s="185" t="str">
        <f>IF(ISNA(VLOOKUP(Tablo7[[#This Row],[Sifariş kodu]],'Kəsim ve təhvil'!$H$5:$H1078,1,0)),"Anbardadır","Təhvil verilib")</f>
        <v>Anbardadır</v>
      </c>
      <c r="AU80" s="186" t="str">
        <f>"Hörmətli *"&amp;Tablo7[[#This Row],[Müştəri]]&amp;"*  ,Sizin *"&amp;G80&amp;"* tarixli sifarişiniz qeydə alındı. Sifariş Məbləğı *"&amp;AM80&amp;" AZN* , Qalıq *"&amp;AP80&amp;" AZN* . Hörmətlə  *AlumPro*"</f>
        <v>Hörmətli *Ilqar Qara*  ,Sizin *28,12,2024* tarixli sifarişiniz qeydə alındı. Sifariş Məbləğı *343 AZN* , Qalıq *143 AZN* . Hörmətlə  *AlumPro*</v>
      </c>
      <c r="AV80" s="187" t="str">
        <f>"Hörmətli *"&amp;Tablo7[[#This Row],[Müştəri]]&amp;"* , sizin *"&amp;G80&amp;"* tarixli  sifarişiniz hazırdır . Bizi seçdiyiniz üçün minnətdarıq. Hörmətlə  *AlumPro*."</f>
        <v>Hörmətli *Ilqar Qara* , sizin *28,12,2024* tarixli  sifarişiniz hazırdır . Bizi seçdiyiniz üçün minnətdarıq. Hörmətlə  *AlumPro*.</v>
      </c>
      <c r="AW80" s="188" t="str">
        <f t="shared" si="72"/>
        <v>Ilqar</v>
      </c>
      <c r="AX80" s="253" t="str">
        <f t="shared" si="69"/>
        <v xml:space="preserve">Ilqar </v>
      </c>
    </row>
    <row r="81" spans="4:50">
      <c r="D81" s="178">
        <v>254</v>
      </c>
      <c r="E81" s="179" t="s">
        <v>360</v>
      </c>
      <c r="F81" s="179" t="s">
        <v>339</v>
      </c>
      <c r="G81" s="212" t="s">
        <v>323</v>
      </c>
      <c r="H81" s="179" t="s">
        <v>361</v>
      </c>
      <c r="I81" s="179" t="s">
        <v>362</v>
      </c>
      <c r="J81" s="179"/>
      <c r="K81" s="179"/>
      <c r="L81" s="179"/>
      <c r="M81" s="179" t="str">
        <f>_xlfn.XLOOKUP(Tablo7[[#This Row],[Yan Profili]],Anbar!$J$3:$J$1000,Anbar!$H$3:$H$1000,"Tapilmadi")</f>
        <v>Tapilmadi</v>
      </c>
      <c r="N81" s="179">
        <v>0</v>
      </c>
      <c r="O81" s="179">
        <v>500</v>
      </c>
      <c r="P81" s="179">
        <v>0</v>
      </c>
      <c r="Q81" s="179" t="str">
        <f>_xlfn.XLOOKUP(Tablo7[[#This Row],[Qulp növü]],Anbar!$J$3:$J$1000,Anbar!$H$3:$H$1000,"Tapilmadi")</f>
        <v>Tapilmadi</v>
      </c>
      <c r="R81" s="179">
        <v>0</v>
      </c>
      <c r="S81" s="180">
        <v>0</v>
      </c>
      <c r="T81" s="181"/>
      <c r="U81" s="179" t="str">
        <f>_xlfn.XLOOKUP(Tablo7[[#This Row],[Petlə]],Anbar!$J$3:$J$1000,Anbar!$H$3:$H$1000,"Tapilmadi")</f>
        <v>Tapilmadi</v>
      </c>
      <c r="V81" s="179">
        <v>0</v>
      </c>
      <c r="W81" s="180">
        <v>0</v>
      </c>
      <c r="X81" s="269">
        <v>0</v>
      </c>
      <c r="Y81" s="179"/>
      <c r="Z81" s="182"/>
      <c r="AA81" s="180">
        <v>0</v>
      </c>
      <c r="AB81" s="180"/>
      <c r="AC81" s="179" t="str">
        <f>_xlfn.XLOOKUP(Tablo7[[#This Row],[Bağlantı]],Anbar!$J$3:$J$1000,Anbar!$H$3:$H$1000,"Tapilmadi")</f>
        <v>Tapilmadi</v>
      </c>
      <c r="AD81" s="179"/>
      <c r="AE81" s="180">
        <v>0</v>
      </c>
      <c r="AF81" s="180"/>
      <c r="AG81" s="179" t="str">
        <f>_xlfn.XLOOKUP(Tablo7[[#This Row],[Mexanizm]],Anbar!$J$3:$J$1000,Anbar!$H$3:$H$1000,"Tapilmadi")</f>
        <v>Tapilmadi</v>
      </c>
      <c r="AH81" s="179">
        <v>1</v>
      </c>
      <c r="AI81" s="180">
        <v>0</v>
      </c>
      <c r="AJ81" s="180">
        <v>0</v>
      </c>
      <c r="AK81" s="180">
        <v>0</v>
      </c>
      <c r="AL81" s="180">
        <v>0</v>
      </c>
      <c r="AM81" s="180">
        <v>500</v>
      </c>
      <c r="AN81" s="180">
        <v>0</v>
      </c>
      <c r="AO81" s="180">
        <v>0</v>
      </c>
      <c r="AP81" s="194">
        <f>Tablo7[[#This Row],[Ümumi məbləğ]]-Tablo7[[#This Row],[Ödəniş]]-Tablo7[[#This Row],[Endirim]]</f>
        <v>500</v>
      </c>
      <c r="AQ81" s="183" t="str">
        <f t="shared" si="66"/>
        <v>Mesaj</v>
      </c>
      <c r="AR81" s="183" t="str">
        <f t="shared" si="67"/>
        <v>Mesaj</v>
      </c>
      <c r="AS81" s="184" t="str">
        <f>IF(ISNA(VLOOKUP(Tablo7[[#This Row],[Sifariş kodu]],'Kəsim ve təhvil'!$E$5:$E1079,1,0)),"Qəbul edilməyib","Qəbul edilib")</f>
        <v>Qəbul edilməyib</v>
      </c>
      <c r="AT81" s="185" t="str">
        <f>IF(ISNA(VLOOKUP(Tablo7[[#This Row],[Sifariş kodu]],'Kəsim ve təhvil'!$H$5:$H1079,1,0)),"Anbardadır","Təhvil verilib")</f>
        <v>Anbardadır</v>
      </c>
      <c r="AU81" s="186" t="str">
        <f>"Hörmətli *"&amp;Tablo7[[#This Row],[Müştəri]]&amp;"*  ,Sizin *"&amp;G81&amp;"* tarixli sifarişiniz qeydə alındı. Sifariş Məbləğı *"&amp;AM81&amp;" AZN* , Qalıq *"&amp;AP81&amp;" AZN* . Hörmətlə  *AlumPro*"</f>
        <v>Hörmətli *Rufet Xasay Dayi*  ,Sizin *28,12,2024* tarixli sifarişiniz qeydə alındı. Sifariş Məbləğı *500 AZN* , Qalıq *500 AZN* . Hörmətlə  *AlumPro*</v>
      </c>
      <c r="AV81" s="187" t="str">
        <f>"Hörmətli *"&amp;Tablo7[[#This Row],[Müştəri]]&amp;"* , sizin *"&amp;G81&amp;"* tarixli  sifarişiniz hazırdır . Bizi seçdiyiniz üçün minnətdarıq. Hörmətlə  *AlumPro*."</f>
        <v>Hörmətli *Rufet Xasay Dayi* , sizin *28,12,2024* tarixli  sifarişiniz hazırdır . Bizi seçdiyiniz üçün minnətdarıq. Hörmətlə  *AlumPro*.</v>
      </c>
      <c r="AW81" s="188" t="str">
        <f t="shared" si="72"/>
        <v>Rufet</v>
      </c>
      <c r="AX81" s="253" t="str">
        <f t="shared" si="69"/>
        <v xml:space="preserve">Rufet </v>
      </c>
    </row>
    <row r="82" spans="4:50">
      <c r="D82" s="178">
        <v>253</v>
      </c>
      <c r="E82" s="179" t="s">
        <v>363</v>
      </c>
      <c r="F82" s="179" t="s">
        <v>339</v>
      </c>
      <c r="G82" s="212" t="s">
        <v>323</v>
      </c>
      <c r="H82" s="179" t="s">
        <v>364</v>
      </c>
      <c r="I82" s="179" t="s">
        <v>365</v>
      </c>
      <c r="J82" s="179"/>
      <c r="K82" s="179"/>
      <c r="L82" s="179"/>
      <c r="M82" s="179">
        <f>_xlfn.XLOOKUP(Tablo7[[#This Row],[Yan Profili]],Anbar!$J$3:$J$1000,Anbar!$H$3:$H$1000,"Tapilmadi")</f>
        <v>0</v>
      </c>
      <c r="N82" s="179">
        <v>0</v>
      </c>
      <c r="O82" s="179">
        <v>3076</v>
      </c>
      <c r="P82" s="179">
        <v>0</v>
      </c>
      <c r="Q82" s="179" t="str">
        <f>_xlfn.XLOOKUP(Tablo7[[#This Row],[Qulp növü]],Anbar!$J$3:$J$1000,Anbar!$H$3:$H$1000,"Tapilmadi")</f>
        <v>Tapilmadi</v>
      </c>
      <c r="R82" s="179">
        <v>0</v>
      </c>
      <c r="S82" s="180">
        <v>0</v>
      </c>
      <c r="T82" s="181"/>
      <c r="U82" s="179" t="str">
        <f>_xlfn.XLOOKUP(Tablo7[[#This Row],[Petlə]],Anbar!$J$3:$J$1000,Anbar!$H$3:$H$1000,"Tapilmadi")</f>
        <v>Tapilmadi</v>
      </c>
      <c r="V82" s="179">
        <v>0</v>
      </c>
      <c r="W82" s="180">
        <v>0</v>
      </c>
      <c r="X82" s="269">
        <v>0</v>
      </c>
      <c r="Y82" s="179"/>
      <c r="Z82" s="182"/>
      <c r="AA82" s="180">
        <v>0</v>
      </c>
      <c r="AB82" s="180"/>
      <c r="AC82" s="179" t="str">
        <f>_xlfn.XLOOKUP(Tablo7[[#This Row],[Bağlantı]],Anbar!$J$3:$J$1000,Anbar!$H$3:$H$1000,"Tapilmadi")</f>
        <v>Tapilmadi</v>
      </c>
      <c r="AD82" s="179"/>
      <c r="AE82" s="180">
        <v>0</v>
      </c>
      <c r="AF82" s="180"/>
      <c r="AG82" s="179" t="str">
        <f>_xlfn.XLOOKUP(Tablo7[[#This Row],[Mexanizm]],Anbar!$J$3:$J$1000,Anbar!$H$3:$H$1000,"Tapilmadi")</f>
        <v>Tapilmadi</v>
      </c>
      <c r="AH82" s="179">
        <v>1</v>
      </c>
      <c r="AI82" s="180">
        <v>0</v>
      </c>
      <c r="AJ82" s="180">
        <v>0</v>
      </c>
      <c r="AK82" s="180">
        <v>0</v>
      </c>
      <c r="AL82" s="180">
        <v>0</v>
      </c>
      <c r="AM82" s="180">
        <v>3076</v>
      </c>
      <c r="AN82" s="180">
        <v>0</v>
      </c>
      <c r="AO82" s="180">
        <v>1500</v>
      </c>
      <c r="AP82" s="194">
        <f>Tablo7[[#This Row],[Ümumi məbləğ]]-Tablo7[[#This Row],[Ödəniş]]-Tablo7[[#This Row],[Endirim]]</f>
        <v>1576</v>
      </c>
      <c r="AQ82" s="183" t="str">
        <f t="shared" si="66"/>
        <v>Mesaj</v>
      </c>
      <c r="AR82" s="183" t="str">
        <f t="shared" si="67"/>
        <v>Mesaj</v>
      </c>
      <c r="AS82" s="184" t="str">
        <f>IF(ISNA(VLOOKUP(Tablo7[[#This Row],[Sifariş kodu]],'Kəsim ve təhvil'!$E$5:$E1080,1,0)),"Qəbul edilməyib","Qəbul edilib")</f>
        <v>Qəbul edilməyib</v>
      </c>
      <c r="AT82" s="185" t="str">
        <f>IF(ISNA(VLOOKUP(Tablo7[[#This Row],[Sifariş kodu]],'Kəsim ve təhvil'!$H$5:$H1080,1,0)),"Anbardadır","Təhvil verilib")</f>
        <v>Anbardadır</v>
      </c>
      <c r="AU82" s="186" t="str">
        <f>"Hörmətli *"&amp;Tablo7[[#This Row],[Müştəri]]&amp;"*  ,Sizin *"&amp;G82&amp;"* tarixli sifarişiniz qeydə alındı. Sifariş Məbləğı *"&amp;AM82&amp;" AZN* , Qalıq *"&amp;AP82&amp;" AZN* . Hörmətlə  *AlumPro*"</f>
        <v>Hörmətli *Fuad Cavansir*  ,Sizin *28,12,2024* tarixli sifarişiniz qeydə alındı. Sifariş Məbləğı *3076 AZN* , Qalıq *1576 AZN* . Hörmətlə  *AlumPro*</v>
      </c>
      <c r="AV82" s="187" t="str">
        <f>"Hörmətli *"&amp;Tablo7[[#This Row],[Müştəri]]&amp;"* , sizin *"&amp;G82&amp;"* tarixli  sifarişiniz hazırdır . Bizi seçdiyiniz üçün minnətdarıq. Hörmətlə  *AlumPro*."</f>
        <v>Hörmətli *Fuad Cavansir* , sizin *28,12,2024* tarixli  sifarişiniz hazırdır . Bizi seçdiyiniz üçün minnətdarıq. Hörmətlə  *AlumPro*.</v>
      </c>
      <c r="AW82" s="188" t="str">
        <f t="shared" si="72"/>
        <v>Fuad</v>
      </c>
      <c r="AX82" s="253" t="str">
        <f t="shared" si="69"/>
        <v xml:space="preserve">Fuad </v>
      </c>
    </row>
    <row r="83" spans="4:50">
      <c r="D83" s="178">
        <v>252</v>
      </c>
      <c r="E83" s="179" t="s">
        <v>366</v>
      </c>
      <c r="F83" s="179" t="s">
        <v>339</v>
      </c>
      <c r="G83" s="212" t="s">
        <v>323</v>
      </c>
      <c r="H83" s="179" t="s">
        <v>151</v>
      </c>
      <c r="I83" s="179" t="s">
        <v>152</v>
      </c>
      <c r="J83" s="179"/>
      <c r="K83" s="179"/>
      <c r="L83" s="179"/>
      <c r="M83" s="179" t="str">
        <f>_xlfn.XLOOKUP(Tablo7[[#This Row],[Yan Profili]],Anbar!$J$3:$J$1000,Anbar!$H$3:$H$1000,"Tapilmadi")</f>
        <v>Tapilmadi</v>
      </c>
      <c r="N83" s="179">
        <v>0</v>
      </c>
      <c r="O83" s="179">
        <v>703</v>
      </c>
      <c r="P83" s="179">
        <v>0</v>
      </c>
      <c r="Q83" s="179" t="str">
        <f>_xlfn.XLOOKUP(Tablo7[[#This Row],[Qulp növü]],Anbar!$J$3:$J$1000,Anbar!$H$3:$H$1000,"Tapilmadi")</f>
        <v>Tapilmadi</v>
      </c>
      <c r="R83" s="179">
        <v>0</v>
      </c>
      <c r="S83" s="180">
        <v>0</v>
      </c>
      <c r="T83" s="181"/>
      <c r="U83" s="179" t="str">
        <f>_xlfn.XLOOKUP(Tablo7[[#This Row],[Petlə]],Anbar!$J$3:$J$1000,Anbar!$H$3:$H$1000,"Tapilmadi")</f>
        <v>Tapilmadi</v>
      </c>
      <c r="V83" s="179">
        <v>0</v>
      </c>
      <c r="W83" s="180">
        <v>0</v>
      </c>
      <c r="X83" s="269">
        <v>0</v>
      </c>
      <c r="Y83" s="179"/>
      <c r="Z83" s="182"/>
      <c r="AA83" s="180">
        <v>0</v>
      </c>
      <c r="AB83" s="180"/>
      <c r="AC83" s="179" t="str">
        <f>_xlfn.XLOOKUP(Tablo7[[#This Row],[Bağlantı]],Anbar!$J$3:$J$1000,Anbar!$H$3:$H$1000,"Tapilmadi")</f>
        <v>Tapilmadi</v>
      </c>
      <c r="AD83" s="179"/>
      <c r="AE83" s="180">
        <v>0</v>
      </c>
      <c r="AF83" s="180"/>
      <c r="AG83" s="179" t="str">
        <f>_xlfn.XLOOKUP(Tablo7[[#This Row],[Mexanizm]],Anbar!$J$3:$J$1000,Anbar!$H$3:$H$1000,"Tapilmadi")</f>
        <v>Tapilmadi</v>
      </c>
      <c r="AH83" s="179">
        <v>1</v>
      </c>
      <c r="AI83" s="180">
        <v>0</v>
      </c>
      <c r="AJ83" s="180">
        <v>0</v>
      </c>
      <c r="AK83" s="180">
        <v>0</v>
      </c>
      <c r="AL83" s="180">
        <v>0</v>
      </c>
      <c r="AM83" s="180">
        <v>703</v>
      </c>
      <c r="AN83" s="180">
        <v>0</v>
      </c>
      <c r="AO83" s="180">
        <v>0</v>
      </c>
      <c r="AP83" s="194">
        <f>Tablo7[[#This Row],[Ümumi məbləğ]]-Tablo7[[#This Row],[Ödəniş]]-Tablo7[[#This Row],[Endirim]]</f>
        <v>703</v>
      </c>
      <c r="AQ83" s="183" t="str">
        <f t="shared" si="66"/>
        <v>Mesaj</v>
      </c>
      <c r="AR83" s="183" t="str">
        <f t="shared" si="67"/>
        <v>Mesaj</v>
      </c>
      <c r="AS83" s="184" t="str">
        <f>IF(ISNA(VLOOKUP(Tablo7[[#This Row],[Sifariş kodu]],'Kəsim ve təhvil'!$E$5:$E1081,1,0)),"Qəbul edilməyib","Qəbul edilib")</f>
        <v>Qəbul edilməyib</v>
      </c>
      <c r="AT83" s="185" t="str">
        <f>IF(ISNA(VLOOKUP(Tablo7[[#This Row],[Sifariş kodu]],'Kəsim ve təhvil'!$H$5:$H1081,1,0)),"Anbardadır","Təhvil verilib")</f>
        <v>Anbardadır</v>
      </c>
      <c r="AU83" s="186" t="str">
        <f>"Hörmətli *"&amp;Tablo7[[#This Row],[Müştəri]]&amp;"*  ,Sizin *"&amp;G83&amp;"* tarixli sifarişiniz qeydə alındı. Sifariş Məbləğı *"&amp;AM83&amp;" AZN* , Qalıq *"&amp;AP83&amp;" AZN* . Hörmətlə  *AlumPro*"</f>
        <v>Hörmətli *Ibrahim Vusal Koryan*  ,Sizin *28,12,2024* tarixli sifarişiniz qeydə alındı. Sifariş Məbləğı *703 AZN* , Qalıq *703 AZN* . Hörmətlə  *AlumPro*</v>
      </c>
      <c r="AV83" s="187" t="str">
        <f>"Hörmətli *"&amp;Tablo7[[#This Row],[Müştəri]]&amp;"* , sizin *"&amp;G83&amp;"* tarixli  sifarişiniz hazırdır . Bizi seçdiyiniz üçün minnətdarıq. Hörmətlə  *AlumPro*."</f>
        <v>Hörmətli *Ibrahim Vusal Koryan* , sizin *28,12,2024* tarixli  sifarişiniz hazırdır . Bizi seçdiyiniz üçün minnətdarıq. Hörmətlə  *AlumPro*.</v>
      </c>
      <c r="AW83" s="188" t="str">
        <f t="shared" si="72"/>
        <v>Ibrahim</v>
      </c>
      <c r="AX83" s="253" t="str">
        <f t="shared" si="69"/>
        <v xml:space="preserve">Ibrahim </v>
      </c>
    </row>
    <row r="84" spans="4:50">
      <c r="D84" s="178">
        <v>251</v>
      </c>
      <c r="E84" s="179" t="s">
        <v>367</v>
      </c>
      <c r="F84" s="179" t="s">
        <v>339</v>
      </c>
      <c r="G84" s="212" t="s">
        <v>323</v>
      </c>
      <c r="H84" s="179" t="s">
        <v>10</v>
      </c>
      <c r="I84" s="179" t="s">
        <v>368</v>
      </c>
      <c r="J84" s="179"/>
      <c r="K84" s="179"/>
      <c r="L84" s="179"/>
      <c r="M84" s="179" t="str">
        <f>_xlfn.XLOOKUP(Tablo7[[#This Row],[Yan Profili]],Anbar!$J$3:$J$1000,Anbar!$H$3:$H$1000,"Tapilmadi")</f>
        <v>Tapilmadi</v>
      </c>
      <c r="N84" s="179">
        <v>0</v>
      </c>
      <c r="O84" s="179">
        <v>5452</v>
      </c>
      <c r="P84" s="179">
        <v>0</v>
      </c>
      <c r="Q84" s="179" t="str">
        <f>_xlfn.XLOOKUP(Tablo7[[#This Row],[Qulp növü]],Anbar!$J$3:$J$1000,Anbar!$H$3:$H$1000,"Tapilmadi")</f>
        <v>Tapilmadi</v>
      </c>
      <c r="R84" s="179">
        <v>0</v>
      </c>
      <c r="S84" s="180">
        <v>0</v>
      </c>
      <c r="T84" s="181"/>
      <c r="U84" s="179" t="str">
        <f>_xlfn.XLOOKUP(Tablo7[[#This Row],[Petlə]],Anbar!$J$3:$J$1000,Anbar!$H$3:$H$1000,"Tapilmadi")</f>
        <v>Tapilmadi</v>
      </c>
      <c r="V84" s="179">
        <v>0</v>
      </c>
      <c r="W84" s="180">
        <v>0</v>
      </c>
      <c r="X84" s="269">
        <v>0</v>
      </c>
      <c r="Y84" s="179"/>
      <c r="Z84" s="182"/>
      <c r="AA84" s="180">
        <v>0</v>
      </c>
      <c r="AB84" s="180"/>
      <c r="AC84" s="179" t="str">
        <f>_xlfn.XLOOKUP(Tablo7[[#This Row],[Bağlantı]],Anbar!$J$3:$J$1000,Anbar!$H$3:$H$1000,"Tapilmadi")</f>
        <v>Tapilmadi</v>
      </c>
      <c r="AD84" s="179"/>
      <c r="AE84" s="180">
        <v>0</v>
      </c>
      <c r="AF84" s="180"/>
      <c r="AG84" s="179" t="str">
        <f>_xlfn.XLOOKUP(Tablo7[[#This Row],[Mexanizm]],Anbar!$J$3:$J$1000,Anbar!$H$3:$H$1000,"Tapilmadi")</f>
        <v>Tapilmadi</v>
      </c>
      <c r="AH84" s="179">
        <v>1</v>
      </c>
      <c r="AI84" s="180">
        <v>0</v>
      </c>
      <c r="AJ84" s="180">
        <v>0</v>
      </c>
      <c r="AK84" s="180">
        <v>0</v>
      </c>
      <c r="AL84" s="180">
        <v>0</v>
      </c>
      <c r="AM84" s="180">
        <v>5452</v>
      </c>
      <c r="AN84" s="180">
        <v>0</v>
      </c>
      <c r="AO84" s="180">
        <v>595</v>
      </c>
      <c r="AP84" s="194">
        <f>Tablo7[[#This Row],[Ümumi məbləğ]]-Tablo7[[#This Row],[Ödəniş]]-Tablo7[[#This Row],[Endirim]]</f>
        <v>4857</v>
      </c>
      <c r="AQ84" s="183" t="str">
        <f t="shared" si="66"/>
        <v>Mesaj</v>
      </c>
      <c r="AR84" s="183" t="str">
        <f t="shared" si="67"/>
        <v>Mesaj</v>
      </c>
      <c r="AS84" s="184" t="str">
        <f>IF(ISNA(VLOOKUP(Tablo7[[#This Row],[Sifariş kodu]],'Kəsim ve təhvil'!$E$5:$E1082,1,0)),"Qəbul edilməyib","Qəbul edilib")</f>
        <v>Qəbul edilməyib</v>
      </c>
      <c r="AT84" s="185" t="str">
        <f>IF(ISNA(VLOOKUP(Tablo7[[#This Row],[Sifariş kodu]],'Kəsim ve təhvil'!$H$5:$H1082,1,0)),"Anbardadır","Təhvil verilib")</f>
        <v>Anbardadır</v>
      </c>
      <c r="AU84" s="186" t="str">
        <f>"Hörmətli *"&amp;Tablo7[[#This Row],[Müştəri]]&amp;"*  ,Sizin *"&amp;G84&amp;"* tarixli sifarişiniz qeydə alındı. Sifariş Məbləğı *"&amp;AM84&amp;" AZN* , Qalıq *"&amp;AP84&amp;" AZN* . Hörmətlə  *AlumPro*"</f>
        <v>Hörmətli *Kamran kaya desıgn*  ,Sizin *28,12,2024* tarixli sifarişiniz qeydə alındı. Sifariş Məbləğı *5452 AZN* , Qalıq *4857 AZN* . Hörmətlə  *AlumPro*</v>
      </c>
      <c r="AV84" s="187" t="str">
        <f>"Hörmətli *"&amp;Tablo7[[#This Row],[Müştəri]]&amp;"* , sizin *"&amp;G84&amp;"* tarixli  sifarişiniz hazırdır . Bizi seçdiyiniz üçün minnətdarıq. Hörmətlə  *AlumPro*."</f>
        <v>Hörmətli *Kamran kaya desıgn* , sizin *28,12,2024* tarixli  sifarişiniz hazırdır . Bizi seçdiyiniz üçün minnətdarıq. Hörmətlə  *AlumPro*.</v>
      </c>
      <c r="AW84" s="188" t="str">
        <f t="shared" si="72"/>
        <v>Kamran</v>
      </c>
      <c r="AX84" s="253" t="str">
        <f t="shared" si="69"/>
        <v xml:space="preserve">Kamran </v>
      </c>
    </row>
    <row r="85" spans="4:50">
      <c r="D85" s="178">
        <v>250</v>
      </c>
      <c r="E85" s="179" t="s">
        <v>369</v>
      </c>
      <c r="F85" s="179" t="s">
        <v>339</v>
      </c>
      <c r="G85" s="212" t="s">
        <v>323</v>
      </c>
      <c r="H85" s="179" t="s">
        <v>187</v>
      </c>
      <c r="I85" s="179" t="s">
        <v>188</v>
      </c>
      <c r="J85" s="179"/>
      <c r="K85" s="179"/>
      <c r="L85" s="179"/>
      <c r="M85" s="179" t="str">
        <f>_xlfn.XLOOKUP(Tablo7[[#This Row],[Yan Profili]],Anbar!$J$3:$J$1000,Anbar!$H$3:$H$1000,"Tapilmadi")</f>
        <v>Tapilmadi</v>
      </c>
      <c r="N85" s="179">
        <v>0</v>
      </c>
      <c r="O85" s="179">
        <v>164</v>
      </c>
      <c r="P85" s="179">
        <v>0</v>
      </c>
      <c r="Q85" s="179" t="str">
        <f>_xlfn.XLOOKUP(Tablo7[[#This Row],[Qulp növü]],Anbar!$J$3:$J$1000,Anbar!$H$3:$H$1000,"Tapilmadi")</f>
        <v>Tapilmadi</v>
      </c>
      <c r="R85" s="179">
        <v>0</v>
      </c>
      <c r="S85" s="180">
        <v>0</v>
      </c>
      <c r="T85" s="181"/>
      <c r="U85" s="179" t="str">
        <f>_xlfn.XLOOKUP(Tablo7[[#This Row],[Petlə]],Anbar!$J$3:$J$1000,Anbar!$H$3:$H$1000,"Tapilmadi")</f>
        <v>Tapilmadi</v>
      </c>
      <c r="V85" s="179">
        <v>0</v>
      </c>
      <c r="W85" s="180">
        <v>0</v>
      </c>
      <c r="X85" s="269">
        <v>0</v>
      </c>
      <c r="Y85" s="179"/>
      <c r="Z85" s="182"/>
      <c r="AA85" s="180">
        <v>0</v>
      </c>
      <c r="AB85" s="180"/>
      <c r="AC85" s="179" t="str">
        <f>_xlfn.XLOOKUP(Tablo7[[#This Row],[Bağlantı]],Anbar!$J$3:$J$1000,Anbar!$H$3:$H$1000,"Tapilmadi")</f>
        <v>Tapilmadi</v>
      </c>
      <c r="AD85" s="179"/>
      <c r="AE85" s="180">
        <v>0</v>
      </c>
      <c r="AF85" s="180"/>
      <c r="AG85" s="179" t="str">
        <f>_xlfn.XLOOKUP(Tablo7[[#This Row],[Mexanizm]],Anbar!$J$3:$J$1000,Anbar!$H$3:$H$1000,"Tapilmadi")</f>
        <v>Tapilmadi</v>
      </c>
      <c r="AH85" s="179">
        <v>1</v>
      </c>
      <c r="AI85" s="180">
        <v>0</v>
      </c>
      <c r="AJ85" s="180">
        <v>0</v>
      </c>
      <c r="AK85" s="180">
        <v>0</v>
      </c>
      <c r="AL85" s="180">
        <v>0</v>
      </c>
      <c r="AM85" s="180">
        <v>164</v>
      </c>
      <c r="AN85" s="180">
        <v>0</v>
      </c>
      <c r="AO85" s="180">
        <v>0</v>
      </c>
      <c r="AP85" s="194">
        <f>Tablo7[[#This Row],[Ümumi məbləğ]]-Tablo7[[#This Row],[Ödəniş]]-Tablo7[[#This Row],[Endirim]]</f>
        <v>164</v>
      </c>
      <c r="AQ85" s="183" t="str">
        <f t="shared" si="66"/>
        <v>Mesaj</v>
      </c>
      <c r="AR85" s="183" t="str">
        <f t="shared" si="67"/>
        <v>Mesaj</v>
      </c>
      <c r="AS85" s="184" t="str">
        <f>IF(ISNA(VLOOKUP(Tablo7[[#This Row],[Sifariş kodu]],'Kəsim ve təhvil'!$E$5:$E1083,1,0)),"Qəbul edilməyib","Qəbul edilib")</f>
        <v>Qəbul edilməyib</v>
      </c>
      <c r="AT85" s="185" t="str">
        <f>IF(ISNA(VLOOKUP(Tablo7[[#This Row],[Sifariş kodu]],'Kəsim ve təhvil'!$H$5:$H1083,1,0)),"Anbardadır","Təhvil verilib")</f>
        <v>Anbardadır</v>
      </c>
      <c r="AU85" s="186" t="str">
        <f>"Hörmətli *"&amp;Tablo7[[#This Row],[Müştəri]]&amp;"*  ,Sizin *"&amp;G85&amp;"* tarixli sifarişiniz qeydə alındı. Sifariş Məbləğı *"&amp;AM85&amp;" AZN* , Qalıq *"&amp;AP85&amp;" AZN* . Hörmətlə  *AlumPro*"</f>
        <v>Hörmətli *Mahir MM*  ,Sizin *28,12,2024* tarixli sifarişiniz qeydə alındı. Sifariş Məbləğı *164 AZN* , Qalıq *164 AZN* . Hörmətlə  *AlumPro*</v>
      </c>
      <c r="AV85" s="187" t="str">
        <f>"Hörmətli *"&amp;Tablo7[[#This Row],[Müştəri]]&amp;"* , sizin *"&amp;G85&amp;"* tarixli  sifarişiniz hazırdır . Bizi seçdiyiniz üçün minnətdarıq. Hörmətlə  *AlumPro*."</f>
        <v>Hörmətli *Mahir MM* , sizin *28,12,2024* tarixli  sifarişiniz hazırdır . Bizi seçdiyiniz üçün minnətdarıq. Hörmətlə  *AlumPro*.</v>
      </c>
      <c r="AW85" s="188" t="str">
        <f t="shared" si="72"/>
        <v>Mahir</v>
      </c>
      <c r="AX85" s="253" t="str">
        <f t="shared" si="69"/>
        <v xml:space="preserve">Mahir </v>
      </c>
    </row>
    <row r="86" spans="4:50">
      <c r="D86" s="178">
        <v>249</v>
      </c>
      <c r="E86" s="179" t="s">
        <v>370</v>
      </c>
      <c r="F86" s="179" t="s">
        <v>339</v>
      </c>
      <c r="G86" s="212" t="s">
        <v>323</v>
      </c>
      <c r="H86" s="179" t="s">
        <v>123</v>
      </c>
      <c r="I86" s="179" t="s">
        <v>124</v>
      </c>
      <c r="J86" s="179"/>
      <c r="K86" s="179"/>
      <c r="L86" s="179"/>
      <c r="M86" s="179" t="str">
        <f>_xlfn.XLOOKUP(Tablo7[[#This Row],[Yan Profili]],Anbar!$J$3:$J$1000,Anbar!$H$3:$H$1000,"Tapilmadi")</f>
        <v>Tapilmadi</v>
      </c>
      <c r="N86" s="179">
        <v>0</v>
      </c>
      <c r="O86" s="179">
        <v>8420</v>
      </c>
      <c r="P86" s="179" t="s">
        <v>195</v>
      </c>
      <c r="Q86" s="179" t="str">
        <f>_xlfn.XLOOKUP(Tablo7[[#This Row],[Qulp növü]],Anbar!$J$3:$J$1000,Anbar!$H$3:$H$1000,"Tapilmadi")</f>
        <v>Tapilmadi</v>
      </c>
      <c r="R86" s="179">
        <v>0</v>
      </c>
      <c r="S86" s="180">
        <v>0</v>
      </c>
      <c r="T86" s="181"/>
      <c r="U86" s="179" t="str">
        <f>_xlfn.XLOOKUP(Tablo7[[#This Row],[Petlə]],Anbar!$J$3:$J$1000,Anbar!$H$3:$H$1000,"Tapilmadi")</f>
        <v>Tapilmadi</v>
      </c>
      <c r="V86" s="179">
        <v>0</v>
      </c>
      <c r="W86" s="180">
        <v>0</v>
      </c>
      <c r="X86" s="269">
        <v>0</v>
      </c>
      <c r="Y86" s="179"/>
      <c r="Z86" s="182"/>
      <c r="AA86" s="180">
        <v>0</v>
      </c>
      <c r="AB86" s="180"/>
      <c r="AC86" s="179" t="str">
        <f>_xlfn.XLOOKUP(Tablo7[[#This Row],[Bağlantı]],Anbar!$J$3:$J$1000,Anbar!$H$3:$H$1000,"Tapilmadi")</f>
        <v>Tapilmadi</v>
      </c>
      <c r="AD86" s="179"/>
      <c r="AE86" s="180">
        <v>0</v>
      </c>
      <c r="AF86" s="180"/>
      <c r="AG86" s="179" t="str">
        <f>_xlfn.XLOOKUP(Tablo7[[#This Row],[Mexanizm]],Anbar!$J$3:$J$1000,Anbar!$H$3:$H$1000,"Tapilmadi")</f>
        <v>Tapilmadi</v>
      </c>
      <c r="AH86" s="179">
        <v>1</v>
      </c>
      <c r="AI86" s="180">
        <v>0</v>
      </c>
      <c r="AJ86" s="180">
        <v>0</v>
      </c>
      <c r="AK86" s="180">
        <v>0</v>
      </c>
      <c r="AL86" s="180">
        <v>0</v>
      </c>
      <c r="AM86" s="180">
        <v>8420</v>
      </c>
      <c r="AN86" s="180">
        <v>0</v>
      </c>
      <c r="AO86" s="180">
        <v>1000</v>
      </c>
      <c r="AP86" s="194">
        <f>Tablo7[[#This Row],[Ümumi məbləğ]]-Tablo7[[#This Row],[Ödəniş]]-Tablo7[[#This Row],[Endirim]]</f>
        <v>7420</v>
      </c>
      <c r="AQ86" s="183" t="str">
        <f t="shared" si="66"/>
        <v>Mesaj</v>
      </c>
      <c r="AR86" s="183" t="str">
        <f t="shared" si="67"/>
        <v>Mesaj</v>
      </c>
      <c r="AS86" s="184" t="str">
        <f>IF(ISNA(VLOOKUP(Tablo7[[#This Row],[Sifariş kodu]],'Kəsim ve təhvil'!$E$5:$E1084,1,0)),"Qəbul edilməyib","Qəbul edilib")</f>
        <v>Qəbul edilməyib</v>
      </c>
      <c r="AT86" s="185" t="str">
        <f>IF(ISNA(VLOOKUP(Tablo7[[#This Row],[Sifariş kodu]],'Kəsim ve təhvil'!$H$5:$H1084,1,0)),"Anbardadır","Təhvil verilib")</f>
        <v>Anbardadır</v>
      </c>
      <c r="AU86" s="186" t="str">
        <f>"Hörmətli *"&amp;Tablo7[[#This Row],[Müştəri]]&amp;"*  ,Sizin *"&amp;G86&amp;"* tarixli sifarişiniz qeydə alındı. Sifariş Məbləğı *"&amp;AM86&amp;" AZN* , Qalıq *"&amp;AP86&amp;" AZN* . Hörmətlə  *AlumPro*"</f>
        <v>Hörmətli *Lux Concept*  ,Sizin *28,12,2024* tarixli sifarişiniz qeydə alındı. Sifariş Məbləğı *8420 AZN* , Qalıq *7420 AZN* . Hörmətlə  *AlumPro*</v>
      </c>
      <c r="AV86" s="187" t="str">
        <f>"Hörmətli *"&amp;Tablo7[[#This Row],[Müştəri]]&amp;"* , sizin *"&amp;G86&amp;"* tarixli  sifarişiniz hazırdır . Bizi seçdiyiniz üçün minnətdarıq. Hörmətlə  *AlumPro*."</f>
        <v>Hörmətli *Lux Concept* , sizin *28,12,2024* tarixli  sifarişiniz hazırdır . Bizi seçdiyiniz üçün minnətdarıq. Hörmətlə  *AlumPro*.</v>
      </c>
      <c r="AW86" s="188" t="str">
        <f t="shared" si="72"/>
        <v>Lux</v>
      </c>
      <c r="AX86" s="253" t="str">
        <f t="shared" si="69"/>
        <v xml:space="preserve">Lux </v>
      </c>
    </row>
    <row r="87" spans="4:50">
      <c r="D87" s="178">
        <v>248</v>
      </c>
      <c r="E87" s="179" t="s">
        <v>371</v>
      </c>
      <c r="F87" s="179" t="s">
        <v>339</v>
      </c>
      <c r="G87" s="212" t="s">
        <v>323</v>
      </c>
      <c r="H87" s="179" t="s">
        <v>252</v>
      </c>
      <c r="I87" s="179" t="s">
        <v>253</v>
      </c>
      <c r="J87" s="179"/>
      <c r="K87" s="179"/>
      <c r="L87" s="179"/>
      <c r="M87" s="179" t="str">
        <f>_xlfn.XLOOKUP(Tablo7[[#This Row],[Yan Profili]],Anbar!$J$3:$J$1000,Anbar!$H$3:$H$1000,"Tapilmadi")</f>
        <v>Tapilmadi</v>
      </c>
      <c r="N87" s="179">
        <v>0</v>
      </c>
      <c r="O87" s="179">
        <v>211</v>
      </c>
      <c r="P87" s="179" t="s">
        <v>195</v>
      </c>
      <c r="Q87" s="179" t="str">
        <f>_xlfn.XLOOKUP(Tablo7[[#This Row],[Qulp növü]],Anbar!$J$3:$J$1000,Anbar!$H$3:$H$1000,"Tapilmadi")</f>
        <v>Tapilmadi</v>
      </c>
      <c r="R87" s="179">
        <v>0</v>
      </c>
      <c r="S87" s="180">
        <v>0</v>
      </c>
      <c r="T87" s="181"/>
      <c r="U87" s="179" t="str">
        <f>_xlfn.XLOOKUP(Tablo7[[#This Row],[Petlə]],Anbar!$J$3:$J$1000,Anbar!$H$3:$H$1000,"Tapilmadi")</f>
        <v>Tapilmadi</v>
      </c>
      <c r="V87" s="179">
        <v>0</v>
      </c>
      <c r="W87" s="180">
        <v>0</v>
      </c>
      <c r="X87" s="269">
        <v>0</v>
      </c>
      <c r="Y87" s="179"/>
      <c r="Z87" s="182"/>
      <c r="AA87" s="180">
        <v>0</v>
      </c>
      <c r="AB87" s="180"/>
      <c r="AC87" s="179" t="str">
        <f>_xlfn.XLOOKUP(Tablo7[[#This Row],[Bağlantı]],Anbar!$J$3:$J$1000,Anbar!$H$3:$H$1000,"Tapilmadi")</f>
        <v>Tapilmadi</v>
      </c>
      <c r="AD87" s="179"/>
      <c r="AE87" s="180">
        <v>0</v>
      </c>
      <c r="AF87" s="180"/>
      <c r="AG87" s="179" t="str">
        <f>_xlfn.XLOOKUP(Tablo7[[#This Row],[Mexanizm]],Anbar!$J$3:$J$1000,Anbar!$H$3:$H$1000,"Tapilmadi")</f>
        <v>Tapilmadi</v>
      </c>
      <c r="AH87" s="179">
        <v>1</v>
      </c>
      <c r="AI87" s="180">
        <v>0</v>
      </c>
      <c r="AJ87" s="180">
        <v>0</v>
      </c>
      <c r="AK87" s="180">
        <v>0</v>
      </c>
      <c r="AL87" s="180">
        <v>0</v>
      </c>
      <c r="AM87" s="180">
        <v>211</v>
      </c>
      <c r="AN87" s="180">
        <v>211</v>
      </c>
      <c r="AO87" s="180">
        <v>0</v>
      </c>
      <c r="AP87" s="194">
        <f>Tablo7[[#This Row],[Ümumi məbləğ]]-Tablo7[[#This Row],[Ödəniş]]-Tablo7[[#This Row],[Endirim]]</f>
        <v>0</v>
      </c>
      <c r="AQ87" s="183" t="str">
        <f t="shared" si="66"/>
        <v>Mesaj</v>
      </c>
      <c r="AR87" s="183" t="str">
        <f t="shared" si="67"/>
        <v>Mesaj</v>
      </c>
      <c r="AS87" s="184" t="str">
        <f>IF(ISNA(VLOOKUP(Tablo7[[#This Row],[Sifariş kodu]],'Kəsim ve təhvil'!$E$5:$E1085,1,0)),"Qəbul edilməyib","Qəbul edilib")</f>
        <v>Qəbul edilməyib</v>
      </c>
      <c r="AT87" s="185" t="str">
        <f>IF(ISNA(VLOOKUP(Tablo7[[#This Row],[Sifariş kodu]],'Kəsim ve təhvil'!$H$5:$H1085,1,0)),"Anbardadır","Təhvil verilib")</f>
        <v>Anbardadır</v>
      </c>
      <c r="AU87" s="186" t="str">
        <f>"Hörmətli *"&amp;Tablo7[[#This Row],[Müştəri]]&amp;"*  ,Sizin *"&amp;G87&amp;"* tarixli sifarişiniz qeydə alındı. Sifariş Məbləğı *"&amp;AM87&amp;" AZN* , Qalıq *"&amp;AP87&amp;" AZN* . Hörmətlə  *AlumPro*"</f>
        <v>Hörmətli *Rovsen Sex Mebel*  ,Sizin *28,12,2024* tarixli sifarişiniz qeydə alındı. Sifariş Məbləğı *211 AZN* , Qalıq *0 AZN* . Hörmətlə  *AlumPro*</v>
      </c>
      <c r="AV87" s="187" t="str">
        <f>"Hörmətli *"&amp;Tablo7[[#This Row],[Müştəri]]&amp;"* , sizin *"&amp;G87&amp;"* tarixli  sifarişiniz hazırdır . Bizi seçdiyiniz üçün minnətdarıq. Hörmətlə  *AlumPro*."</f>
        <v>Hörmətli *Rovsen Sex Mebel* , sizin *28,12,2024* tarixli  sifarişiniz hazırdır . Bizi seçdiyiniz üçün minnətdarıq. Hörmətlə  *AlumPro*.</v>
      </c>
      <c r="AW87" s="188" t="str">
        <f t="shared" si="72"/>
        <v>Rovsen</v>
      </c>
      <c r="AX87" s="253" t="str">
        <f t="shared" si="69"/>
        <v xml:space="preserve">Rovsen </v>
      </c>
    </row>
    <row r="88" spans="4:50">
      <c r="D88" s="178">
        <v>247</v>
      </c>
      <c r="E88" s="179" t="s">
        <v>372</v>
      </c>
      <c r="F88" s="179" t="s">
        <v>339</v>
      </c>
      <c r="G88" s="212" t="s">
        <v>323</v>
      </c>
      <c r="H88" s="179" t="s">
        <v>373</v>
      </c>
      <c r="I88" s="179" t="s">
        <v>374</v>
      </c>
      <c r="J88" s="179"/>
      <c r="K88" s="179"/>
      <c r="L88" s="179"/>
      <c r="M88" s="179" t="str">
        <f>_xlfn.XLOOKUP(Tablo7[[#This Row],[Yan Profili]],Anbar!$J$3:$J$1000,Anbar!$H$3:$H$1000,"Tapilmadi")</f>
        <v>Tapilmadi</v>
      </c>
      <c r="N88" s="179">
        <v>0</v>
      </c>
      <c r="O88" s="179">
        <v>6359</v>
      </c>
      <c r="P88" s="179" t="s">
        <v>195</v>
      </c>
      <c r="Q88" s="179" t="str">
        <f>_xlfn.XLOOKUP(Tablo7[[#This Row],[Qulp növü]],Anbar!$J$3:$J$1000,Anbar!$H$3:$H$1000,"Tapilmadi")</f>
        <v>Tapilmadi</v>
      </c>
      <c r="R88" s="179">
        <v>0</v>
      </c>
      <c r="S88" s="180">
        <v>0</v>
      </c>
      <c r="T88" s="181"/>
      <c r="U88" s="179" t="str">
        <f>_xlfn.XLOOKUP(Tablo7[[#This Row],[Petlə]],Anbar!$J$3:$J$1000,Anbar!$H$3:$H$1000,"Tapilmadi")</f>
        <v>Tapilmadi</v>
      </c>
      <c r="V88" s="179">
        <v>0</v>
      </c>
      <c r="W88" s="180">
        <v>0</v>
      </c>
      <c r="X88" s="269">
        <v>0</v>
      </c>
      <c r="Y88" s="179"/>
      <c r="Z88" s="182"/>
      <c r="AA88" s="180">
        <v>0</v>
      </c>
      <c r="AB88" s="180"/>
      <c r="AC88" s="179" t="str">
        <f>_xlfn.XLOOKUP(Tablo7[[#This Row],[Bağlantı]],Anbar!$J$3:$J$1000,Anbar!$H$3:$H$1000,"Tapilmadi")</f>
        <v>Tapilmadi</v>
      </c>
      <c r="AD88" s="179"/>
      <c r="AE88" s="180">
        <v>0</v>
      </c>
      <c r="AF88" s="180"/>
      <c r="AG88" s="179" t="str">
        <f>_xlfn.XLOOKUP(Tablo7[[#This Row],[Mexanizm]],Anbar!$J$3:$J$1000,Anbar!$H$3:$H$1000,"Tapilmadi")</f>
        <v>Tapilmadi</v>
      </c>
      <c r="AH88" s="179">
        <v>1</v>
      </c>
      <c r="AI88" s="180">
        <v>0</v>
      </c>
      <c r="AJ88" s="180">
        <v>0</v>
      </c>
      <c r="AK88" s="180">
        <v>0</v>
      </c>
      <c r="AL88" s="180">
        <v>0</v>
      </c>
      <c r="AM88" s="180">
        <v>6359</v>
      </c>
      <c r="AN88" s="180">
        <v>0</v>
      </c>
      <c r="AO88" s="180">
        <v>0</v>
      </c>
      <c r="AP88" s="194">
        <f>Tablo7[[#This Row],[Ümumi məbləğ]]-Tablo7[[#This Row],[Ödəniş]]-Tablo7[[#This Row],[Endirim]]</f>
        <v>6359</v>
      </c>
      <c r="AQ88" s="183" t="str">
        <f t="shared" si="66"/>
        <v>Mesaj</v>
      </c>
      <c r="AR88" s="183" t="str">
        <f t="shared" si="67"/>
        <v>Mesaj</v>
      </c>
      <c r="AS88" s="184" t="str">
        <f>IF(ISNA(VLOOKUP(Tablo7[[#This Row],[Sifariş kodu]],'Kəsim ve təhvil'!$E$5:$E1086,1,0)),"Qəbul edilməyib","Qəbul edilib")</f>
        <v>Qəbul edilməyib</v>
      </c>
      <c r="AT88" s="185" t="str">
        <f>IF(ISNA(VLOOKUP(Tablo7[[#This Row],[Sifariş kodu]],'Kəsim ve təhvil'!$H$5:$H1086,1,0)),"Anbardadır","Təhvil verilib")</f>
        <v>Anbardadır</v>
      </c>
      <c r="AU88" s="186" t="str">
        <f>"Hörmətli *"&amp;Tablo7[[#This Row],[Müştəri]]&amp;"*  ,Sizin *"&amp;G88&amp;"* tarixli sifarişiniz qeydə alındı. Sifariş Məbləğı *"&amp;AM88&amp;" AZN* , Qalıq *"&amp;AP88&amp;" AZN* . Hörmətlə  *AlumPro*"</f>
        <v>Hörmətli *Gulnare White Corner*  ,Sizin *28,12,2024* tarixli sifarişiniz qeydə alındı. Sifariş Məbləğı *6359 AZN* , Qalıq *6359 AZN* . Hörmətlə  *AlumPro*</v>
      </c>
      <c r="AV88" s="187" t="str">
        <f>"Hörmətli *"&amp;Tablo7[[#This Row],[Müştəri]]&amp;"* , sizin *"&amp;G88&amp;"* tarixli  sifarişiniz hazırdır . Bizi seçdiyiniz üçün minnətdarıq. Hörmətlə  *AlumPro*."</f>
        <v>Hörmətli *Gulnare White Corner* , sizin *28,12,2024* tarixli  sifarişiniz hazırdır . Bizi seçdiyiniz üçün minnətdarıq. Hörmətlə  *AlumPro*.</v>
      </c>
      <c r="AW88" s="188" t="str">
        <f t="shared" si="72"/>
        <v>Gulnare</v>
      </c>
      <c r="AX88" s="253" t="str">
        <f t="shared" si="69"/>
        <v xml:space="preserve">Gulnare </v>
      </c>
    </row>
    <row r="89" spans="4:50">
      <c r="D89" s="178">
        <v>246</v>
      </c>
      <c r="E89" s="179" t="s">
        <v>375</v>
      </c>
      <c r="F89" s="179" t="s">
        <v>339</v>
      </c>
      <c r="G89" s="212" t="s">
        <v>323</v>
      </c>
      <c r="H89" s="179" t="s">
        <v>376</v>
      </c>
      <c r="I89" s="179" t="s">
        <v>377</v>
      </c>
      <c r="J89" s="179"/>
      <c r="K89" s="179"/>
      <c r="L89" s="179"/>
      <c r="M89" s="179" t="str">
        <f>_xlfn.XLOOKUP(Tablo7[[#This Row],[Yan Profili]],Anbar!$J$3:$J$1000,Anbar!$H$3:$H$1000,"Tapilmadi")</f>
        <v>Tapilmadi</v>
      </c>
      <c r="N89" s="179">
        <v>0</v>
      </c>
      <c r="O89" s="179">
        <v>7741</v>
      </c>
      <c r="P89" s="179" t="s">
        <v>195</v>
      </c>
      <c r="Q89" s="179" t="str">
        <f>_xlfn.XLOOKUP(Tablo7[[#This Row],[Qulp növü]],Anbar!$J$3:$J$1000,Anbar!$H$3:$H$1000,"Tapilmadi")</f>
        <v>Tapilmadi</v>
      </c>
      <c r="R89" s="179">
        <v>0</v>
      </c>
      <c r="S89" s="180">
        <v>0</v>
      </c>
      <c r="T89" s="181"/>
      <c r="U89" s="179" t="str">
        <f>_xlfn.XLOOKUP(Tablo7[[#This Row],[Petlə]],Anbar!$J$3:$J$1000,Anbar!$H$3:$H$1000,"Tapilmadi")</f>
        <v>Tapilmadi</v>
      </c>
      <c r="V89" s="179">
        <v>0</v>
      </c>
      <c r="W89" s="180">
        <v>0</v>
      </c>
      <c r="X89" s="269">
        <v>0</v>
      </c>
      <c r="Y89" s="179"/>
      <c r="Z89" s="182"/>
      <c r="AA89" s="180">
        <v>0</v>
      </c>
      <c r="AB89" s="180"/>
      <c r="AC89" s="179" t="str">
        <f>_xlfn.XLOOKUP(Tablo7[[#This Row],[Bağlantı]],Anbar!$J$3:$J$1000,Anbar!$H$3:$H$1000,"Tapilmadi")</f>
        <v>Tapilmadi</v>
      </c>
      <c r="AD89" s="179"/>
      <c r="AE89" s="180">
        <v>0</v>
      </c>
      <c r="AF89" s="180"/>
      <c r="AG89" s="179" t="str">
        <f>_xlfn.XLOOKUP(Tablo7[[#This Row],[Mexanizm]],Anbar!$J$3:$J$1000,Anbar!$H$3:$H$1000,"Tapilmadi")</f>
        <v>Tapilmadi</v>
      </c>
      <c r="AH89" s="179">
        <v>1</v>
      </c>
      <c r="AI89" s="180">
        <v>0</v>
      </c>
      <c r="AJ89" s="180">
        <v>0</v>
      </c>
      <c r="AK89" s="180">
        <v>0</v>
      </c>
      <c r="AL89" s="180">
        <v>0</v>
      </c>
      <c r="AM89" s="180">
        <v>7741</v>
      </c>
      <c r="AN89" s="180">
        <v>0</v>
      </c>
      <c r="AO89" s="180">
        <v>0</v>
      </c>
      <c r="AP89" s="194">
        <f>Tablo7[[#This Row],[Ümumi məbləğ]]-Tablo7[[#This Row],[Ödəniş]]-Tablo7[[#This Row],[Endirim]]</f>
        <v>7741</v>
      </c>
      <c r="AQ89" s="183" t="str">
        <f t="shared" si="66"/>
        <v>Mesaj</v>
      </c>
      <c r="AR89" s="183" t="str">
        <f t="shared" si="67"/>
        <v>Mesaj</v>
      </c>
      <c r="AS89" s="184" t="str">
        <f>IF(ISNA(VLOOKUP(Tablo7[[#This Row],[Sifariş kodu]],'Kəsim ve təhvil'!$E$5:$E1087,1,0)),"Qəbul edilməyib","Qəbul edilib")</f>
        <v>Qəbul edilməyib</v>
      </c>
      <c r="AT89" s="185" t="str">
        <f>IF(ISNA(VLOOKUP(Tablo7[[#This Row],[Sifariş kodu]],'Kəsim ve təhvil'!$H$5:$H1087,1,0)),"Anbardadır","Təhvil verilib")</f>
        <v>Anbardadır</v>
      </c>
      <c r="AU89" s="186" t="str">
        <f>"Hörmətli *"&amp;Tablo7[[#This Row],[Müştəri]]&amp;"*  ,Sizin *"&amp;G89&amp;"* tarixli sifarişiniz qeydə alındı. Sifariş Məbləğı *"&amp;AM89&amp;" AZN* , Qalıq *"&amp;AP89&amp;" AZN* . Hörmətlə  *AlumPro*"</f>
        <v>Hörmətli *Behman Elit Mebel*  ,Sizin *28,12,2024* tarixli sifarişiniz qeydə alındı. Sifariş Məbləğı *7741 AZN* , Qalıq *7741 AZN* . Hörmətlə  *AlumPro*</v>
      </c>
      <c r="AV89" s="187" t="str">
        <f>"Hörmətli *"&amp;Tablo7[[#This Row],[Müştəri]]&amp;"* , sizin *"&amp;G89&amp;"* tarixli  sifarişiniz hazırdır . Bizi seçdiyiniz üçün minnətdarıq. Hörmətlə  *AlumPro*."</f>
        <v>Hörmətli *Behman Elit Mebel* , sizin *28,12,2024* tarixli  sifarişiniz hazırdır . Bizi seçdiyiniz üçün minnətdarıq. Hörmətlə  *AlumPro*.</v>
      </c>
      <c r="AW89" s="188" t="str">
        <f t="shared" si="72"/>
        <v>Behman</v>
      </c>
      <c r="AX89" s="253" t="str">
        <f t="shared" si="69"/>
        <v xml:space="preserve">Behman </v>
      </c>
    </row>
    <row r="90" spans="4:50">
      <c r="D90" s="178">
        <v>245</v>
      </c>
      <c r="E90" s="179" t="s">
        <v>378</v>
      </c>
      <c r="F90" s="179" t="s">
        <v>339</v>
      </c>
      <c r="G90" s="212" t="s">
        <v>323</v>
      </c>
      <c r="H90" s="179" t="s">
        <v>379</v>
      </c>
      <c r="I90" s="179" t="s">
        <v>380</v>
      </c>
      <c r="J90" s="179"/>
      <c r="K90" s="179" t="s">
        <v>183</v>
      </c>
      <c r="L90" s="179"/>
      <c r="M90" s="179">
        <f>_xlfn.XLOOKUP(Tablo7[[#This Row],[Yan Profili]],Anbar!$J$3:$J$1000,Anbar!$H$3:$H$1000,"Tapilmadi")</f>
        <v>0</v>
      </c>
      <c r="N90" s="179">
        <v>6</v>
      </c>
      <c r="O90" s="179">
        <v>138</v>
      </c>
      <c r="P90" s="179" t="s">
        <v>195</v>
      </c>
      <c r="Q90" s="179" t="str">
        <f>_xlfn.XLOOKUP(Tablo7[[#This Row],[Qulp növü]],Anbar!$J$3:$J$1000,Anbar!$H$3:$H$1000,"Tapilmadi")</f>
        <v>Tapilmadi</v>
      </c>
      <c r="R90" s="179">
        <v>0</v>
      </c>
      <c r="S90" s="180">
        <v>0</v>
      </c>
      <c r="T90" s="181"/>
      <c r="U90" s="179" t="str">
        <f>_xlfn.XLOOKUP(Tablo7[[#This Row],[Petlə]],Anbar!$J$3:$J$1000,Anbar!$H$3:$H$1000,"Tapilmadi")</f>
        <v>Tapilmadi</v>
      </c>
      <c r="V90" s="179">
        <v>0</v>
      </c>
      <c r="W90" s="180">
        <v>0</v>
      </c>
      <c r="X90" s="269">
        <v>18</v>
      </c>
      <c r="Y90" s="179" t="s">
        <v>276</v>
      </c>
      <c r="Z90" s="182"/>
      <c r="AA90" s="180">
        <v>129</v>
      </c>
      <c r="AB90" s="180"/>
      <c r="AC90" s="179" t="str">
        <f>_xlfn.XLOOKUP(Tablo7[[#This Row],[Bağlantı]],Anbar!$J$3:$J$1000,Anbar!$H$3:$H$1000,"Tapilmadi")</f>
        <v>Tapilmadi</v>
      </c>
      <c r="AD90" s="179"/>
      <c r="AE90" s="180">
        <v>16</v>
      </c>
      <c r="AF90" s="180"/>
      <c r="AG90" s="179" t="str">
        <f>_xlfn.XLOOKUP(Tablo7[[#This Row],[Mexanizm]],Anbar!$J$3:$J$1000,Anbar!$H$3:$H$1000,"Tapilmadi")</f>
        <v>Tapilmadi</v>
      </c>
      <c r="AH90" s="179">
        <v>1</v>
      </c>
      <c r="AI90" s="180">
        <v>0</v>
      </c>
      <c r="AJ90" s="180">
        <v>0</v>
      </c>
      <c r="AK90" s="180">
        <v>50</v>
      </c>
      <c r="AL90" s="180">
        <v>0</v>
      </c>
      <c r="AM90" s="180">
        <v>351</v>
      </c>
      <c r="AN90" s="180">
        <v>0</v>
      </c>
      <c r="AO90" s="180">
        <v>351</v>
      </c>
      <c r="AP90" s="194">
        <f>Tablo7[[#This Row],[Ümumi məbləğ]]-Tablo7[[#This Row],[Ödəniş]]-Tablo7[[#This Row],[Endirim]]</f>
        <v>0</v>
      </c>
      <c r="AQ90" s="183" t="str">
        <f t="shared" si="66"/>
        <v>Mesaj</v>
      </c>
      <c r="AR90" s="183" t="str">
        <f t="shared" si="67"/>
        <v>Mesaj</v>
      </c>
      <c r="AS90" s="184" t="str">
        <f>IF(ISNA(VLOOKUP(Tablo7[[#This Row],[Sifariş kodu]],'Kəsim ve təhvil'!$E$5:$E1088,1,0)),"Qəbul edilməyib","Qəbul edilib")</f>
        <v>Qəbul edilməyib</v>
      </c>
      <c r="AT90" s="185" t="str">
        <f>IF(ISNA(VLOOKUP(Tablo7[[#This Row],[Sifariş kodu]],'Kəsim ve təhvil'!$H$5:$H1088,1,0)),"Anbardadır","Təhvil verilib")</f>
        <v>Anbardadır</v>
      </c>
      <c r="AU90" s="186" t="str">
        <f>"Hörmətli *"&amp;Tablo7[[#This Row],[Müştəri]]&amp;"*  ,Sizin *"&amp;G90&amp;"* tarixli sifarişiniz qeydə alındı. Sifariş Məbləğı *"&amp;AM90&amp;" AZN* , Qalıq *"&amp;AP90&amp;" AZN* . Hörmətlə  *AlumPro*"</f>
        <v>Hörmətli *Soltan Klent*  ,Sizin *28,12,2024* tarixli sifarişiniz qeydə alındı. Sifariş Məbləğı *351 AZN* , Qalıq *0 AZN* . Hörmətlə  *AlumPro*</v>
      </c>
      <c r="AV90" s="187" t="str">
        <f>"Hörmətli *"&amp;Tablo7[[#This Row],[Müştəri]]&amp;"* , sizin *"&amp;G90&amp;"* tarixli  sifarişiniz hazırdır . Bizi seçdiyiniz üçün minnətdarıq. Hörmətlə  *AlumPro*."</f>
        <v>Hörmətli *Soltan Klent* , sizin *28,12,2024* tarixli  sifarişiniz hazırdır . Bizi seçdiyiniz üçün minnətdarıq. Hörmətlə  *AlumPro*.</v>
      </c>
      <c r="AW90" s="188" t="str">
        <f t="shared" si="72"/>
        <v>Soltan</v>
      </c>
      <c r="AX90" s="253" t="str">
        <f t="shared" si="69"/>
        <v xml:space="preserve">Soltan </v>
      </c>
    </row>
    <row r="91" spans="4:50">
      <c r="D91" s="178">
        <v>244</v>
      </c>
      <c r="E91" s="179" t="s">
        <v>381</v>
      </c>
      <c r="F91" s="179" t="s">
        <v>339</v>
      </c>
      <c r="G91" s="212" t="s">
        <v>323</v>
      </c>
      <c r="H91" s="179" t="s">
        <v>382</v>
      </c>
      <c r="I91" s="179" t="s">
        <v>383</v>
      </c>
      <c r="J91" s="179"/>
      <c r="K91" s="179" t="s">
        <v>270</v>
      </c>
      <c r="L91" s="179"/>
      <c r="M91" s="179" t="str">
        <f>_xlfn.XLOOKUP(Tablo7[[#This Row],[Yan Profili]],Anbar!$J$3:$J$1000,Anbar!$H$3:$H$1000,"Tapilmadi")</f>
        <v>Tapilmadi</v>
      </c>
      <c r="N91" s="179">
        <v>4</v>
      </c>
      <c r="O91" s="179">
        <v>92</v>
      </c>
      <c r="P91" s="179" t="s">
        <v>184</v>
      </c>
      <c r="Q91" s="179" t="str">
        <f>_xlfn.XLOOKUP(Tablo7[[#This Row],[Qulp növü]],Anbar!$J$3:$J$1000,Anbar!$H$3:$H$1000,"Tapilmadi")</f>
        <v>Tapilmadi</v>
      </c>
      <c r="R91" s="179">
        <v>3</v>
      </c>
      <c r="S91" s="180">
        <v>78</v>
      </c>
      <c r="T91" s="181"/>
      <c r="U91" s="179" t="str">
        <f>_xlfn.XLOOKUP(Tablo7[[#This Row],[Petlə]],Anbar!$J$3:$J$1000,Anbar!$H$3:$H$1000,"Tapilmadi")</f>
        <v>Tapilmadi</v>
      </c>
      <c r="V91" s="179">
        <v>0</v>
      </c>
      <c r="W91" s="180">
        <v>0</v>
      </c>
      <c r="X91" s="269">
        <v>0</v>
      </c>
      <c r="Y91" s="179" t="s">
        <v>36</v>
      </c>
      <c r="Z91" s="182"/>
      <c r="AA91" s="180">
        <v>68</v>
      </c>
      <c r="AB91" s="180"/>
      <c r="AC91" s="179" t="str">
        <f>_xlfn.XLOOKUP(Tablo7[[#This Row],[Bağlantı]],Anbar!$J$3:$J$1000,Anbar!$H$3:$H$1000,"Tapilmadi")</f>
        <v>Tapilmadi</v>
      </c>
      <c r="AD91" s="179"/>
      <c r="AE91" s="180">
        <v>12</v>
      </c>
      <c r="AF91" s="180"/>
      <c r="AG91" s="179" t="str">
        <f>_xlfn.XLOOKUP(Tablo7[[#This Row],[Mexanizm]],Anbar!$J$3:$J$1000,Anbar!$H$3:$H$1000,"Tapilmadi")</f>
        <v>Tapilmadi</v>
      </c>
      <c r="AH91" s="179">
        <v>1</v>
      </c>
      <c r="AI91" s="180">
        <v>0</v>
      </c>
      <c r="AJ91" s="180">
        <v>12</v>
      </c>
      <c r="AK91" s="180">
        <v>45</v>
      </c>
      <c r="AL91" s="180">
        <v>0</v>
      </c>
      <c r="AM91" s="180">
        <v>300</v>
      </c>
      <c r="AN91" s="180">
        <v>7</v>
      </c>
      <c r="AO91" s="180">
        <v>150</v>
      </c>
      <c r="AP91" s="194">
        <f>Tablo7[[#This Row],[Ümumi məbləğ]]-Tablo7[[#This Row],[Ödəniş]]-Tablo7[[#This Row],[Endirim]]</f>
        <v>143</v>
      </c>
      <c r="AQ91" s="183" t="str">
        <f t="shared" si="66"/>
        <v>Mesaj</v>
      </c>
      <c r="AR91" s="183" t="str">
        <f t="shared" si="67"/>
        <v>Mesaj</v>
      </c>
      <c r="AS91" s="184" t="str">
        <f>IF(ISNA(VLOOKUP(Tablo7[[#This Row],[Sifariş kodu]],'Kəsim ve təhvil'!$E$5:$E1089,1,0)),"Qəbul edilməyib","Qəbul edilib")</f>
        <v>Qəbul edilməyib</v>
      </c>
      <c r="AT91" s="185" t="str">
        <f>IF(ISNA(VLOOKUP(Tablo7[[#This Row],[Sifariş kodu]],'Kəsim ve təhvil'!$H$5:$H1089,1,0)),"Anbardadır","Təhvil verilib")</f>
        <v>Anbardadır</v>
      </c>
      <c r="AU91" s="186" t="str">
        <f>"Hörmətli *"&amp;Tablo7[[#This Row],[Müştəri]]&amp;"*  ,Sizin *"&amp;G91&amp;"* tarixli sifarişiniz qeydə alındı. Sifariş Məbləğı *"&amp;AM91&amp;" AZN* , Qalıq *"&amp;AP91&amp;" AZN* . Hörmətlə  *AlumPro*"</f>
        <v>Hörmətli *Abdulla Abdullayev*  ,Sizin *28,12,2024* tarixli sifarişiniz qeydə alındı. Sifariş Məbləğı *300 AZN* , Qalıq *143 AZN* . Hörmətlə  *AlumPro*</v>
      </c>
      <c r="AV91" s="187" t="str">
        <f>"Hörmətli *"&amp;Tablo7[[#This Row],[Müştəri]]&amp;"* , sizin *"&amp;G91&amp;"* tarixli  sifarişiniz hazırdır . Bizi seçdiyiniz üçün minnətdarıq. Hörmətlə  *AlumPro*."</f>
        <v>Hörmətli *Abdulla Abdullayev* , sizin *28,12,2024* tarixli  sifarişiniz hazırdır . Bizi seçdiyiniz üçün minnətdarıq. Hörmətlə  *AlumPro*.</v>
      </c>
      <c r="AW91" s="188" t="str">
        <f t="shared" si="72"/>
        <v>Abdulla</v>
      </c>
      <c r="AX91" s="253" t="str">
        <f t="shared" si="69"/>
        <v xml:space="preserve">Abdulla </v>
      </c>
    </row>
    <row r="92" spans="4:50">
      <c r="D92" s="178">
        <v>243</v>
      </c>
      <c r="E92" s="179" t="s">
        <v>384</v>
      </c>
      <c r="F92" s="179" t="s">
        <v>339</v>
      </c>
      <c r="G92" s="212" t="s">
        <v>323</v>
      </c>
      <c r="H92" s="179" t="s">
        <v>385</v>
      </c>
      <c r="I92" s="179" t="s">
        <v>386</v>
      </c>
      <c r="J92" s="179"/>
      <c r="K92" s="179" t="s">
        <v>226</v>
      </c>
      <c r="L92" s="179"/>
      <c r="M92" s="179" t="str">
        <f>_xlfn.XLOOKUP(Tablo7[[#This Row],[Yan Profili]],Anbar!$J$3:$J$1000,Anbar!$H$3:$H$1000,"Tapilmadi")</f>
        <v>Tapilmadi</v>
      </c>
      <c r="N92" s="179">
        <v>3</v>
      </c>
      <c r="O92" s="179">
        <v>69</v>
      </c>
      <c r="P92" s="179" t="s">
        <v>184</v>
      </c>
      <c r="Q92" s="179" t="str">
        <f>_xlfn.XLOOKUP(Tablo7[[#This Row],[Qulp növü]],Anbar!$J$3:$J$1000,Anbar!$H$3:$H$1000,"Tapilmadi")</f>
        <v>Tapilmadi</v>
      </c>
      <c r="R92" s="179">
        <v>1</v>
      </c>
      <c r="S92" s="180">
        <v>26</v>
      </c>
      <c r="T92" s="181"/>
      <c r="U92" s="179" t="str">
        <f>_xlfn.XLOOKUP(Tablo7[[#This Row],[Petlə]],Anbar!$J$3:$J$1000,Anbar!$H$3:$H$1000,"Tapilmadi")</f>
        <v>Tapilmadi</v>
      </c>
      <c r="V92" s="179">
        <v>4</v>
      </c>
      <c r="W92" s="180">
        <v>16</v>
      </c>
      <c r="X92" s="269">
        <v>0</v>
      </c>
      <c r="Y92" s="179" t="s">
        <v>387</v>
      </c>
      <c r="Z92" s="182"/>
      <c r="AA92" s="180">
        <v>30</v>
      </c>
      <c r="AB92" s="180"/>
      <c r="AC92" s="179" t="str">
        <f>_xlfn.XLOOKUP(Tablo7[[#This Row],[Bağlantı]],Anbar!$J$3:$J$1000,Anbar!$H$3:$H$1000,"Tapilmadi")</f>
        <v>Tapilmadi</v>
      </c>
      <c r="AD92" s="179"/>
      <c r="AE92" s="180">
        <v>24</v>
      </c>
      <c r="AF92" s="180"/>
      <c r="AG92" s="179" t="str">
        <f>_xlfn.XLOOKUP(Tablo7[[#This Row],[Mexanizm]],Anbar!$J$3:$J$1000,Anbar!$H$3:$H$1000,"Tapilmadi")</f>
        <v>Tapilmadi</v>
      </c>
      <c r="AH92" s="179">
        <v>1</v>
      </c>
      <c r="AI92" s="180">
        <v>0</v>
      </c>
      <c r="AJ92" s="180">
        <v>8</v>
      </c>
      <c r="AK92" s="180">
        <v>45</v>
      </c>
      <c r="AL92" s="180">
        <v>0</v>
      </c>
      <c r="AM92" s="180">
        <v>218</v>
      </c>
      <c r="AN92" s="180">
        <v>0</v>
      </c>
      <c r="AO92" s="180">
        <v>0</v>
      </c>
      <c r="AP92" s="194">
        <f>Tablo7[[#This Row],[Ümumi məbləğ]]-Tablo7[[#This Row],[Ödəniş]]-Tablo7[[#This Row],[Endirim]]</f>
        <v>218</v>
      </c>
      <c r="AQ92" s="183" t="str">
        <f t="shared" si="66"/>
        <v>Mesaj</v>
      </c>
      <c r="AR92" s="183" t="str">
        <f t="shared" si="67"/>
        <v>Mesaj</v>
      </c>
      <c r="AS92" s="184" t="str">
        <f>IF(ISNA(VLOOKUP(Tablo7[[#This Row],[Sifariş kodu]],'Kəsim ve təhvil'!$E$5:$E1090,1,0)),"Qəbul edilməyib","Qəbul edilib")</f>
        <v>Qəbul edilməyib</v>
      </c>
      <c r="AT92" s="185" t="str">
        <f>IF(ISNA(VLOOKUP(Tablo7[[#This Row],[Sifariş kodu]],'Kəsim ve təhvil'!$H$5:$H1090,1,0)),"Anbardadır","Təhvil verilib")</f>
        <v>Anbardadır</v>
      </c>
      <c r="AU92" s="186" t="str">
        <f>"Hörmətli *"&amp;Tablo7[[#This Row],[Müştəri]]&amp;"*  ,Sizin *"&amp;G92&amp;"* tarixli sifarişiniz qeydə alındı. Sifariş Məbləğı *"&amp;AM92&amp;" AZN* , Qalıq *"&amp;AP92&amp;" AZN* . Hörmətlə  *AlumPro*"</f>
        <v>Hörmətli *Ceyhun Bmw Doz*  ,Sizin *28,12,2024* tarixli sifarişiniz qeydə alındı. Sifariş Məbləğı *218 AZN* , Qalıq *218 AZN* . Hörmətlə  *AlumPro*</v>
      </c>
      <c r="AV92" s="187" t="str">
        <f>"Hörmətli *"&amp;Tablo7[[#This Row],[Müştəri]]&amp;"* , sizin *"&amp;G92&amp;"* tarixli  sifarişiniz hazırdır . Bizi seçdiyiniz üçün minnətdarıq. Hörmətlə  *AlumPro*."</f>
        <v>Hörmətli *Ceyhun Bmw Doz* , sizin *28,12,2024* tarixli  sifarişiniz hazırdır . Bizi seçdiyiniz üçün minnətdarıq. Hörmətlə  *AlumPro*.</v>
      </c>
      <c r="AW92" s="188" t="str">
        <f t="shared" si="72"/>
        <v>Ceyhun</v>
      </c>
      <c r="AX92" s="253" t="str">
        <f t="shared" si="69"/>
        <v xml:space="preserve">Ceyhun </v>
      </c>
    </row>
    <row r="93" spans="4:50">
      <c r="D93" s="178">
        <v>242</v>
      </c>
      <c r="E93" s="179" t="s">
        <v>388</v>
      </c>
      <c r="F93" s="179" t="s">
        <v>339</v>
      </c>
      <c r="G93" s="212" t="s">
        <v>323</v>
      </c>
      <c r="H93" s="179" t="s">
        <v>389</v>
      </c>
      <c r="I93" s="179" t="s">
        <v>390</v>
      </c>
      <c r="J93" s="179" t="s">
        <v>333</v>
      </c>
      <c r="K93" s="179"/>
      <c r="L93" s="179"/>
      <c r="M93" s="179" t="str">
        <f>_xlfn.XLOOKUP(Tablo7[[#This Row],[Yan Profili]],Anbar!$J$3:$J$1000,Anbar!$H$3:$H$1000,"Tapilmadi")</f>
        <v>Tapilmadi</v>
      </c>
      <c r="N93" s="179">
        <v>0</v>
      </c>
      <c r="O93" s="179">
        <v>0</v>
      </c>
      <c r="P93" s="179">
        <v>0</v>
      </c>
      <c r="Q93" s="179" t="str">
        <f>_xlfn.XLOOKUP(Tablo7[[#This Row],[Qulp növü]],Anbar!$J$3:$J$1000,Anbar!$H$3:$H$1000,"Tapilmadi")</f>
        <v>Tapilmadi</v>
      </c>
      <c r="R93" s="179">
        <v>0</v>
      </c>
      <c r="S93" s="180">
        <v>0</v>
      </c>
      <c r="T93" s="181"/>
      <c r="U93" s="179" t="str">
        <f>_xlfn.XLOOKUP(Tablo7[[#This Row],[Petlə]],Anbar!$J$3:$J$1000,Anbar!$H$3:$H$1000,"Tapilmadi")</f>
        <v>Tapilmadi</v>
      </c>
      <c r="V93" s="179">
        <v>0</v>
      </c>
      <c r="W93" s="180">
        <v>0</v>
      </c>
      <c r="X93" s="269">
        <v>0</v>
      </c>
      <c r="Y93" s="179" t="s">
        <v>199</v>
      </c>
      <c r="Z93" s="182"/>
      <c r="AA93" s="180">
        <v>422</v>
      </c>
      <c r="AB93" s="180"/>
      <c r="AC93" s="179" t="str">
        <f>_xlfn.XLOOKUP(Tablo7[[#This Row],[Bağlantı]],Anbar!$J$3:$J$1000,Anbar!$H$3:$H$1000,"Tapilmadi")</f>
        <v>Tapilmadi</v>
      </c>
      <c r="AD93" s="179"/>
      <c r="AE93" s="180">
        <v>0</v>
      </c>
      <c r="AF93" s="180"/>
      <c r="AG93" s="179" t="str">
        <f>_xlfn.XLOOKUP(Tablo7[[#This Row],[Mexanizm]],Anbar!$J$3:$J$1000,Anbar!$H$3:$H$1000,"Tapilmadi")</f>
        <v>Tapilmadi</v>
      </c>
      <c r="AH93" s="179">
        <v>1</v>
      </c>
      <c r="AI93" s="180">
        <v>0</v>
      </c>
      <c r="AJ93" s="180">
        <v>0</v>
      </c>
      <c r="AK93" s="180">
        <v>195</v>
      </c>
      <c r="AL93" s="180">
        <v>0</v>
      </c>
      <c r="AM93" s="180">
        <v>617</v>
      </c>
      <c r="AN93" s="180">
        <v>0</v>
      </c>
      <c r="AO93" s="180">
        <v>0</v>
      </c>
      <c r="AP93" s="194">
        <f>Tablo7[[#This Row],[Ümumi məbləğ]]-Tablo7[[#This Row],[Ödəniş]]-Tablo7[[#This Row],[Endirim]]</f>
        <v>617</v>
      </c>
      <c r="AQ93" s="183" t="str">
        <f t="shared" si="66"/>
        <v>Mesaj</v>
      </c>
      <c r="AR93" s="183" t="str">
        <f t="shared" si="67"/>
        <v>Mesaj</v>
      </c>
      <c r="AS93" s="184" t="str">
        <f>IF(ISNA(VLOOKUP(Tablo7[[#This Row],[Sifariş kodu]],'Kəsim ve təhvil'!$E$5:$E1091,1,0)),"Qəbul edilməyib","Qəbul edilib")</f>
        <v>Qəbul edilməyib</v>
      </c>
      <c r="AT93" s="185" t="str">
        <f>IF(ISNA(VLOOKUP(Tablo7[[#This Row],[Sifariş kodu]],'Kəsim ve təhvil'!$H$5:$H1091,1,0)),"Anbardadır","Təhvil verilib")</f>
        <v>Anbardadır</v>
      </c>
      <c r="AU93" s="186" t="str">
        <f>"Hörmətli *"&amp;Tablo7[[#This Row],[Müştəri]]&amp;"*  ,Sizin *"&amp;G93&amp;"* tarixli sifarişiniz qeydə alındı. Sifariş Məbləğı *"&amp;AM93&amp;" AZN* , Qalıq *"&amp;AP93&amp;" AZN* . Hörmətlə  *AlumPro*"</f>
        <v>Hörmətli *Samir Ayla Mebel*  ,Sizin *28,12,2024* tarixli sifarişiniz qeydə alındı. Sifariş Məbləğı *617 AZN* , Qalıq *617 AZN* . Hörmətlə  *AlumPro*</v>
      </c>
      <c r="AV93" s="187" t="str">
        <f>"Hörmətli *"&amp;Tablo7[[#This Row],[Müştəri]]&amp;"* , sizin *"&amp;G93&amp;"* tarixli  sifarişiniz hazırdır . Bizi seçdiyiniz üçün minnətdarıq. Hörmətlə  *AlumPro*."</f>
        <v>Hörmətli *Samir Ayla Mebel* , sizin *28,12,2024* tarixli  sifarişiniz hazırdır . Bizi seçdiyiniz üçün minnətdarıq. Hörmətlə  *AlumPro*.</v>
      </c>
      <c r="AW93" s="188" t="str">
        <f t="shared" si="72"/>
        <v>Samir</v>
      </c>
      <c r="AX93" s="253" t="str">
        <f t="shared" si="69"/>
        <v xml:space="preserve">Samir </v>
      </c>
    </row>
    <row r="94" spans="4:50">
      <c r="D94" s="178">
        <v>241</v>
      </c>
      <c r="E94" s="179" t="s">
        <v>391</v>
      </c>
      <c r="F94" s="179" t="s">
        <v>339</v>
      </c>
      <c r="G94" s="212" t="s">
        <v>392</v>
      </c>
      <c r="H94" s="179" t="s">
        <v>242</v>
      </c>
      <c r="I94" s="179" t="s">
        <v>243</v>
      </c>
      <c r="J94" s="179" t="s">
        <v>393</v>
      </c>
      <c r="K94" s="179"/>
      <c r="L94" s="179"/>
      <c r="M94" s="179" t="str">
        <f>_xlfn.XLOOKUP(Tablo7[[#This Row],[Yan Profili]],Anbar!$J$3:$J$1000,Anbar!$H$3:$H$1000,"Tapilmadi")</f>
        <v>Tapilmadi</v>
      </c>
      <c r="N94" s="179">
        <v>0</v>
      </c>
      <c r="O94" s="179">
        <v>0</v>
      </c>
      <c r="P94" s="179">
        <v>0</v>
      </c>
      <c r="Q94" s="179" t="str">
        <f>_xlfn.XLOOKUP(Tablo7[[#This Row],[Qulp növü]],Anbar!$J$3:$J$1000,Anbar!$H$3:$H$1000,"Tapilmadi")</f>
        <v>Tapilmadi</v>
      </c>
      <c r="R94" s="179">
        <v>0</v>
      </c>
      <c r="S94" s="180">
        <v>0</v>
      </c>
      <c r="T94" s="181"/>
      <c r="U94" s="179" t="str">
        <f>_xlfn.XLOOKUP(Tablo7[[#This Row],[Petlə]],Anbar!$J$3:$J$1000,Anbar!$H$3:$H$1000,"Tapilmadi")</f>
        <v>Tapilmadi</v>
      </c>
      <c r="V94" s="179">
        <v>0</v>
      </c>
      <c r="W94" s="180">
        <v>0</v>
      </c>
      <c r="X94" s="269">
        <v>0</v>
      </c>
      <c r="Y94" s="179"/>
      <c r="Z94" s="182"/>
      <c r="AA94" s="180">
        <v>0</v>
      </c>
      <c r="AB94" s="180"/>
      <c r="AC94" s="179" t="str">
        <f>_xlfn.XLOOKUP(Tablo7[[#This Row],[Bağlantı]],Anbar!$J$3:$J$1000,Anbar!$H$3:$H$1000,"Tapilmadi")</f>
        <v>Tapilmadi</v>
      </c>
      <c r="AD94" s="179"/>
      <c r="AE94" s="180">
        <v>0</v>
      </c>
      <c r="AF94" s="180"/>
      <c r="AG94" s="179" t="str">
        <f>_xlfn.XLOOKUP(Tablo7[[#This Row],[Mexanizm]],Anbar!$J$3:$J$1000,Anbar!$H$3:$H$1000,"Tapilmadi")</f>
        <v>Tapilmadi</v>
      </c>
      <c r="AH94" s="179">
        <v>1</v>
      </c>
      <c r="AI94" s="180">
        <v>0</v>
      </c>
      <c r="AJ94" s="180">
        <v>0</v>
      </c>
      <c r="AK94" s="180">
        <v>0</v>
      </c>
      <c r="AL94" s="180">
        <v>202</v>
      </c>
      <c r="AM94" s="180">
        <v>202</v>
      </c>
      <c r="AN94" s="180">
        <v>0</v>
      </c>
      <c r="AO94" s="180">
        <v>0</v>
      </c>
      <c r="AP94" s="194">
        <f>Tablo7[[#This Row],[Ümumi məbləğ]]-Tablo7[[#This Row],[Ödəniş]]-Tablo7[[#This Row],[Endirim]]</f>
        <v>202</v>
      </c>
      <c r="AQ94" s="183" t="str">
        <f t="shared" si="66"/>
        <v>Mesaj</v>
      </c>
      <c r="AR94" s="183" t="str">
        <f t="shared" si="67"/>
        <v>Mesaj</v>
      </c>
      <c r="AS94" s="184" t="str">
        <f>IF(ISNA(VLOOKUP(Tablo7[[#This Row],[Sifariş kodu]],'Kəsim ve təhvil'!$E$5:$E1092,1,0)),"Qəbul edilməyib","Qəbul edilib")</f>
        <v>Qəbul edilməyib</v>
      </c>
      <c r="AT94" s="185" t="str">
        <f>IF(ISNA(VLOOKUP(Tablo7[[#This Row],[Sifariş kodu]],'Kəsim ve təhvil'!$H$5:$H1092,1,0)),"Anbardadır","Təhvil verilib")</f>
        <v>Anbardadır</v>
      </c>
      <c r="AU94" s="186" t="str">
        <f>"Hörmətli *"&amp;Tablo7[[#This Row],[Müştəri]]&amp;"*  ,Sizin *"&amp;G94&amp;"* tarixli sifarişiniz qeydə alındı. Sifariş Məbləğı *"&amp;AM94&amp;" AZN* , Qalıq *"&amp;AP94&amp;" AZN* . Hörmətlə  *AlumPro*"</f>
        <v>Hörmətli *Mutfakci Maliyye*  ,Sizin *12/28/2024* tarixli sifarişiniz qeydə alındı. Sifariş Məbləğı *202 AZN* , Qalıq *202 AZN* . Hörmətlə  *AlumPro*</v>
      </c>
      <c r="AV94" s="187" t="str">
        <f>"Hörmətli *"&amp;Tablo7[[#This Row],[Müştəri]]&amp;"* , sizin *"&amp;G94&amp;"* tarixli  sifarişiniz hazırdır . Bizi seçdiyiniz üçün minnətdarıq. Hörmətlə  *AlumPro*."</f>
        <v>Hörmətli *Mutfakci Maliyye* , sizin *12/28/2024* tarixli  sifarişiniz hazırdır . Bizi seçdiyiniz üçün minnətdarıq. Hörmətlə  *AlumPro*.</v>
      </c>
      <c r="AW94" s="188" t="str">
        <f t="shared" si="72"/>
        <v>Mutfakci</v>
      </c>
      <c r="AX94" s="253" t="str">
        <f t="shared" si="69"/>
        <v xml:space="preserve">Mutfakci </v>
      </c>
    </row>
    <row r="95" spans="4:50">
      <c r="D95" s="178">
        <v>240</v>
      </c>
      <c r="E95" s="179" t="s">
        <v>394</v>
      </c>
      <c r="F95" s="179" t="s">
        <v>339</v>
      </c>
      <c r="G95" s="212" t="s">
        <v>395</v>
      </c>
      <c r="H95" s="179" t="s">
        <v>192</v>
      </c>
      <c r="I95" s="179" t="s">
        <v>193</v>
      </c>
      <c r="J95" s="179"/>
      <c r="K95" s="179" t="s">
        <v>183</v>
      </c>
      <c r="L95" s="179"/>
      <c r="M95" s="179" t="str">
        <f>_xlfn.XLOOKUP(Tablo7[[#This Row],[Yan Profili]],Anbar!$J$3:$J$1000,Anbar!$H$3:$H$1000,"Tapilmadi")</f>
        <v>Tapilmadi</v>
      </c>
      <c r="N95" s="179">
        <v>2</v>
      </c>
      <c r="O95" s="179">
        <v>46</v>
      </c>
      <c r="P95" s="179" t="s">
        <v>184</v>
      </c>
      <c r="Q95" s="179" t="str">
        <f>_xlfn.XLOOKUP(Tablo7[[#This Row],[Qulp növü]],Anbar!$J$3:$J$1000,Anbar!$H$3:$H$1000,"Tapilmadi")</f>
        <v>Tapilmadi</v>
      </c>
      <c r="R95" s="179">
        <v>1</v>
      </c>
      <c r="S95" s="180">
        <v>26</v>
      </c>
      <c r="T95" s="181"/>
      <c r="U95" s="179" t="str">
        <f>_xlfn.XLOOKUP(Tablo7[[#This Row],[Petlə]],Anbar!$J$3:$J$1000,Anbar!$H$3:$H$1000,"Tapilmadi")</f>
        <v>Tapilmadi</v>
      </c>
      <c r="V95" s="179">
        <v>0</v>
      </c>
      <c r="W95" s="180">
        <v>0</v>
      </c>
      <c r="X95" s="269">
        <v>9</v>
      </c>
      <c r="Y95" s="179" t="s">
        <v>36</v>
      </c>
      <c r="Z95" s="182"/>
      <c r="AA95" s="180">
        <v>40</v>
      </c>
      <c r="AB95" s="180"/>
      <c r="AC95" s="179" t="str">
        <f>_xlfn.XLOOKUP(Tablo7[[#This Row],[Bağlantı]],Anbar!$J$3:$J$1000,Anbar!$H$3:$H$1000,"Tapilmadi")</f>
        <v>Tapilmadi</v>
      </c>
      <c r="AD95" s="179"/>
      <c r="AE95" s="180">
        <v>4</v>
      </c>
      <c r="AF95" s="180"/>
      <c r="AG95" s="179" t="str">
        <f>_xlfn.XLOOKUP(Tablo7[[#This Row],[Mexanizm]],Anbar!$J$3:$J$1000,Anbar!$H$3:$H$1000,"Tapilmadi")</f>
        <v>Tapilmadi</v>
      </c>
      <c r="AH95" s="179">
        <v>1</v>
      </c>
      <c r="AI95" s="180">
        <v>0</v>
      </c>
      <c r="AJ95" s="180">
        <v>5</v>
      </c>
      <c r="AK95" s="180">
        <v>15</v>
      </c>
      <c r="AL95" s="180">
        <v>0</v>
      </c>
      <c r="AM95" s="180">
        <v>145</v>
      </c>
      <c r="AN95" s="180">
        <v>0</v>
      </c>
      <c r="AO95" s="180">
        <v>0</v>
      </c>
      <c r="AP95" s="194">
        <f>Tablo7[[#This Row],[Ümumi məbləğ]]-Tablo7[[#This Row],[Ödəniş]]-Tablo7[[#This Row],[Endirim]]</f>
        <v>145</v>
      </c>
      <c r="AQ95" s="183" t="str">
        <f t="shared" si="66"/>
        <v>Mesaj</v>
      </c>
      <c r="AR95" s="183" t="str">
        <f t="shared" si="67"/>
        <v>Mesaj</v>
      </c>
      <c r="AS95" s="184" t="str">
        <f>IF(ISNA(VLOOKUP(Tablo7[[#This Row],[Sifariş kodu]],'Kəsim ve təhvil'!$E$5:$E1093,1,0)),"Qəbul edilməyib","Qəbul edilib")</f>
        <v>Qəbul edilməyib</v>
      </c>
      <c r="AT95" s="185" t="str">
        <f>IF(ISNA(VLOOKUP(Tablo7[[#This Row],[Sifariş kodu]],'Kəsim ve təhvil'!$H$5:$H1093,1,0)),"Anbardadır","Təhvil verilib")</f>
        <v>Anbardadır</v>
      </c>
      <c r="AU95" s="186" t="str">
        <f>"Hörmətli *"&amp;Tablo7[[#This Row],[Müştəri]]&amp;"*  ,Sizin *"&amp;G95&amp;"* tarixli sifarişiniz qeydə alındı. Sifariş Məbləğı *"&amp;AM95&amp;" AZN* , Qalıq *"&amp;AP95&amp;" AZN* . Hörmətlə  *AlumPro*"</f>
        <v>Hörmətli *Aksin Mahmudov*  ,Sizin *01,11,2024* tarixli sifarişiniz qeydə alındı. Sifariş Məbləğı *145 AZN* , Qalıq *145 AZN* . Hörmətlə  *AlumPro*</v>
      </c>
      <c r="AV95" s="187" t="str">
        <f>"Hörmətli *"&amp;Tablo7[[#This Row],[Müştəri]]&amp;"* , sizin *"&amp;G95&amp;"* tarixli  sifarişiniz hazırdır . Bizi seçdiyiniz üçün minnətdarıq. Hörmətlə  *AlumPro*."</f>
        <v>Hörmətli *Aksin Mahmudov* , sizin *01,11,2024* tarixli  sifarişiniz hazırdır . Bizi seçdiyiniz üçün minnətdarıq. Hörmətlə  *AlumPro*.</v>
      </c>
      <c r="AW95" s="188" t="str">
        <f t="shared" si="72"/>
        <v>Aksin</v>
      </c>
      <c r="AX95" s="253" t="str">
        <f t="shared" si="69"/>
        <v xml:space="preserve">Aksin </v>
      </c>
    </row>
    <row r="96" spans="4:50">
      <c r="D96" s="178">
        <v>239</v>
      </c>
      <c r="E96" s="179" t="s">
        <v>396</v>
      </c>
      <c r="F96" s="179" t="s">
        <v>339</v>
      </c>
      <c r="G96" s="212" t="s">
        <v>395</v>
      </c>
      <c r="H96" s="179" t="s">
        <v>389</v>
      </c>
      <c r="I96" s="179" t="s">
        <v>390</v>
      </c>
      <c r="J96" s="179"/>
      <c r="K96" s="179" t="s">
        <v>189</v>
      </c>
      <c r="L96" s="179"/>
      <c r="M96" s="179" t="str">
        <f>_xlfn.XLOOKUP(Tablo7[[#This Row],[Yan Profili]],Anbar!$J$3:$J$1000,Anbar!$H$3:$H$1000,"Tapilmadi")</f>
        <v>Tapilmadi</v>
      </c>
      <c r="N96" s="179">
        <v>2</v>
      </c>
      <c r="O96" s="179">
        <v>46</v>
      </c>
      <c r="P96" s="179" t="s">
        <v>195</v>
      </c>
      <c r="Q96" s="179" t="str">
        <f>_xlfn.XLOOKUP(Tablo7[[#This Row],[Qulp növü]],Anbar!$J$3:$J$1000,Anbar!$H$3:$H$1000,"Tapilmadi")</f>
        <v>Tapilmadi</v>
      </c>
      <c r="R96" s="179">
        <v>0</v>
      </c>
      <c r="S96" s="180">
        <v>0</v>
      </c>
      <c r="T96" s="181"/>
      <c r="U96" s="179" t="str">
        <f>_xlfn.XLOOKUP(Tablo7[[#This Row],[Petlə]],Anbar!$J$3:$J$1000,Anbar!$H$3:$H$1000,"Tapilmadi")</f>
        <v>Tapilmadi</v>
      </c>
      <c r="V96" s="179">
        <v>0</v>
      </c>
      <c r="W96" s="180">
        <v>0</v>
      </c>
      <c r="X96" s="269">
        <v>0</v>
      </c>
      <c r="Y96" s="179" t="s">
        <v>199</v>
      </c>
      <c r="Z96" s="182"/>
      <c r="AA96" s="180">
        <v>22</v>
      </c>
      <c r="AB96" s="180"/>
      <c r="AC96" s="179" t="str">
        <f>_xlfn.XLOOKUP(Tablo7[[#This Row],[Bağlantı]],Anbar!$J$3:$J$1000,Anbar!$H$3:$H$1000,"Tapilmadi")</f>
        <v>Tapilmadi</v>
      </c>
      <c r="AD96" s="179"/>
      <c r="AE96" s="180">
        <v>8</v>
      </c>
      <c r="AF96" s="180"/>
      <c r="AG96" s="179" t="str">
        <f>_xlfn.XLOOKUP(Tablo7[[#This Row],[Mexanizm]],Anbar!$J$3:$J$1000,Anbar!$H$3:$H$1000,"Tapilmadi")</f>
        <v>Tapilmadi</v>
      </c>
      <c r="AH96" s="179">
        <v>1</v>
      </c>
      <c r="AI96" s="180">
        <v>0</v>
      </c>
      <c r="AJ96" s="180">
        <v>4</v>
      </c>
      <c r="AK96" s="180">
        <v>20</v>
      </c>
      <c r="AL96" s="180">
        <v>0</v>
      </c>
      <c r="AM96" s="180">
        <v>224</v>
      </c>
      <c r="AN96" s="180">
        <v>0</v>
      </c>
      <c r="AO96" s="180">
        <v>224</v>
      </c>
      <c r="AP96" s="194">
        <f>Tablo7[[#This Row],[Ümumi məbləğ]]-Tablo7[[#This Row],[Ödəniş]]-Tablo7[[#This Row],[Endirim]]</f>
        <v>0</v>
      </c>
      <c r="AQ96" s="183" t="str">
        <f t="shared" si="66"/>
        <v>Mesaj</v>
      </c>
      <c r="AR96" s="183" t="str">
        <f t="shared" si="67"/>
        <v>Mesaj</v>
      </c>
      <c r="AS96" s="184" t="str">
        <f>IF(ISNA(VLOOKUP(Tablo7[[#This Row],[Sifariş kodu]],'Kəsim ve təhvil'!$E$5:$E1094,1,0)),"Qəbul edilməyib","Qəbul edilib")</f>
        <v>Qəbul edilməyib</v>
      </c>
      <c r="AT96" s="185" t="str">
        <f>IF(ISNA(VLOOKUP(Tablo7[[#This Row],[Sifariş kodu]],'Kəsim ve təhvil'!$H$5:$H1094,1,0)),"Anbardadır","Təhvil verilib")</f>
        <v>Anbardadır</v>
      </c>
      <c r="AU96" s="186" t="str">
        <f>"Hörmətli *"&amp;Tablo7[[#This Row],[Müştəri]]&amp;"*  ,Sizin *"&amp;G96&amp;"* tarixli sifarişiniz qeydə alındı. Sifariş Məbləğı *"&amp;AM96&amp;" AZN* , Qalıq *"&amp;AP96&amp;" AZN* . Hörmətlə  *AlumPro*"</f>
        <v>Hörmətli *Samir Ayla Mebel*  ,Sizin *01,11,2024* tarixli sifarişiniz qeydə alındı. Sifariş Məbləğı *224 AZN* , Qalıq *0 AZN* . Hörmətlə  *AlumPro*</v>
      </c>
      <c r="AV96" s="187" t="str">
        <f>"Hörmətli *"&amp;Tablo7[[#This Row],[Müştəri]]&amp;"* , sizin *"&amp;G96&amp;"* tarixli  sifarişiniz hazırdır . Bizi seçdiyiniz üçün minnətdarıq. Hörmətlə  *AlumPro*."</f>
        <v>Hörmətli *Samir Ayla Mebel* , sizin *01,11,2024* tarixli  sifarişiniz hazırdır . Bizi seçdiyiniz üçün minnətdarıq. Hörmətlə  *AlumPro*.</v>
      </c>
      <c r="AW96" s="188" t="str">
        <f t="shared" si="72"/>
        <v>Samir</v>
      </c>
      <c r="AX96" s="253" t="str">
        <f t="shared" si="69"/>
        <v xml:space="preserve">Samir </v>
      </c>
    </row>
    <row r="97" spans="4:50">
      <c r="D97" s="178">
        <v>237</v>
      </c>
      <c r="E97" s="179" t="s">
        <v>397</v>
      </c>
      <c r="F97" s="179" t="s">
        <v>339</v>
      </c>
      <c r="G97" s="212" t="s">
        <v>398</v>
      </c>
      <c r="H97" s="179" t="s">
        <v>389</v>
      </c>
      <c r="I97" s="179" t="s">
        <v>390</v>
      </c>
      <c r="J97" s="179"/>
      <c r="K97" s="179" t="s">
        <v>399</v>
      </c>
      <c r="L97" s="179"/>
      <c r="M97" s="179" t="str">
        <f>_xlfn.XLOOKUP(Tablo7[[#This Row],[Yan Profili]],Anbar!$J$3:$J$1000,Anbar!$H$3:$H$1000,"Tapilmadi")</f>
        <v>Tapilmadi</v>
      </c>
      <c r="N97" s="179">
        <v>6</v>
      </c>
      <c r="O97" s="179">
        <v>138</v>
      </c>
      <c r="P97" s="179" t="s">
        <v>184</v>
      </c>
      <c r="Q97" s="179" t="str">
        <f>_xlfn.XLOOKUP(Tablo7[[#This Row],[Qulp növü]],Anbar!$J$3:$J$1000,Anbar!$H$3:$H$1000,"Tapilmadi")</f>
        <v>Tapilmadi</v>
      </c>
      <c r="R97" s="179">
        <v>4</v>
      </c>
      <c r="S97" s="180">
        <v>104</v>
      </c>
      <c r="T97" s="181"/>
      <c r="U97" s="179" t="str">
        <f>_xlfn.XLOOKUP(Tablo7[[#This Row],[Petlə]],Anbar!$J$3:$J$1000,Anbar!$H$3:$H$1000,"Tapilmadi")</f>
        <v>Tapilmadi</v>
      </c>
      <c r="V97" s="179">
        <v>0</v>
      </c>
      <c r="W97" s="180">
        <v>0</v>
      </c>
      <c r="X97" s="269">
        <v>0</v>
      </c>
      <c r="Y97" s="179" t="s">
        <v>325</v>
      </c>
      <c r="Z97" s="182"/>
      <c r="AA97" s="180">
        <v>192</v>
      </c>
      <c r="AB97" s="180"/>
      <c r="AC97" s="179" t="str">
        <f>_xlfn.XLOOKUP(Tablo7[[#This Row],[Bağlantı]],Anbar!$J$3:$J$1000,Anbar!$H$3:$H$1000,"Tapilmadi")</f>
        <v>Tapilmadi</v>
      </c>
      <c r="AD97" s="179"/>
      <c r="AE97" s="180">
        <v>16</v>
      </c>
      <c r="AF97" s="180"/>
      <c r="AG97" s="179" t="str">
        <f>_xlfn.XLOOKUP(Tablo7[[#This Row],[Mexanizm]],Anbar!$J$3:$J$1000,Anbar!$H$3:$H$1000,"Tapilmadi")</f>
        <v>Tapilmadi</v>
      </c>
      <c r="AH97" s="179">
        <v>1</v>
      </c>
      <c r="AI97" s="180">
        <v>0</v>
      </c>
      <c r="AJ97" s="180">
        <v>20</v>
      </c>
      <c r="AK97" s="180">
        <v>60</v>
      </c>
      <c r="AL97" s="180">
        <v>0</v>
      </c>
      <c r="AM97" s="180">
        <v>530</v>
      </c>
      <c r="AN97" s="180">
        <v>0</v>
      </c>
      <c r="AO97" s="180">
        <v>530</v>
      </c>
      <c r="AP97" s="194">
        <f>Tablo7[[#This Row],[Ümumi məbləğ]]-Tablo7[[#This Row],[Ödəniş]]-Tablo7[[#This Row],[Endirim]]</f>
        <v>0</v>
      </c>
      <c r="AQ97" s="183" t="str">
        <f t="shared" si="66"/>
        <v>Mesaj</v>
      </c>
      <c r="AR97" s="183" t="str">
        <f t="shared" si="67"/>
        <v>Mesaj</v>
      </c>
      <c r="AS97" s="184" t="str">
        <f>IF(ISNA(VLOOKUP(Tablo7[[#This Row],[Sifariş kodu]],'Kəsim ve təhvil'!$E$5:$E1095,1,0)),"Qəbul edilməyib","Qəbul edilib")</f>
        <v>Qəbul edilməyib</v>
      </c>
      <c r="AT97" s="185" t="str">
        <f>IF(ISNA(VLOOKUP(Tablo7[[#This Row],[Sifariş kodu]],'Kəsim ve təhvil'!$H$5:$H1095,1,0)),"Anbardadır","Təhvil verilib")</f>
        <v>Anbardadır</v>
      </c>
      <c r="AU97" s="186" t="str">
        <f>"Hörmətli *"&amp;Tablo7[[#This Row],[Müştəri]]&amp;"*  ,Sizin *"&amp;G97&amp;"* tarixli sifarişiniz qeydə alındı. Sifariş Məbləğı *"&amp;AM97&amp;" AZN* , Qalıq *"&amp;AP97&amp;" AZN* . Hörmətlə  *AlumPro*"</f>
        <v>Hörmətli *Samir Ayla Mebel*  ,Sizin *29,10,2024* tarixli sifarişiniz qeydə alındı. Sifariş Məbləğı *530 AZN* , Qalıq *0 AZN* . Hörmətlə  *AlumPro*</v>
      </c>
      <c r="AV97" s="187" t="str">
        <f>"Hörmətli *"&amp;Tablo7[[#This Row],[Müştəri]]&amp;"* , sizin *"&amp;G97&amp;"* tarixli  sifarişiniz hazırdır . Bizi seçdiyiniz üçün minnətdarıq. Hörmətlə  *AlumPro*."</f>
        <v>Hörmətli *Samir Ayla Mebel* , sizin *29,10,2024* tarixli  sifarişiniz hazırdır . Bizi seçdiyiniz üçün minnətdarıq. Hörmətlə  *AlumPro*.</v>
      </c>
      <c r="AW97" s="188" t="str">
        <f t="shared" si="72"/>
        <v>Samir</v>
      </c>
      <c r="AX97" s="253" t="str">
        <f t="shared" si="69"/>
        <v xml:space="preserve">Samir </v>
      </c>
    </row>
    <row r="98" spans="4:50">
      <c r="D98" s="178">
        <v>236</v>
      </c>
      <c r="E98" s="179" t="s">
        <v>400</v>
      </c>
      <c r="F98" s="179" t="s">
        <v>339</v>
      </c>
      <c r="G98" s="212" t="s">
        <v>401</v>
      </c>
      <c r="H98" s="179" t="s">
        <v>389</v>
      </c>
      <c r="I98" s="179" t="s">
        <v>390</v>
      </c>
      <c r="J98" s="179"/>
      <c r="K98" s="179" t="s">
        <v>183</v>
      </c>
      <c r="L98" s="179"/>
      <c r="M98" s="179">
        <f>_xlfn.XLOOKUP(Tablo7[[#This Row],[Yan Profili]],Anbar!$J$3:$J$1000,Anbar!$H$3:$H$1000,"Tapilmadi")</f>
        <v>0</v>
      </c>
      <c r="N98" s="179">
        <v>6</v>
      </c>
      <c r="O98" s="179">
        <v>138</v>
      </c>
      <c r="P98" s="179" t="s">
        <v>184</v>
      </c>
      <c r="Q98" s="179" t="str">
        <f>_xlfn.XLOOKUP(Tablo7[[#This Row],[Qulp növü]],Anbar!$J$3:$J$1000,Anbar!$H$3:$H$1000,"Tapilmadi")</f>
        <v>Tapilmadi</v>
      </c>
      <c r="R98" s="179">
        <v>4</v>
      </c>
      <c r="S98" s="180">
        <v>104</v>
      </c>
      <c r="T98" s="181"/>
      <c r="U98" s="179" t="str">
        <f>_xlfn.XLOOKUP(Tablo7[[#This Row],[Petlə]],Anbar!$J$3:$J$1000,Anbar!$H$3:$H$1000,"Tapilmadi")</f>
        <v>Tapilmadi</v>
      </c>
      <c r="V98" s="179">
        <v>0</v>
      </c>
      <c r="W98" s="180">
        <v>0</v>
      </c>
      <c r="X98" s="269">
        <v>0</v>
      </c>
      <c r="Y98" s="179" t="s">
        <v>325</v>
      </c>
      <c r="Z98" s="182"/>
      <c r="AA98" s="180">
        <v>196</v>
      </c>
      <c r="AB98" s="180"/>
      <c r="AC98" s="179" t="str">
        <f>_xlfn.XLOOKUP(Tablo7[[#This Row],[Bağlantı]],Anbar!$J$3:$J$1000,Anbar!$H$3:$H$1000,"Tapilmadi")</f>
        <v>Tapilmadi</v>
      </c>
      <c r="AD98" s="179"/>
      <c r="AE98" s="180">
        <v>16</v>
      </c>
      <c r="AF98" s="180"/>
      <c r="AG98" s="179" t="str">
        <f>_xlfn.XLOOKUP(Tablo7[[#This Row],[Mexanizm]],Anbar!$J$3:$J$1000,Anbar!$H$3:$H$1000,"Tapilmadi")</f>
        <v>Tapilmadi</v>
      </c>
      <c r="AH98" s="179">
        <v>1</v>
      </c>
      <c r="AI98" s="180">
        <v>0</v>
      </c>
      <c r="AJ98" s="180">
        <v>20</v>
      </c>
      <c r="AK98" s="180">
        <v>60</v>
      </c>
      <c r="AL98" s="180">
        <v>0</v>
      </c>
      <c r="AM98" s="180">
        <v>530</v>
      </c>
      <c r="AN98" s="180">
        <v>4</v>
      </c>
      <c r="AO98" s="180">
        <v>526</v>
      </c>
      <c r="AP98" s="194">
        <f>Tablo7[[#This Row],[Ümumi məbləğ]]-Tablo7[[#This Row],[Ödəniş]]-Tablo7[[#This Row],[Endirim]]</f>
        <v>0</v>
      </c>
      <c r="AQ98" s="183" t="str">
        <f t="shared" si="66"/>
        <v>Mesaj</v>
      </c>
      <c r="AR98" s="183" t="str">
        <f t="shared" si="67"/>
        <v>Mesaj</v>
      </c>
      <c r="AS98" s="184" t="str">
        <f>IF(ISNA(VLOOKUP(Tablo7[[#This Row],[Sifariş kodu]],'Kəsim ve təhvil'!$E$5:$E1096,1,0)),"Qəbul edilməyib","Qəbul edilib")</f>
        <v>Qəbul edilməyib</v>
      </c>
      <c r="AT98" s="185" t="str">
        <f>IF(ISNA(VLOOKUP(Tablo7[[#This Row],[Sifariş kodu]],'Kəsim ve təhvil'!$H$5:$H1096,1,0)),"Anbardadır","Təhvil verilib")</f>
        <v>Anbardadır</v>
      </c>
      <c r="AU98" s="186" t="str">
        <f>"Hörmətli *"&amp;Tablo7[[#This Row],[Müştəri]]&amp;"*  ,Sizin *"&amp;G98&amp;"* tarixli sifarişiniz qeydə alındı. Sifariş Məbləğı *"&amp;AM98&amp;" AZN* , Qalıq *"&amp;AP98&amp;" AZN* . Hörmətlə  *AlumPro*"</f>
        <v>Hörmətli *Samir Ayla Mebel*  ,Sizin *24,10,2024* tarixli sifarişiniz qeydə alındı. Sifariş Məbləğı *530 AZN* , Qalıq *0 AZN* . Hörmətlə  *AlumPro*</v>
      </c>
      <c r="AV98" s="187" t="str">
        <f>"Hörmətli *"&amp;Tablo7[[#This Row],[Müştəri]]&amp;"* , sizin *"&amp;G98&amp;"* tarixli  sifarişiniz hazırdır . Bizi seçdiyiniz üçün minnətdarıq. Hörmətlə  *AlumPro*."</f>
        <v>Hörmətli *Samir Ayla Mebel* , sizin *24,10,2024* tarixli  sifarişiniz hazırdır . Bizi seçdiyiniz üçün minnətdarıq. Hörmətlə  *AlumPro*.</v>
      </c>
      <c r="AW98" s="188" t="str">
        <f t="shared" si="72"/>
        <v>Samir</v>
      </c>
      <c r="AX98" s="253" t="str">
        <f t="shared" si="69"/>
        <v xml:space="preserve">Samir </v>
      </c>
    </row>
    <row r="99" spans="4:50">
      <c r="D99" s="178">
        <v>235</v>
      </c>
      <c r="E99" s="179" t="s">
        <v>402</v>
      </c>
      <c r="F99" s="179" t="s">
        <v>339</v>
      </c>
      <c r="G99" s="212" t="s">
        <v>401</v>
      </c>
      <c r="H99" s="179" t="s">
        <v>389</v>
      </c>
      <c r="I99" s="179" t="s">
        <v>390</v>
      </c>
      <c r="J99" s="179"/>
      <c r="K99" s="179" t="s">
        <v>183</v>
      </c>
      <c r="L99" s="179"/>
      <c r="M99" s="179" t="str">
        <f>_xlfn.XLOOKUP(Tablo7[[#This Row],[Yan Profili]],Anbar!$J$3:$J$1000,Anbar!$H$3:$H$1000,"Tapilmadi")</f>
        <v>Tapilmadi</v>
      </c>
      <c r="N99" s="179">
        <v>2</v>
      </c>
      <c r="O99" s="179">
        <v>46</v>
      </c>
      <c r="P99" s="179" t="s">
        <v>184</v>
      </c>
      <c r="Q99" s="179" t="str">
        <f>_xlfn.XLOOKUP(Tablo7[[#This Row],[Qulp növü]],Anbar!$J$3:$J$1000,Anbar!$H$3:$H$1000,"Tapilmadi")</f>
        <v>Tapilmadi</v>
      </c>
      <c r="R99" s="179">
        <v>1</v>
      </c>
      <c r="S99" s="180">
        <v>26</v>
      </c>
      <c r="T99" s="181"/>
      <c r="U99" s="179" t="str">
        <f>_xlfn.XLOOKUP(Tablo7[[#This Row],[Petlə]],Anbar!$J$3:$J$1000,Anbar!$H$3:$H$1000,"Tapilmadi")</f>
        <v>Tapilmadi</v>
      </c>
      <c r="V99" s="179">
        <v>0</v>
      </c>
      <c r="W99" s="180">
        <v>0</v>
      </c>
      <c r="X99" s="269">
        <v>0</v>
      </c>
      <c r="Y99" s="179" t="s">
        <v>36</v>
      </c>
      <c r="Z99" s="182"/>
      <c r="AA99" s="180">
        <v>30</v>
      </c>
      <c r="AB99" s="180"/>
      <c r="AC99" s="179" t="str">
        <f>_xlfn.XLOOKUP(Tablo7[[#This Row],[Bağlantı]],Anbar!$J$3:$J$1000,Anbar!$H$3:$H$1000,"Tapilmadi")</f>
        <v>Tapilmadi</v>
      </c>
      <c r="AD99" s="179"/>
      <c r="AE99" s="180">
        <v>8</v>
      </c>
      <c r="AF99" s="180"/>
      <c r="AG99" s="179" t="str">
        <f>_xlfn.XLOOKUP(Tablo7[[#This Row],[Mexanizm]],Anbar!$J$3:$J$1000,Anbar!$H$3:$H$1000,"Tapilmadi")</f>
        <v>Tapilmadi</v>
      </c>
      <c r="AH99" s="179">
        <v>1</v>
      </c>
      <c r="AI99" s="180">
        <v>0</v>
      </c>
      <c r="AJ99" s="180">
        <v>4</v>
      </c>
      <c r="AK99" s="180">
        <v>30</v>
      </c>
      <c r="AL99" s="180">
        <v>0</v>
      </c>
      <c r="AM99" s="180">
        <v>144</v>
      </c>
      <c r="AN99" s="180">
        <v>0</v>
      </c>
      <c r="AO99" s="180">
        <v>144</v>
      </c>
      <c r="AP99" s="194">
        <f>Tablo7[[#This Row],[Ümumi məbləğ]]-Tablo7[[#This Row],[Ödəniş]]-Tablo7[[#This Row],[Endirim]]</f>
        <v>0</v>
      </c>
      <c r="AQ99" s="183" t="str">
        <f t="shared" si="66"/>
        <v>Mesaj</v>
      </c>
      <c r="AR99" s="183" t="str">
        <f t="shared" si="67"/>
        <v>Mesaj</v>
      </c>
      <c r="AS99" s="184" t="str">
        <f>IF(ISNA(VLOOKUP(Tablo7[[#This Row],[Sifariş kodu]],'Kəsim ve təhvil'!$E$5:$E1097,1,0)),"Qəbul edilməyib","Qəbul edilib")</f>
        <v>Qəbul edilməyib</v>
      </c>
      <c r="AT99" s="185" t="str">
        <f>IF(ISNA(VLOOKUP(Tablo7[[#This Row],[Sifariş kodu]],'Kəsim ve təhvil'!$H$5:$H1097,1,0)),"Anbardadır","Təhvil verilib")</f>
        <v>Anbardadır</v>
      </c>
      <c r="AU99" s="186" t="str">
        <f>"Hörmətli *"&amp;Tablo7[[#This Row],[Müştəri]]&amp;"*  ,Sizin *"&amp;G99&amp;"* tarixli sifarişiniz qeydə alındı. Sifariş Məbləğı *"&amp;AM99&amp;" AZN* , Qalıq *"&amp;AP99&amp;" AZN* . Hörmətlə  *AlumPro*"</f>
        <v>Hörmətli *Samir Ayla Mebel*  ,Sizin *24,10,2024* tarixli sifarişiniz qeydə alındı. Sifariş Məbləğı *144 AZN* , Qalıq *0 AZN* . Hörmətlə  *AlumPro*</v>
      </c>
      <c r="AV99" s="187" t="str">
        <f>"Hörmətli *"&amp;Tablo7[[#This Row],[Müştəri]]&amp;"* , sizin *"&amp;G99&amp;"* tarixli  sifarişiniz hazırdır . Bizi seçdiyiniz üçün minnətdarıq. Hörmətlə  *AlumPro*."</f>
        <v>Hörmətli *Samir Ayla Mebel* , sizin *24,10,2024* tarixli  sifarişiniz hazırdır . Bizi seçdiyiniz üçün minnətdarıq. Hörmətlə  *AlumPro*.</v>
      </c>
      <c r="AW99" s="188" t="str">
        <f t="shared" si="72"/>
        <v>Samir</v>
      </c>
      <c r="AX99" s="253" t="str">
        <f t="shared" si="69"/>
        <v xml:space="preserve">Samir </v>
      </c>
    </row>
    <row r="100" spans="4:50">
      <c r="D100" s="178">
        <v>234</v>
      </c>
      <c r="E100" s="179" t="s">
        <v>403</v>
      </c>
      <c r="F100" s="179" t="s">
        <v>339</v>
      </c>
      <c r="G100" s="212" t="s">
        <v>404</v>
      </c>
      <c r="H100" s="179" t="s">
        <v>389</v>
      </c>
      <c r="I100" s="179" t="s">
        <v>390</v>
      </c>
      <c r="J100" s="179"/>
      <c r="K100" s="179" t="s">
        <v>405</v>
      </c>
      <c r="L100" s="179"/>
      <c r="M100" s="179" t="str">
        <f>_xlfn.XLOOKUP(Tablo7[[#This Row],[Yan Profili]],Anbar!$J$3:$J$1000,Anbar!$H$3:$H$1000,"Tapilmadi")</f>
        <v>Tapilmadi</v>
      </c>
      <c r="N100" s="179">
        <v>29</v>
      </c>
      <c r="O100" s="179">
        <v>667</v>
      </c>
      <c r="P100" s="179" t="s">
        <v>184</v>
      </c>
      <c r="Q100" s="179" t="str">
        <f>_xlfn.XLOOKUP(Tablo7[[#This Row],[Qulp növü]],Anbar!$J$3:$J$1000,Anbar!$H$3:$H$1000,"Tapilmadi")</f>
        <v>Tapilmadi</v>
      </c>
      <c r="R100" s="179">
        <v>18</v>
      </c>
      <c r="S100" s="180">
        <v>468</v>
      </c>
      <c r="T100" s="181"/>
      <c r="U100" s="179" t="str">
        <f>_xlfn.XLOOKUP(Tablo7[[#This Row],[Petlə]],Anbar!$J$3:$J$1000,Anbar!$H$3:$H$1000,"Tapilmadi")</f>
        <v>Tapilmadi</v>
      </c>
      <c r="V100" s="179">
        <v>0</v>
      </c>
      <c r="W100" s="180">
        <v>0</v>
      </c>
      <c r="X100" s="269">
        <v>0</v>
      </c>
      <c r="Y100" s="179" t="s">
        <v>406</v>
      </c>
      <c r="Z100" s="182"/>
      <c r="AA100" s="180">
        <v>775</v>
      </c>
      <c r="AB100" s="180"/>
      <c r="AC100" s="179" t="str">
        <f>_xlfn.XLOOKUP(Tablo7[[#This Row],[Bağlantı]],Anbar!$J$3:$J$1000,Anbar!$H$3:$H$1000,"Tapilmadi")</f>
        <v>Tapilmadi</v>
      </c>
      <c r="AD100" s="179"/>
      <c r="AE100" s="180">
        <v>120</v>
      </c>
      <c r="AF100" s="180"/>
      <c r="AG100" s="179" t="str">
        <f>_xlfn.XLOOKUP(Tablo7[[#This Row],[Mexanizm]],Anbar!$J$3:$J$1000,Anbar!$H$3:$H$1000,"Tapilmadi")</f>
        <v>Tapilmadi</v>
      </c>
      <c r="AH100" s="179">
        <v>1</v>
      </c>
      <c r="AI100" s="180">
        <v>0</v>
      </c>
      <c r="AJ100" s="180">
        <v>105</v>
      </c>
      <c r="AK100" s="180">
        <v>375</v>
      </c>
      <c r="AL100" s="180">
        <v>0</v>
      </c>
      <c r="AM100" s="180">
        <v>2510</v>
      </c>
      <c r="AN100" s="180"/>
      <c r="AO100" s="180">
        <v>755</v>
      </c>
      <c r="AP100" s="194">
        <f>Tablo7[[#This Row],[Ümumi məbləğ]]-Tablo7[[#This Row],[Ödəniş]]-Tablo7[[#This Row],[Endirim]]</f>
        <v>1755</v>
      </c>
      <c r="AQ100" s="183" t="str">
        <f t="shared" si="66"/>
        <v>Mesaj</v>
      </c>
      <c r="AR100" s="183" t="str">
        <f t="shared" si="67"/>
        <v>Mesaj</v>
      </c>
      <c r="AS100" s="184" t="str">
        <f>IF(ISNA(VLOOKUP(Tablo7[[#This Row],[Sifariş kodu]],'Kəsim ve təhvil'!$E$5:$E1098,1,0)),"Qəbul edilməyib","Qəbul edilib")</f>
        <v>Qəbul edilməyib</v>
      </c>
      <c r="AT100" s="185" t="str">
        <f>IF(ISNA(VLOOKUP(Tablo7[[#This Row],[Sifariş kodu]],'Kəsim ve təhvil'!$H$5:$H1098,1,0)),"Anbardadır","Təhvil verilib")</f>
        <v>Anbardadır</v>
      </c>
      <c r="AU100" s="186" t="str">
        <f>"Hörmətli *"&amp;Tablo7[[#This Row],[Müştəri]]&amp;"*  ,Sizin *"&amp;G100&amp;"* tarixli sifarişiniz qeydə alındı. Sifariş Məbləğı *"&amp;AM100&amp;" AZN* , Qalıq *"&amp;AP100&amp;" AZN* . Hörmətlə  *AlumPro*"</f>
        <v>Hörmətli *Samir Ayla Mebel*  ,Sizin *11,11,2024* tarixli sifarişiniz qeydə alındı. Sifariş Məbləğı *2510 AZN* , Qalıq *1755 AZN* . Hörmətlə  *AlumPro*</v>
      </c>
      <c r="AV100" s="187" t="str">
        <f>"Hörmətli *"&amp;Tablo7[[#This Row],[Müştəri]]&amp;"* , sizin *"&amp;G100&amp;"* tarixli  sifarişiniz hazırdır . Bizi seçdiyiniz üçün minnətdarıq. Hörmətlə  *AlumPro*."</f>
        <v>Hörmətli *Samir Ayla Mebel* , sizin *11,11,2024* tarixli  sifarişiniz hazırdır . Bizi seçdiyiniz üçün minnətdarıq. Hörmətlə  *AlumPro*.</v>
      </c>
      <c r="AW100" s="188" t="str">
        <f t="shared" si="72"/>
        <v>Samir</v>
      </c>
      <c r="AX100" s="253" t="str">
        <f t="shared" si="69"/>
        <v xml:space="preserve">Samir </v>
      </c>
    </row>
    <row r="101" spans="4:50">
      <c r="D101" s="178">
        <v>233</v>
      </c>
      <c r="E101" s="179" t="s">
        <v>407</v>
      </c>
      <c r="F101" s="179" t="s">
        <v>339</v>
      </c>
      <c r="G101" s="212" t="s">
        <v>163</v>
      </c>
      <c r="H101" s="179" t="s">
        <v>408</v>
      </c>
      <c r="I101" s="179">
        <v>0</v>
      </c>
      <c r="J101" s="179"/>
      <c r="K101" s="179" t="s">
        <v>183</v>
      </c>
      <c r="L101" s="179"/>
      <c r="M101" s="179" t="str">
        <f>_xlfn.XLOOKUP(Tablo7[[#This Row],[Yan Profili]],Anbar!$J$3:$J$1000,Anbar!$H$3:$H$1000,"Tapilmadi")</f>
        <v>Tapilmadi</v>
      </c>
      <c r="N101" s="179">
        <v>15</v>
      </c>
      <c r="O101" s="179">
        <v>345</v>
      </c>
      <c r="P101" s="179" t="s">
        <v>195</v>
      </c>
      <c r="Q101" s="179" t="str">
        <f>_xlfn.XLOOKUP(Tablo7[[#This Row],[Qulp növü]],Anbar!$J$3:$J$1000,Anbar!$H$3:$H$1000,"Tapilmadi")</f>
        <v>Tapilmadi</v>
      </c>
      <c r="R101" s="179">
        <v>0</v>
      </c>
      <c r="S101" s="180">
        <v>0</v>
      </c>
      <c r="T101" s="181"/>
      <c r="U101" s="179" t="str">
        <f>_xlfn.XLOOKUP(Tablo7[[#This Row],[Petlə]],Anbar!$J$3:$J$1000,Anbar!$H$3:$H$1000,"Tapilmadi")</f>
        <v>Tapilmadi</v>
      </c>
      <c r="V101" s="179">
        <v>0</v>
      </c>
      <c r="W101" s="180">
        <v>0</v>
      </c>
      <c r="X101" s="269">
        <v>45</v>
      </c>
      <c r="Y101" s="179" t="s">
        <v>36</v>
      </c>
      <c r="Z101" s="182"/>
      <c r="AA101" s="180">
        <v>159</v>
      </c>
      <c r="AB101" s="180"/>
      <c r="AC101" s="179" t="str">
        <f>_xlfn.XLOOKUP(Tablo7[[#This Row],[Bağlantı]],Anbar!$J$3:$J$1000,Anbar!$H$3:$H$1000,"Tapilmadi")</f>
        <v>Tapilmadi</v>
      </c>
      <c r="AD101" s="179"/>
      <c r="AE101" s="180">
        <v>44</v>
      </c>
      <c r="AF101" s="180"/>
      <c r="AG101" s="179" t="str">
        <f>_xlfn.XLOOKUP(Tablo7[[#This Row],[Mexanizm]],Anbar!$J$3:$J$1000,Anbar!$H$3:$H$1000,"Tapilmadi")</f>
        <v>Tapilmadi</v>
      </c>
      <c r="AH101" s="179">
        <v>1</v>
      </c>
      <c r="AI101" s="180">
        <v>0</v>
      </c>
      <c r="AJ101" s="180">
        <v>40</v>
      </c>
      <c r="AK101" s="180">
        <v>140</v>
      </c>
      <c r="AL101" s="180">
        <v>0</v>
      </c>
      <c r="AM101" s="180">
        <v>770</v>
      </c>
      <c r="AN101" s="180">
        <v>3</v>
      </c>
      <c r="AO101" s="180">
        <v>0</v>
      </c>
      <c r="AP101" s="194">
        <f>Tablo7[[#This Row],[Ümumi məbləğ]]-Tablo7[[#This Row],[Ödəniş]]-Tablo7[[#This Row],[Endirim]]</f>
        <v>767</v>
      </c>
      <c r="AQ101" s="183" t="str">
        <f t="shared" si="66"/>
        <v>Mesaj</v>
      </c>
      <c r="AR101" s="183" t="str">
        <f t="shared" si="67"/>
        <v>Mesaj</v>
      </c>
      <c r="AS101" s="184" t="str">
        <f>IF(ISNA(VLOOKUP(Tablo7[[#This Row],[Sifariş kodu]],'Kəsim ve təhvil'!$E$5:$E1099,1,0)),"Qəbul edilməyib","Qəbul edilib")</f>
        <v>Qəbul edilməyib</v>
      </c>
      <c r="AT101" s="185" t="str">
        <f>IF(ISNA(VLOOKUP(Tablo7[[#This Row],[Sifariş kodu]],'Kəsim ve təhvil'!$H$5:$H1099,1,0)),"Anbardadır","Təhvil verilib")</f>
        <v>Anbardadır</v>
      </c>
      <c r="AU101" s="186" t="str">
        <f>"Hörmətli *"&amp;Tablo7[[#This Row],[Müştəri]]&amp;"*  ,Sizin *"&amp;G101&amp;"* tarixli sifarişiniz qeydə alındı. Sifariş Məbləğı *"&amp;AM101&amp;" AZN* , Qalıq *"&amp;AP101&amp;" AZN* . Hörmətlə  *AlumPro*"</f>
        <v>Hörmətli *Elsen Veliyev*  ,Sizin *26,12,2024* tarixli sifarişiniz qeydə alındı. Sifariş Məbləğı *770 AZN* , Qalıq *767 AZN* . Hörmətlə  *AlumPro*</v>
      </c>
      <c r="AV101" s="187" t="str">
        <f>"Hörmətli *"&amp;Tablo7[[#This Row],[Müştəri]]&amp;"* , sizin *"&amp;G101&amp;"* tarixli  sifarişiniz hazırdır . Bizi seçdiyiniz üçün minnətdarıq. Hörmətlə  *AlumPro*."</f>
        <v>Hörmətli *Elsen Veliyev* , sizin *26,12,2024* tarixli  sifarişiniz hazırdır . Bizi seçdiyiniz üçün minnətdarıq. Hörmətlə  *AlumPro*.</v>
      </c>
      <c r="AW101" s="188" t="str">
        <f t="shared" si="72"/>
        <v>Elsen</v>
      </c>
      <c r="AX101" s="253" t="str">
        <f t="shared" si="69"/>
        <v xml:space="preserve">Elsen </v>
      </c>
    </row>
    <row r="102" spans="4:50">
      <c r="D102" s="178">
        <v>232</v>
      </c>
      <c r="E102" s="179" t="s">
        <v>409</v>
      </c>
      <c r="F102" s="179" t="s">
        <v>339</v>
      </c>
      <c r="G102" s="212" t="s">
        <v>163</v>
      </c>
      <c r="H102" s="179" t="s">
        <v>158</v>
      </c>
      <c r="I102" s="179" t="s">
        <v>159</v>
      </c>
      <c r="J102" s="179"/>
      <c r="K102" s="179" t="s">
        <v>410</v>
      </c>
      <c r="L102" s="179"/>
      <c r="M102" s="179" t="str">
        <f>_xlfn.XLOOKUP(Tablo7[[#This Row],[Yan Profili]],Anbar!$J$3:$J$1000,Anbar!$H$3:$H$1000,"Tapilmadi")</f>
        <v>Tapilmadi</v>
      </c>
      <c r="N102" s="179">
        <v>3</v>
      </c>
      <c r="O102" s="179">
        <v>90</v>
      </c>
      <c r="P102" s="179" t="s">
        <v>195</v>
      </c>
      <c r="Q102" s="179" t="str">
        <f>_xlfn.XLOOKUP(Tablo7[[#This Row],[Qulp növü]],Anbar!$J$3:$J$1000,Anbar!$H$3:$H$1000,"Tapilmadi")</f>
        <v>Tapilmadi</v>
      </c>
      <c r="R102" s="179">
        <v>0</v>
      </c>
      <c r="S102" s="180">
        <v>0</v>
      </c>
      <c r="T102" s="181"/>
      <c r="U102" s="179" t="str">
        <f>_xlfn.XLOOKUP(Tablo7[[#This Row],[Petlə]],Anbar!$J$3:$J$1000,Anbar!$H$3:$H$1000,"Tapilmadi")</f>
        <v>Tapilmadi</v>
      </c>
      <c r="V102" s="179">
        <v>0</v>
      </c>
      <c r="W102" s="180">
        <v>0</v>
      </c>
      <c r="X102" s="269">
        <v>0</v>
      </c>
      <c r="Y102" s="179" t="s">
        <v>276</v>
      </c>
      <c r="Z102" s="182"/>
      <c r="AA102" s="180">
        <v>61</v>
      </c>
      <c r="AB102" s="180"/>
      <c r="AC102" s="179" t="str">
        <f>_xlfn.XLOOKUP(Tablo7[[#This Row],[Bağlantı]],Anbar!$J$3:$J$1000,Anbar!$H$3:$H$1000,"Tapilmadi")</f>
        <v>Tapilmadi</v>
      </c>
      <c r="AD102" s="179"/>
      <c r="AE102" s="180">
        <v>4</v>
      </c>
      <c r="AF102" s="180"/>
      <c r="AG102" s="179" t="str">
        <f>_xlfn.XLOOKUP(Tablo7[[#This Row],[Mexanizm]],Anbar!$J$3:$J$1000,Anbar!$H$3:$H$1000,"Tapilmadi")</f>
        <v>Tapilmadi</v>
      </c>
      <c r="AH102" s="179">
        <v>1</v>
      </c>
      <c r="AI102" s="180">
        <v>0</v>
      </c>
      <c r="AJ102" s="180">
        <v>5</v>
      </c>
      <c r="AK102" s="180">
        <v>15</v>
      </c>
      <c r="AL102" s="180">
        <v>0</v>
      </c>
      <c r="AM102" s="180">
        <v>175</v>
      </c>
      <c r="AN102" s="180">
        <v>0</v>
      </c>
      <c r="AO102" s="180">
        <v>0</v>
      </c>
      <c r="AP102" s="194">
        <f>Tablo7[[#This Row],[Ümumi məbləğ]]-Tablo7[[#This Row],[Ödəniş]]-Tablo7[[#This Row],[Endirim]]</f>
        <v>175</v>
      </c>
      <c r="AQ102" s="183" t="str">
        <f t="shared" si="66"/>
        <v>Mesaj</v>
      </c>
      <c r="AR102" s="183" t="str">
        <f t="shared" si="67"/>
        <v>Mesaj</v>
      </c>
      <c r="AS102" s="184" t="str">
        <f>IF(ISNA(VLOOKUP(Tablo7[[#This Row],[Sifariş kodu]],'Kəsim ve təhvil'!$E$5:$E1100,1,0)),"Qəbul edilməyib","Qəbul edilib")</f>
        <v>Qəbul edilməyib</v>
      </c>
      <c r="AT102" s="185" t="str">
        <f>IF(ISNA(VLOOKUP(Tablo7[[#This Row],[Sifariş kodu]],'Kəsim ve təhvil'!$H$5:$H1100,1,0)),"Anbardadır","Təhvil verilib")</f>
        <v>Anbardadır</v>
      </c>
      <c r="AU102" s="186" t="str">
        <f>"Hörmətli *"&amp;Tablo7[[#This Row],[Müştəri]]&amp;"*  ,Sizin *"&amp;G102&amp;"* tarixli sifarişiniz qeydə alındı. Sifariş Məbləğı *"&amp;AM102&amp;" AZN* , Qalıq *"&amp;AP102&amp;" AZN* . Hörmətlə  *AlumPro*"</f>
        <v>Hörmətli *My Concept*  ,Sizin *26,12,2024* tarixli sifarişiniz qeydə alındı. Sifariş Məbləğı *175 AZN* , Qalıq *175 AZN* . Hörmətlə  *AlumPro*</v>
      </c>
      <c r="AV102" s="187" t="str">
        <f>"Hörmətli *"&amp;Tablo7[[#This Row],[Müştəri]]&amp;"* , sizin *"&amp;G102&amp;"* tarixli  sifarişiniz hazırdır . Bizi seçdiyiniz üçün minnətdarıq. Hörmətlə  *AlumPro*."</f>
        <v>Hörmətli *My Concept* , sizin *26,12,2024* tarixli  sifarişiniz hazırdır . Bizi seçdiyiniz üçün minnətdarıq. Hörmətlə  *AlumPro*.</v>
      </c>
      <c r="AW102" s="188" t="str">
        <f t="shared" si="72"/>
        <v>My</v>
      </c>
      <c r="AX102" s="253" t="str">
        <f t="shared" si="69"/>
        <v xml:space="preserve">My </v>
      </c>
    </row>
    <row r="103" spans="4:50">
      <c r="D103" s="178">
        <v>231</v>
      </c>
      <c r="E103" s="179" t="s">
        <v>411</v>
      </c>
      <c r="F103" s="179" t="s">
        <v>339</v>
      </c>
      <c r="G103" s="212" t="s">
        <v>163</v>
      </c>
      <c r="H103" s="179" t="s">
        <v>412</v>
      </c>
      <c r="I103" s="179" t="s">
        <v>413</v>
      </c>
      <c r="J103" s="179"/>
      <c r="K103" s="179" t="s">
        <v>189</v>
      </c>
      <c r="L103" s="179"/>
      <c r="M103" s="179" t="str">
        <f>_xlfn.XLOOKUP(Tablo7[[#This Row],[Yan Profili]],Anbar!$J$3:$J$1000,Anbar!$H$3:$H$1000,"Tapilmadi")</f>
        <v>Tapilmadi</v>
      </c>
      <c r="N103" s="179">
        <v>5</v>
      </c>
      <c r="O103" s="179">
        <v>115</v>
      </c>
      <c r="P103" s="179" t="s">
        <v>195</v>
      </c>
      <c r="Q103" s="179" t="str">
        <f>_xlfn.XLOOKUP(Tablo7[[#This Row],[Qulp növü]],Anbar!$J$3:$J$1000,Anbar!$H$3:$H$1000,"Tapilmadi")</f>
        <v>Tapilmadi</v>
      </c>
      <c r="R103" s="179">
        <v>0</v>
      </c>
      <c r="S103" s="180">
        <v>0</v>
      </c>
      <c r="T103" s="181"/>
      <c r="U103" s="179" t="str">
        <f>_xlfn.XLOOKUP(Tablo7[[#This Row],[Petlə]],Anbar!$J$3:$J$1000,Anbar!$H$3:$H$1000,"Tapilmadi")</f>
        <v>Tapilmadi</v>
      </c>
      <c r="V103" s="179">
        <v>0</v>
      </c>
      <c r="W103" s="180">
        <v>0</v>
      </c>
      <c r="X103" s="269">
        <v>0</v>
      </c>
      <c r="Y103" s="179" t="s">
        <v>276</v>
      </c>
      <c r="Z103" s="182"/>
      <c r="AA103" s="180">
        <v>187</v>
      </c>
      <c r="AB103" s="180"/>
      <c r="AC103" s="179" t="str">
        <f>_xlfn.XLOOKUP(Tablo7[[#This Row],[Bağlantı]],Anbar!$J$3:$J$1000,Anbar!$H$3:$H$1000,"Tapilmadi")</f>
        <v>Tapilmadi</v>
      </c>
      <c r="AD103" s="179"/>
      <c r="AE103" s="180">
        <v>8</v>
      </c>
      <c r="AF103" s="180"/>
      <c r="AG103" s="179" t="str">
        <f>_xlfn.XLOOKUP(Tablo7[[#This Row],[Mexanizm]],Anbar!$J$3:$J$1000,Anbar!$H$3:$H$1000,"Tapilmadi")</f>
        <v>Tapilmadi</v>
      </c>
      <c r="AH103" s="179">
        <v>1</v>
      </c>
      <c r="AI103" s="180">
        <v>0</v>
      </c>
      <c r="AJ103" s="180">
        <v>0</v>
      </c>
      <c r="AK103" s="180">
        <v>30</v>
      </c>
      <c r="AL103" s="180">
        <v>0</v>
      </c>
      <c r="AM103" s="180">
        <v>340</v>
      </c>
      <c r="AN103" s="180">
        <v>0</v>
      </c>
      <c r="AO103" s="180">
        <v>0</v>
      </c>
      <c r="AP103" s="194">
        <f>Tablo7[[#This Row],[Ümumi məbləğ]]-Tablo7[[#This Row],[Ödəniş]]-Tablo7[[#This Row],[Endirim]]</f>
        <v>340</v>
      </c>
      <c r="AQ103" s="183" t="str">
        <f t="shared" si="66"/>
        <v>Mesaj</v>
      </c>
      <c r="AR103" s="183" t="str">
        <f t="shared" si="67"/>
        <v>Mesaj</v>
      </c>
      <c r="AS103" s="184" t="str">
        <f>IF(ISNA(VLOOKUP(Tablo7[[#This Row],[Sifariş kodu]],'Kəsim ve təhvil'!$E$5:$E1101,1,0)),"Qəbul edilməyib","Qəbul edilib")</f>
        <v>Qəbul edilməyib</v>
      </c>
      <c r="AT103" s="185" t="str">
        <f>IF(ISNA(VLOOKUP(Tablo7[[#This Row],[Sifariş kodu]],'Kəsim ve təhvil'!$H$5:$H1101,1,0)),"Anbardadır","Təhvil verilib")</f>
        <v>Anbardadır</v>
      </c>
      <c r="AU103" s="186" t="str">
        <f>"Hörmətli *"&amp;Tablo7[[#This Row],[Müştəri]]&amp;"*  ,Sizin *"&amp;G103&amp;"* tarixli sifarişiniz qeydə alındı. Sifariş Məbləğı *"&amp;AM103&amp;" AZN* , Qalıq *"&amp;AP103&amp;" AZN* . Hörmətlə  *AlumPro*"</f>
        <v>Hörmətli *Hikmet Qalib*  ,Sizin *26,12,2024* tarixli sifarişiniz qeydə alındı. Sifariş Məbləğı *340 AZN* , Qalıq *340 AZN* . Hörmətlə  *AlumPro*</v>
      </c>
      <c r="AV103" s="187" t="str">
        <f>"Hörmətli *"&amp;Tablo7[[#This Row],[Müştəri]]&amp;"* , sizin *"&amp;G103&amp;"* tarixli  sifarişiniz hazırdır . Bizi seçdiyiniz üçün minnətdarıq. Hörmətlə  *AlumPro*."</f>
        <v>Hörmətli *Hikmet Qalib* , sizin *26,12,2024* tarixli  sifarişiniz hazırdır . Bizi seçdiyiniz üçün minnətdarıq. Hörmətlə  *AlumPro*.</v>
      </c>
      <c r="AW103" s="188" t="str">
        <f t="shared" si="72"/>
        <v>Hikmet</v>
      </c>
      <c r="AX103" s="253" t="str">
        <f t="shared" si="69"/>
        <v xml:space="preserve">Hikmet </v>
      </c>
    </row>
    <row r="104" spans="4:50">
      <c r="D104" s="178">
        <v>230</v>
      </c>
      <c r="E104" s="179" t="s">
        <v>414</v>
      </c>
      <c r="F104" s="179" t="s">
        <v>339</v>
      </c>
      <c r="G104" s="212" t="s">
        <v>163</v>
      </c>
      <c r="H104" s="179" t="s">
        <v>341</v>
      </c>
      <c r="I104" s="179" t="s">
        <v>342</v>
      </c>
      <c r="J104" s="179"/>
      <c r="K104" s="179"/>
      <c r="L104" s="179"/>
      <c r="M104" s="179" t="str">
        <f>_xlfn.XLOOKUP(Tablo7[[#This Row],[Yan Profili]],Anbar!$J$3:$J$1000,Anbar!$H$3:$H$1000,"Tapilmadi")</f>
        <v>Tapilmadi</v>
      </c>
      <c r="N104" s="179">
        <v>0</v>
      </c>
      <c r="O104" s="179">
        <v>0</v>
      </c>
      <c r="P104" s="179">
        <v>0</v>
      </c>
      <c r="Q104" s="179" t="str">
        <f>_xlfn.XLOOKUP(Tablo7[[#This Row],[Qulp növü]],Anbar!$J$3:$J$1000,Anbar!$H$3:$H$1000,"Tapilmadi")</f>
        <v>Tapilmadi</v>
      </c>
      <c r="R104" s="179">
        <v>4</v>
      </c>
      <c r="S104" s="180">
        <v>0</v>
      </c>
      <c r="T104" s="181" t="s">
        <v>196</v>
      </c>
      <c r="U104" s="179" t="str">
        <f>_xlfn.XLOOKUP(Tablo7[[#This Row],[Petlə]],Anbar!$J$3:$J$1000,Anbar!$H$3:$H$1000,"Tapilmadi")</f>
        <v>Tapilmadi</v>
      </c>
      <c r="V104" s="179">
        <v>1</v>
      </c>
      <c r="W104" s="180">
        <v>4</v>
      </c>
      <c r="X104" s="269">
        <v>0</v>
      </c>
      <c r="Y104" s="179" t="s">
        <v>199</v>
      </c>
      <c r="Z104" s="182"/>
      <c r="AA104" s="180">
        <v>196</v>
      </c>
      <c r="AB104" s="180"/>
      <c r="AC104" s="179" t="str">
        <f>_xlfn.XLOOKUP(Tablo7[[#This Row],[Bağlantı]],Anbar!$J$3:$J$1000,Anbar!$H$3:$H$1000,"Tapilmadi")</f>
        <v>Tapilmadi</v>
      </c>
      <c r="AD104" s="179"/>
      <c r="AE104" s="180">
        <v>0</v>
      </c>
      <c r="AF104" s="180"/>
      <c r="AG104" s="179" t="str">
        <f>_xlfn.XLOOKUP(Tablo7[[#This Row],[Mexanizm]],Anbar!$J$3:$J$1000,Anbar!$H$3:$H$1000,"Tapilmadi")</f>
        <v>Tapilmadi</v>
      </c>
      <c r="AH104" s="179">
        <v>1</v>
      </c>
      <c r="AI104" s="180">
        <v>0</v>
      </c>
      <c r="AJ104" s="180">
        <v>0</v>
      </c>
      <c r="AK104" s="180">
        <v>0</v>
      </c>
      <c r="AL104" s="180">
        <v>0</v>
      </c>
      <c r="AM104" s="180">
        <v>200</v>
      </c>
      <c r="AN104" s="180">
        <v>0</v>
      </c>
      <c r="AO104" s="180">
        <v>200</v>
      </c>
      <c r="AP104" s="194">
        <f>Tablo7[[#This Row],[Ümumi məbləğ]]-Tablo7[[#This Row],[Ödəniş]]-Tablo7[[#This Row],[Endirim]]</f>
        <v>0</v>
      </c>
      <c r="AQ104" s="183" t="str">
        <f t="shared" si="66"/>
        <v>Mesaj</v>
      </c>
      <c r="AR104" s="183" t="str">
        <f t="shared" si="67"/>
        <v>Mesaj</v>
      </c>
      <c r="AS104" s="184" t="str">
        <f>IF(ISNA(VLOOKUP(Tablo7[[#This Row],[Sifariş kodu]],'Kəsim ve təhvil'!$E$5:$E1102,1,0)),"Qəbul edilməyib","Qəbul edilib")</f>
        <v>Qəbul edilməyib</v>
      </c>
      <c r="AT104" s="185" t="str">
        <f>IF(ISNA(VLOOKUP(Tablo7[[#This Row],[Sifariş kodu]],'Kəsim ve təhvil'!$H$5:$H1102,1,0)),"Anbardadır","Təhvil verilib")</f>
        <v>Anbardadır</v>
      </c>
      <c r="AU104" s="186" t="str">
        <f>"Hörmətli *"&amp;Tablo7[[#This Row],[Müştəri]]&amp;"*  ,Sizin *"&amp;G104&amp;"* tarixli sifarişiniz qeydə alındı. Sifariş Məbləğı *"&amp;AM104&amp;" AZN* , Qalıq *"&amp;AP104&amp;" AZN* . Hörmətlə  *AlumPro*"</f>
        <v>Hörmətli *Cavid Kahveci*  ,Sizin *26,12,2024* tarixli sifarişiniz qeydə alındı. Sifariş Məbləğı *200 AZN* , Qalıq *0 AZN* . Hörmətlə  *AlumPro*</v>
      </c>
      <c r="AV104" s="187" t="str">
        <f>"Hörmətli *"&amp;Tablo7[[#This Row],[Müştəri]]&amp;"* , sizin *"&amp;G104&amp;"* tarixli  sifarişiniz hazırdır . Bizi seçdiyiniz üçün minnətdarıq. Hörmətlə  *AlumPro*."</f>
        <v>Hörmətli *Cavid Kahveci* , sizin *26,12,2024* tarixli  sifarişiniz hazırdır . Bizi seçdiyiniz üçün minnətdarıq. Hörmətlə  *AlumPro*.</v>
      </c>
      <c r="AW104" s="188" t="str">
        <f t="shared" si="72"/>
        <v>Cavid</v>
      </c>
      <c r="AX104" s="253" t="str">
        <f t="shared" si="69"/>
        <v xml:space="preserve">Cavid </v>
      </c>
    </row>
    <row r="105" spans="4:50">
      <c r="D105" s="178">
        <v>229</v>
      </c>
      <c r="E105" s="179" t="s">
        <v>415</v>
      </c>
      <c r="F105" s="179" t="s">
        <v>339</v>
      </c>
      <c r="G105" s="212" t="s">
        <v>163</v>
      </c>
      <c r="H105" s="179" t="s">
        <v>416</v>
      </c>
      <c r="I105" s="179">
        <v>0</v>
      </c>
      <c r="J105" s="179"/>
      <c r="K105" s="179" t="s">
        <v>417</v>
      </c>
      <c r="L105" s="179"/>
      <c r="M105" s="179" t="str">
        <f>_xlfn.XLOOKUP(Tablo7[[#This Row],[Yan Profili]],Anbar!$J$3:$J$1000,Anbar!$H$3:$H$1000,"Tapilmadi")</f>
        <v>Tapilmadi</v>
      </c>
      <c r="N105" s="179">
        <v>8</v>
      </c>
      <c r="O105" s="179">
        <v>240</v>
      </c>
      <c r="P105" s="179" t="s">
        <v>418</v>
      </c>
      <c r="Q105" s="179" t="str">
        <f>_xlfn.XLOOKUP(Tablo7[[#This Row],[Qulp növü]],Anbar!$J$3:$J$1000,Anbar!$H$3:$H$1000,"Tapilmadi")</f>
        <v>Tapilmadi</v>
      </c>
      <c r="R105" s="179">
        <v>4</v>
      </c>
      <c r="S105" s="180">
        <v>100</v>
      </c>
      <c r="T105" s="181"/>
      <c r="U105" s="179" t="str">
        <f>_xlfn.XLOOKUP(Tablo7[[#This Row],[Petlə]],Anbar!$J$3:$J$1000,Anbar!$H$3:$H$1000,"Tapilmadi")</f>
        <v>Tapilmadi</v>
      </c>
      <c r="V105" s="179">
        <v>0</v>
      </c>
      <c r="W105" s="180">
        <v>0</v>
      </c>
      <c r="X105" s="269">
        <v>0</v>
      </c>
      <c r="Y105" s="179" t="s">
        <v>419</v>
      </c>
      <c r="Z105" s="182"/>
      <c r="AA105" s="180">
        <v>845</v>
      </c>
      <c r="AB105" s="180"/>
      <c r="AC105" s="179" t="str">
        <f>_xlfn.XLOOKUP(Tablo7[[#This Row],[Bağlantı]],Anbar!$J$3:$J$1000,Anbar!$H$3:$H$1000,"Tapilmadi")</f>
        <v>Tapilmadi</v>
      </c>
      <c r="AD105" s="179"/>
      <c r="AE105" s="180">
        <v>16</v>
      </c>
      <c r="AF105" s="180"/>
      <c r="AG105" s="179" t="str">
        <f>_xlfn.XLOOKUP(Tablo7[[#This Row],[Mexanizm]],Anbar!$J$3:$J$1000,Anbar!$H$3:$H$1000,"Tapilmadi")</f>
        <v>Tapilmadi</v>
      </c>
      <c r="AH105" s="179">
        <v>1</v>
      </c>
      <c r="AI105" s="180">
        <v>0</v>
      </c>
      <c r="AJ105" s="180">
        <v>16</v>
      </c>
      <c r="AK105" s="180">
        <v>60</v>
      </c>
      <c r="AL105" s="180">
        <v>0</v>
      </c>
      <c r="AM105" s="180">
        <v>1277</v>
      </c>
      <c r="AN105" s="180">
        <v>0</v>
      </c>
      <c r="AO105" s="180">
        <v>1277</v>
      </c>
      <c r="AP105" s="194">
        <f>Tablo7[[#This Row],[Ümumi məbləğ]]-Tablo7[[#This Row],[Ödəniş]]-Tablo7[[#This Row],[Endirim]]</f>
        <v>0</v>
      </c>
      <c r="AQ105" s="183" t="str">
        <f t="shared" si="66"/>
        <v>Mesaj</v>
      </c>
      <c r="AR105" s="183" t="str">
        <f t="shared" si="67"/>
        <v>Mesaj</v>
      </c>
      <c r="AS105" s="184" t="str">
        <f>IF(ISNA(VLOOKUP(Tablo7[[#This Row],[Sifariş kodu]],'Kəsim ve təhvil'!$E$5:$E1103,1,0)),"Qəbul edilməyib","Qəbul edilib")</f>
        <v>Qəbul edilməyib</v>
      </c>
      <c r="AT105" s="185" t="str">
        <f>IF(ISNA(VLOOKUP(Tablo7[[#This Row],[Sifariş kodu]],'Kəsim ve təhvil'!$H$5:$H1103,1,0)),"Anbardadır","Təhvil verilib")</f>
        <v>Anbardadır</v>
      </c>
      <c r="AU105" s="186" t="str">
        <f>"Hörmətli *"&amp;Tablo7[[#This Row],[Müştəri]]&amp;"*  ,Sizin *"&amp;G105&amp;"* tarixli sifarişiniz qeydə alındı. Sifariş Məbləğı *"&amp;AM105&amp;" AZN* , Qalıq *"&amp;AP105&amp;" AZN* . Hörmətlə  *AlumPro*"</f>
        <v>Hörmətli *Ibrahim Baksol*  ,Sizin *26,12,2024* tarixli sifarişiniz qeydə alındı. Sifariş Məbləğı *1277 AZN* , Qalıq *0 AZN* . Hörmətlə  *AlumPro*</v>
      </c>
      <c r="AV105" s="187" t="str">
        <f>"Hörmətli *"&amp;Tablo7[[#This Row],[Müştəri]]&amp;"* , sizin *"&amp;G105&amp;"* tarixli  sifarişiniz hazırdır . Bizi seçdiyiniz üçün minnətdarıq. Hörmətlə  *AlumPro*."</f>
        <v>Hörmətli *Ibrahim Baksol* , sizin *26,12,2024* tarixli  sifarişiniz hazırdır . Bizi seçdiyiniz üçün minnətdarıq. Hörmətlə  *AlumPro*.</v>
      </c>
      <c r="AW105" s="188" t="str">
        <f t="shared" si="72"/>
        <v>Ibrahim</v>
      </c>
      <c r="AX105" s="253" t="str">
        <f t="shared" si="69"/>
        <v xml:space="preserve">Ibrahim </v>
      </c>
    </row>
    <row r="106" spans="4:50">
      <c r="D106" s="178">
        <v>228</v>
      </c>
      <c r="E106" s="179" t="s">
        <v>420</v>
      </c>
      <c r="F106" s="179" t="s">
        <v>339</v>
      </c>
      <c r="G106" s="212" t="s">
        <v>166</v>
      </c>
      <c r="H106" s="179" t="s">
        <v>10</v>
      </c>
      <c r="I106" s="179" t="s">
        <v>368</v>
      </c>
      <c r="J106" s="179"/>
      <c r="K106" s="179" t="s">
        <v>226</v>
      </c>
      <c r="L106" s="179"/>
      <c r="M106" s="179">
        <f>_xlfn.XLOOKUP(Tablo7[[#This Row],[Yan Profili]],Anbar!$J$3:$J$1000,Anbar!$H$3:$H$1000,"Tapilmadi")</f>
        <v>0</v>
      </c>
      <c r="N106" s="179">
        <v>5</v>
      </c>
      <c r="O106" s="179">
        <v>115</v>
      </c>
      <c r="P106" s="179" t="s">
        <v>195</v>
      </c>
      <c r="Q106" s="179" t="str">
        <f>_xlfn.XLOOKUP(Tablo7[[#This Row],[Qulp növü]],Anbar!$J$3:$J$1000,Anbar!$H$3:$H$1000,"Tapilmadi")</f>
        <v>Tapilmadi</v>
      </c>
      <c r="R106" s="179">
        <v>0</v>
      </c>
      <c r="S106" s="180">
        <v>0</v>
      </c>
      <c r="T106" s="181" t="s">
        <v>196</v>
      </c>
      <c r="U106" s="179" t="str">
        <f>_xlfn.XLOOKUP(Tablo7[[#This Row],[Petlə]],Anbar!$J$3:$J$1000,Anbar!$H$3:$H$1000,"Tapilmadi")</f>
        <v>Tapilmadi</v>
      </c>
      <c r="V106" s="179">
        <v>8</v>
      </c>
      <c r="W106" s="180">
        <v>32</v>
      </c>
      <c r="X106" s="269">
        <v>0</v>
      </c>
      <c r="Y106" s="179" t="s">
        <v>419</v>
      </c>
      <c r="Z106" s="182"/>
      <c r="AA106" s="180">
        <v>677</v>
      </c>
      <c r="AB106" s="180"/>
      <c r="AC106" s="179" t="str">
        <f>_xlfn.XLOOKUP(Tablo7[[#This Row],[Bağlantı]],Anbar!$J$3:$J$1000,Anbar!$H$3:$H$1000,"Tapilmadi")</f>
        <v>Tapilmadi</v>
      </c>
      <c r="AD106" s="179"/>
      <c r="AE106" s="180">
        <v>16</v>
      </c>
      <c r="AF106" s="180"/>
      <c r="AG106" s="179" t="str">
        <f>_xlfn.XLOOKUP(Tablo7[[#This Row],[Mexanizm]],Anbar!$J$3:$J$1000,Anbar!$H$3:$H$1000,"Tapilmadi")</f>
        <v>Tapilmadi</v>
      </c>
      <c r="AH106" s="179">
        <v>1</v>
      </c>
      <c r="AI106" s="180">
        <v>0</v>
      </c>
      <c r="AJ106" s="180">
        <v>16</v>
      </c>
      <c r="AK106" s="180">
        <v>30</v>
      </c>
      <c r="AL106" s="180">
        <v>0</v>
      </c>
      <c r="AM106" s="180">
        <v>886</v>
      </c>
      <c r="AN106" s="180">
        <v>0</v>
      </c>
      <c r="AO106" s="180">
        <v>300</v>
      </c>
      <c r="AP106" s="194">
        <f>Tablo7[[#This Row],[Ümumi məbləğ]]-Tablo7[[#This Row],[Ödəniş]]-Tablo7[[#This Row],[Endirim]]</f>
        <v>586</v>
      </c>
      <c r="AQ106" s="183" t="str">
        <f t="shared" si="66"/>
        <v>Mesaj</v>
      </c>
      <c r="AR106" s="183" t="str">
        <f t="shared" si="67"/>
        <v>Mesaj</v>
      </c>
      <c r="AS106" s="184" t="str">
        <f>IF(ISNA(VLOOKUP(Tablo7[[#This Row],[Sifariş kodu]],'Kəsim ve təhvil'!$E$5:$E1104,1,0)),"Qəbul edilməyib","Qəbul edilib")</f>
        <v>Qəbul edilməyib</v>
      </c>
      <c r="AT106" s="185" t="str">
        <f>IF(ISNA(VLOOKUP(Tablo7[[#This Row],[Sifariş kodu]],'Kəsim ve təhvil'!$H$5:$H1104,1,0)),"Anbardadır","Təhvil verilib")</f>
        <v>Anbardadır</v>
      </c>
      <c r="AU106" s="186" t="str">
        <f>"Hörmətli *"&amp;Tablo7[[#This Row],[Müştəri]]&amp;"*  ,Sizin *"&amp;G106&amp;"* tarixli sifarişiniz qeydə alındı. Sifariş Məbləğı *"&amp;AM106&amp;" AZN* , Qalıq *"&amp;AP106&amp;" AZN* . Hörmətlə  *AlumPro*"</f>
        <v>Hörmətli *Kamran kaya desıgn*  ,Sizin *25,12,2024* tarixli sifarişiniz qeydə alındı. Sifariş Məbləğı *886 AZN* , Qalıq *586 AZN* . Hörmətlə  *AlumPro*</v>
      </c>
      <c r="AV106" s="187" t="str">
        <f>"Hörmətli *"&amp;Tablo7[[#This Row],[Müştəri]]&amp;"* , sizin *"&amp;G106&amp;"* tarixli  sifarişiniz hazırdır . Bizi seçdiyiniz üçün minnətdarıq. Hörmətlə  *AlumPro*."</f>
        <v>Hörmətli *Kamran kaya desıgn* , sizin *25,12,2024* tarixli  sifarişiniz hazırdır . Bizi seçdiyiniz üçün minnətdarıq. Hörmətlə  *AlumPro*.</v>
      </c>
      <c r="AW106" s="188" t="str">
        <f t="shared" si="72"/>
        <v>Kamran</v>
      </c>
      <c r="AX106" s="253" t="str">
        <f t="shared" si="69"/>
        <v xml:space="preserve">Kamran </v>
      </c>
    </row>
    <row r="107" spans="4:50">
      <c r="D107" s="178">
        <v>227</v>
      </c>
      <c r="E107" s="179" t="s">
        <v>421</v>
      </c>
      <c r="F107" s="179" t="s">
        <v>339</v>
      </c>
      <c r="G107" s="212" t="s">
        <v>166</v>
      </c>
      <c r="H107" s="179" t="s">
        <v>158</v>
      </c>
      <c r="I107" s="179" t="s">
        <v>159</v>
      </c>
      <c r="J107" s="179"/>
      <c r="K107" s="179" t="s">
        <v>226</v>
      </c>
      <c r="L107" s="179"/>
      <c r="M107" s="179" t="str">
        <f>_xlfn.XLOOKUP(Tablo7[[#This Row],[Yan Profili]],Anbar!$J$3:$J$1000,Anbar!$H$3:$H$1000,"Tapilmadi")</f>
        <v>Tapilmadi</v>
      </c>
      <c r="N107" s="179">
        <v>12</v>
      </c>
      <c r="O107" s="179">
        <v>276</v>
      </c>
      <c r="P107" s="179" t="s">
        <v>184</v>
      </c>
      <c r="Q107" s="179" t="str">
        <f>_xlfn.XLOOKUP(Tablo7[[#This Row],[Qulp növü]],Anbar!$J$3:$J$1000,Anbar!$H$3:$H$1000,"Tapilmadi")</f>
        <v>Tapilmadi</v>
      </c>
      <c r="R107" s="179">
        <v>8</v>
      </c>
      <c r="S107" s="180">
        <v>208</v>
      </c>
      <c r="T107" s="181" t="s">
        <v>196</v>
      </c>
      <c r="U107" s="179" t="str">
        <f>_xlfn.XLOOKUP(Tablo7[[#This Row],[Petlə]],Anbar!$J$3:$J$1000,Anbar!$H$3:$H$1000,"Tapilmadi")</f>
        <v>Tapilmadi</v>
      </c>
      <c r="V107" s="179">
        <v>40</v>
      </c>
      <c r="W107" s="180">
        <v>160</v>
      </c>
      <c r="X107" s="269">
        <v>0</v>
      </c>
      <c r="Y107" s="179" t="s">
        <v>199</v>
      </c>
      <c r="Z107" s="182"/>
      <c r="AA107" s="180">
        <v>332</v>
      </c>
      <c r="AB107" s="180"/>
      <c r="AC107" s="179" t="str">
        <f>_xlfn.XLOOKUP(Tablo7[[#This Row],[Bağlantı]],Anbar!$J$3:$J$1000,Anbar!$H$3:$H$1000,"Tapilmadi")</f>
        <v>Tapilmadi</v>
      </c>
      <c r="AD107" s="179"/>
      <c r="AE107" s="180">
        <v>64</v>
      </c>
      <c r="AF107" s="180"/>
      <c r="AG107" s="179" t="str">
        <f>_xlfn.XLOOKUP(Tablo7[[#This Row],[Mexanizm]],Anbar!$J$3:$J$1000,Anbar!$H$3:$H$1000,"Tapilmadi")</f>
        <v>Tapilmadi</v>
      </c>
      <c r="AH107" s="179">
        <v>1</v>
      </c>
      <c r="AI107" s="180">
        <v>0</v>
      </c>
      <c r="AJ107" s="180">
        <v>80</v>
      </c>
      <c r="AK107" s="180">
        <v>120</v>
      </c>
      <c r="AL107" s="180">
        <v>0</v>
      </c>
      <c r="AM107" s="180">
        <v>1240</v>
      </c>
      <c r="AN107" s="180">
        <v>0</v>
      </c>
      <c r="AO107" s="180">
        <v>0</v>
      </c>
      <c r="AP107" s="194">
        <f>Tablo7[[#This Row],[Ümumi məbləğ]]-Tablo7[[#This Row],[Ödəniş]]-Tablo7[[#This Row],[Endirim]]</f>
        <v>1240</v>
      </c>
      <c r="AQ107" s="183" t="str">
        <f t="shared" si="66"/>
        <v>Mesaj</v>
      </c>
      <c r="AR107" s="183" t="str">
        <f t="shared" si="67"/>
        <v>Mesaj</v>
      </c>
      <c r="AS107" s="184" t="str">
        <f>IF(ISNA(VLOOKUP(Tablo7[[#This Row],[Sifariş kodu]],'Kəsim ve təhvil'!$E$5:$E1105,1,0)),"Qəbul edilməyib","Qəbul edilib")</f>
        <v>Qəbul edilməyib</v>
      </c>
      <c r="AT107" s="185" t="str">
        <f>IF(ISNA(VLOOKUP(Tablo7[[#This Row],[Sifariş kodu]],'Kəsim ve təhvil'!$H$5:$H1105,1,0)),"Anbardadır","Təhvil verilib")</f>
        <v>Anbardadır</v>
      </c>
      <c r="AU107" s="186" t="str">
        <f>"Hörmətli *"&amp;Tablo7[[#This Row],[Müştəri]]&amp;"*  ,Sizin *"&amp;G107&amp;"* tarixli sifarişiniz qeydə alındı. Sifariş Məbləğı *"&amp;AM107&amp;" AZN* , Qalıq *"&amp;AP107&amp;" AZN* . Hörmətlə  *AlumPro*"</f>
        <v>Hörmətli *My Concept*  ,Sizin *25,12,2024* tarixli sifarişiniz qeydə alındı. Sifariş Məbləğı *1240 AZN* , Qalıq *1240 AZN* . Hörmətlə  *AlumPro*</v>
      </c>
      <c r="AV107" s="187" t="str">
        <f>"Hörmətli *"&amp;Tablo7[[#This Row],[Müştəri]]&amp;"* , sizin *"&amp;G107&amp;"* tarixli  sifarişiniz hazırdır . Bizi seçdiyiniz üçün minnətdarıq. Hörmətlə  *AlumPro*."</f>
        <v>Hörmətli *My Concept* , sizin *25,12,2024* tarixli  sifarişiniz hazırdır . Bizi seçdiyiniz üçün minnətdarıq. Hörmətlə  *AlumPro*.</v>
      </c>
      <c r="AW107" s="188" t="str">
        <f t="shared" si="72"/>
        <v>My</v>
      </c>
      <c r="AX107" s="253" t="str">
        <f t="shared" si="69"/>
        <v xml:space="preserve">My </v>
      </c>
    </row>
    <row r="108" spans="4:50">
      <c r="D108" s="178">
        <v>226</v>
      </c>
      <c r="E108" s="179" t="s">
        <v>422</v>
      </c>
      <c r="F108" s="179" t="s">
        <v>339</v>
      </c>
      <c r="G108" s="212" t="s">
        <v>166</v>
      </c>
      <c r="H108" s="179" t="s">
        <v>423</v>
      </c>
      <c r="I108" s="179">
        <v>0</v>
      </c>
      <c r="J108" s="179"/>
      <c r="K108" s="179" t="s">
        <v>194</v>
      </c>
      <c r="L108" s="179"/>
      <c r="M108" s="179" t="str">
        <f>_xlfn.XLOOKUP(Tablo7[[#This Row],[Yan Profili]],Anbar!$J$3:$J$1000,Anbar!$H$3:$H$1000,"Tapilmadi")</f>
        <v>Tapilmadi</v>
      </c>
      <c r="N108" s="179">
        <v>10</v>
      </c>
      <c r="O108" s="179">
        <v>230</v>
      </c>
      <c r="P108" s="179" t="s">
        <v>195</v>
      </c>
      <c r="Q108" s="179" t="str">
        <f>_xlfn.XLOOKUP(Tablo7[[#This Row],[Qulp növü]],Anbar!$J$3:$J$1000,Anbar!$H$3:$H$1000,"Tapilmadi")</f>
        <v>Tapilmadi</v>
      </c>
      <c r="R108" s="179">
        <v>0</v>
      </c>
      <c r="S108" s="180">
        <v>0</v>
      </c>
      <c r="T108" s="181" t="s">
        <v>196</v>
      </c>
      <c r="U108" s="179" t="str">
        <f>_xlfn.XLOOKUP(Tablo7[[#This Row],[Petlə]],Anbar!$J$3:$J$1000,Anbar!$H$3:$H$1000,"Tapilmadi")</f>
        <v>Tapilmadi</v>
      </c>
      <c r="V108" s="179">
        <v>20</v>
      </c>
      <c r="W108" s="180">
        <v>80</v>
      </c>
      <c r="X108" s="269">
        <v>0</v>
      </c>
      <c r="Y108" s="179" t="s">
        <v>36</v>
      </c>
      <c r="Z108" s="182"/>
      <c r="AA108" s="180">
        <v>163</v>
      </c>
      <c r="AB108" s="180"/>
      <c r="AC108" s="179" t="str">
        <f>_xlfn.XLOOKUP(Tablo7[[#This Row],[Bağlantı]],Anbar!$J$3:$J$1000,Anbar!$H$3:$H$1000,"Tapilmadi")</f>
        <v>Tapilmadi</v>
      </c>
      <c r="AD108" s="179"/>
      <c r="AE108" s="180">
        <v>32</v>
      </c>
      <c r="AF108" s="180"/>
      <c r="AG108" s="179" t="str">
        <f>_xlfn.XLOOKUP(Tablo7[[#This Row],[Mexanizm]],Anbar!$J$3:$J$1000,Anbar!$H$3:$H$1000,"Tapilmadi")</f>
        <v>Tapilmadi</v>
      </c>
      <c r="AH108" s="179">
        <v>1</v>
      </c>
      <c r="AI108" s="180">
        <v>0</v>
      </c>
      <c r="AJ108" s="180">
        <v>40</v>
      </c>
      <c r="AK108" s="180">
        <v>60</v>
      </c>
      <c r="AL108" s="180">
        <v>0</v>
      </c>
      <c r="AM108" s="180">
        <v>600</v>
      </c>
      <c r="AN108" s="180">
        <v>5</v>
      </c>
      <c r="AO108" s="180">
        <v>300</v>
      </c>
      <c r="AP108" s="194">
        <f>Tablo7[[#This Row],[Ümumi məbləğ]]-Tablo7[[#This Row],[Ödəniş]]-Tablo7[[#This Row],[Endirim]]</f>
        <v>295</v>
      </c>
      <c r="AQ108" s="183" t="str">
        <f t="shared" si="66"/>
        <v>Mesaj</v>
      </c>
      <c r="AR108" s="183" t="str">
        <f t="shared" si="67"/>
        <v>Mesaj</v>
      </c>
      <c r="AS108" s="184" t="str">
        <f>IF(ISNA(VLOOKUP(Tablo7[[#This Row],[Sifariş kodu]],'Kəsim ve təhvil'!$E$5:$E1106,1,0)),"Qəbul edilməyib","Qəbul edilib")</f>
        <v>Qəbul edilməyib</v>
      </c>
      <c r="AT108" s="185" t="str">
        <f>IF(ISNA(VLOOKUP(Tablo7[[#This Row],[Sifariş kodu]],'Kəsim ve təhvil'!$H$5:$H1106,1,0)),"Anbardadır","Təhvil verilib")</f>
        <v>Anbardadır</v>
      </c>
      <c r="AU108" s="186" t="str">
        <f>"Hörmətli *"&amp;Tablo7[[#This Row],[Müştəri]]&amp;"*  ,Sizin *"&amp;G108&amp;"* tarixli sifarişiniz qeydə alındı. Sifariş Məbləğı *"&amp;AM108&amp;" AZN* , Qalıq *"&amp;AP108&amp;" AZN* . Hörmətlə  *AlumPro*"</f>
        <v>Hörmətli *Elmar Amay*  ,Sizin *25,12,2024* tarixli sifarişiniz qeydə alındı. Sifariş Məbləğı *600 AZN* , Qalıq *295 AZN* . Hörmətlə  *AlumPro*</v>
      </c>
      <c r="AV108" s="187" t="str">
        <f>"Hörmətli *"&amp;Tablo7[[#This Row],[Müştəri]]&amp;"* , sizin *"&amp;G108&amp;"* tarixli  sifarişiniz hazırdır . Bizi seçdiyiniz üçün minnətdarıq. Hörmətlə  *AlumPro*."</f>
        <v>Hörmətli *Elmar Amay* , sizin *25,12,2024* tarixli  sifarişiniz hazırdır . Bizi seçdiyiniz üçün minnətdarıq. Hörmətlə  *AlumPro*.</v>
      </c>
      <c r="AW108" s="188" t="str">
        <f t="shared" si="72"/>
        <v>Elmar</v>
      </c>
      <c r="AX108" s="253" t="str">
        <f t="shared" si="69"/>
        <v xml:space="preserve">Elmar </v>
      </c>
    </row>
    <row r="109" spans="4:50">
      <c r="D109" s="178">
        <v>225</v>
      </c>
      <c r="E109" s="179" t="s">
        <v>424</v>
      </c>
      <c r="F109" s="179" t="s">
        <v>339</v>
      </c>
      <c r="G109" s="212" t="s">
        <v>166</v>
      </c>
      <c r="H109" s="179" t="s">
        <v>389</v>
      </c>
      <c r="I109" s="179" t="s">
        <v>390</v>
      </c>
      <c r="J109" s="179"/>
      <c r="K109" s="179" t="s">
        <v>226</v>
      </c>
      <c r="L109" s="179"/>
      <c r="M109" s="179" t="str">
        <f>_xlfn.XLOOKUP(Tablo7[[#This Row],[Yan Profili]],Anbar!$J$3:$J$1000,Anbar!$H$3:$H$1000,"Tapilmadi")</f>
        <v>Tapilmadi</v>
      </c>
      <c r="N109" s="179">
        <v>3</v>
      </c>
      <c r="O109" s="179">
        <v>69</v>
      </c>
      <c r="P109" s="179" t="s">
        <v>184</v>
      </c>
      <c r="Q109" s="179" t="str">
        <f>_xlfn.XLOOKUP(Tablo7[[#This Row],[Qulp növü]],Anbar!$J$3:$J$1000,Anbar!$H$3:$H$1000,"Tapilmadi")</f>
        <v>Tapilmadi</v>
      </c>
      <c r="R109" s="179">
        <v>2</v>
      </c>
      <c r="S109" s="180">
        <v>52</v>
      </c>
      <c r="T109" s="181" t="s">
        <v>196</v>
      </c>
      <c r="U109" s="179" t="str">
        <f>_xlfn.XLOOKUP(Tablo7[[#This Row],[Petlə]],Anbar!$J$3:$J$1000,Anbar!$H$3:$H$1000,"Tapilmadi")</f>
        <v>Tapilmadi</v>
      </c>
      <c r="V109" s="179">
        <v>6</v>
      </c>
      <c r="W109" s="180">
        <v>24</v>
      </c>
      <c r="X109" s="269">
        <v>0</v>
      </c>
      <c r="Y109" s="179" t="s">
        <v>199</v>
      </c>
      <c r="Z109" s="182"/>
      <c r="AA109" s="180">
        <v>51</v>
      </c>
      <c r="AB109" s="180"/>
      <c r="AC109" s="179" t="str">
        <f>_xlfn.XLOOKUP(Tablo7[[#This Row],[Bağlantı]],Anbar!$J$3:$J$1000,Anbar!$H$3:$H$1000,"Tapilmadi")</f>
        <v>Tapilmadi</v>
      </c>
      <c r="AD109" s="179"/>
      <c r="AE109" s="180">
        <v>16</v>
      </c>
      <c r="AF109" s="180"/>
      <c r="AG109" s="179" t="str">
        <f>_xlfn.XLOOKUP(Tablo7[[#This Row],[Mexanizm]],Anbar!$J$3:$J$1000,Anbar!$H$3:$H$1000,"Tapilmadi")</f>
        <v>Tapilmadi</v>
      </c>
      <c r="AH109" s="179">
        <v>1</v>
      </c>
      <c r="AI109" s="180">
        <v>0</v>
      </c>
      <c r="AJ109" s="180">
        <v>12</v>
      </c>
      <c r="AK109" s="180">
        <v>30</v>
      </c>
      <c r="AL109" s="180">
        <v>0</v>
      </c>
      <c r="AM109" s="180">
        <v>254</v>
      </c>
      <c r="AN109" s="180"/>
      <c r="AO109" s="180">
        <v>254</v>
      </c>
      <c r="AP109" s="194">
        <f>Tablo7[[#This Row],[Ümumi məbləğ]]-Tablo7[[#This Row],[Ödəniş]]-Tablo7[[#This Row],[Endirim]]</f>
        <v>0</v>
      </c>
      <c r="AQ109" s="183" t="str">
        <f t="shared" si="66"/>
        <v>Mesaj</v>
      </c>
      <c r="AR109" s="183" t="str">
        <f t="shared" si="67"/>
        <v>Mesaj</v>
      </c>
      <c r="AS109" s="184" t="str">
        <f>IF(ISNA(VLOOKUP(Tablo7[[#This Row],[Sifariş kodu]],'Kəsim ve təhvil'!$E$5:$E1107,1,0)),"Qəbul edilməyib","Qəbul edilib")</f>
        <v>Qəbul edilməyib</v>
      </c>
      <c r="AT109" s="185" t="str">
        <f>IF(ISNA(VLOOKUP(Tablo7[[#This Row],[Sifariş kodu]],'Kəsim ve təhvil'!$H$5:$H1107,1,0)),"Anbardadır","Təhvil verilib")</f>
        <v>Anbardadır</v>
      </c>
      <c r="AU109" s="186" t="str">
        <f>"Hörmətli *"&amp;Tablo7[[#This Row],[Müştəri]]&amp;"*  ,Sizin *"&amp;G109&amp;"* tarixli sifarişiniz qeydə alındı. Sifariş Məbləğı *"&amp;AM109&amp;" AZN* , Qalıq *"&amp;AP109&amp;" AZN* . Hörmətlə  *AlumPro*"</f>
        <v>Hörmətli *Samir Ayla Mebel*  ,Sizin *25,12,2024* tarixli sifarişiniz qeydə alındı. Sifariş Məbləğı *254 AZN* , Qalıq *0 AZN* . Hörmətlə  *AlumPro*</v>
      </c>
      <c r="AV109" s="187" t="str">
        <f>"Hörmətli *"&amp;Tablo7[[#This Row],[Müştəri]]&amp;"* , sizin *"&amp;G109&amp;"* tarixli  sifarişiniz hazırdır . Bizi seçdiyiniz üçün minnətdarıq. Hörmətlə  *AlumPro*."</f>
        <v>Hörmətli *Samir Ayla Mebel* , sizin *25,12,2024* tarixli  sifarişiniz hazırdır . Bizi seçdiyiniz üçün minnətdarıq. Hörmətlə  *AlumPro*.</v>
      </c>
      <c r="AW109" s="188" t="str">
        <f t="shared" si="72"/>
        <v>Samir</v>
      </c>
      <c r="AX109" s="253" t="str">
        <f t="shared" si="69"/>
        <v xml:space="preserve">Samir </v>
      </c>
    </row>
    <row r="110" spans="4:50">
      <c r="D110" s="178">
        <v>224</v>
      </c>
      <c r="E110" s="179" t="s">
        <v>425</v>
      </c>
      <c r="F110" s="179" t="s">
        <v>339</v>
      </c>
      <c r="G110" s="212" t="s">
        <v>166</v>
      </c>
      <c r="H110" s="179" t="s">
        <v>426</v>
      </c>
      <c r="I110" s="179">
        <v>0</v>
      </c>
      <c r="J110" s="179"/>
      <c r="K110" s="179" t="s">
        <v>189</v>
      </c>
      <c r="L110" s="179"/>
      <c r="M110" s="179" t="str">
        <f>_xlfn.XLOOKUP(Tablo7[[#This Row],[Yan Profili]],Anbar!$J$3:$J$1000,Anbar!$H$3:$H$1000,"Tapilmadi")</f>
        <v>Tapilmadi</v>
      </c>
      <c r="N110" s="179">
        <v>2</v>
      </c>
      <c r="O110" s="179">
        <v>46</v>
      </c>
      <c r="P110" s="179" t="s">
        <v>195</v>
      </c>
      <c r="Q110" s="179" t="str">
        <f>_xlfn.XLOOKUP(Tablo7[[#This Row],[Qulp növü]],Anbar!$J$3:$J$1000,Anbar!$H$3:$H$1000,"Tapilmadi")</f>
        <v>Tapilmadi</v>
      </c>
      <c r="R110" s="179">
        <v>0</v>
      </c>
      <c r="S110" s="180">
        <v>0</v>
      </c>
      <c r="T110" s="181"/>
      <c r="U110" s="179" t="str">
        <f>_xlfn.XLOOKUP(Tablo7[[#This Row],[Petlə]],Anbar!$J$3:$J$1000,Anbar!$H$3:$H$1000,"Tapilmadi")</f>
        <v>Tapilmadi</v>
      </c>
      <c r="V110" s="179">
        <v>0</v>
      </c>
      <c r="W110" s="180">
        <v>0</v>
      </c>
      <c r="X110" s="269">
        <v>0</v>
      </c>
      <c r="Y110" s="179" t="s">
        <v>276</v>
      </c>
      <c r="Z110" s="182"/>
      <c r="AA110" s="180">
        <v>32</v>
      </c>
      <c r="AB110" s="180"/>
      <c r="AC110" s="179" t="str">
        <f>_xlfn.XLOOKUP(Tablo7[[#This Row],[Bağlantı]],Anbar!$J$3:$J$1000,Anbar!$H$3:$H$1000,"Tapilmadi")</f>
        <v>Tapilmadi</v>
      </c>
      <c r="AD110" s="179"/>
      <c r="AE110" s="180">
        <v>4</v>
      </c>
      <c r="AF110" s="180"/>
      <c r="AG110" s="179" t="str">
        <f>_xlfn.XLOOKUP(Tablo7[[#This Row],[Mexanizm]],Anbar!$J$3:$J$1000,Anbar!$H$3:$H$1000,"Tapilmadi")</f>
        <v>Tapilmadi</v>
      </c>
      <c r="AH110" s="179">
        <v>1</v>
      </c>
      <c r="AI110" s="180">
        <v>0</v>
      </c>
      <c r="AJ110" s="180">
        <v>3</v>
      </c>
      <c r="AK110" s="180">
        <v>15</v>
      </c>
      <c r="AL110" s="180">
        <v>0</v>
      </c>
      <c r="AM110" s="180">
        <v>100</v>
      </c>
      <c r="AN110" s="180">
        <v>0</v>
      </c>
      <c r="AO110" s="180">
        <v>100</v>
      </c>
      <c r="AP110" s="194">
        <f>Tablo7[[#This Row],[Ümumi məbləğ]]-Tablo7[[#This Row],[Ödəniş]]-Tablo7[[#This Row],[Endirim]]</f>
        <v>0</v>
      </c>
      <c r="AQ110" s="183" t="str">
        <f t="shared" si="66"/>
        <v>Mesaj</v>
      </c>
      <c r="AR110" s="183" t="str">
        <f t="shared" si="67"/>
        <v>Mesaj</v>
      </c>
      <c r="AS110" s="184" t="str">
        <f>IF(ISNA(VLOOKUP(Tablo7[[#This Row],[Sifariş kodu]],'Kəsim ve təhvil'!$E$5:$E1108,1,0)),"Qəbul edilməyib","Qəbul edilib")</f>
        <v>Qəbul edilməyib</v>
      </c>
      <c r="AT110" s="185" t="str">
        <f>IF(ISNA(VLOOKUP(Tablo7[[#This Row],[Sifariş kodu]],'Kəsim ve təhvil'!$H$5:$H1108,1,0)),"Anbardadır","Təhvil verilib")</f>
        <v>Anbardadır</v>
      </c>
      <c r="AU110" s="186" t="str">
        <f>"Hörmətli *"&amp;Tablo7[[#This Row],[Müştəri]]&amp;"*  ,Sizin *"&amp;G110&amp;"* tarixli sifarişiniz qeydə alındı. Sifariş Məbləğı *"&amp;AM110&amp;" AZN* , Qalıq *"&amp;AP110&amp;" AZN* . Hörmətlə  *AlumPro*"</f>
        <v>Hörmətli *Ruslan Huseynov*  ,Sizin *25,12,2024* tarixli sifarişiniz qeydə alındı. Sifariş Məbləğı *100 AZN* , Qalıq *0 AZN* . Hörmətlə  *AlumPro*</v>
      </c>
      <c r="AV110" s="187" t="str">
        <f>"Hörmətli *"&amp;Tablo7[[#This Row],[Müştəri]]&amp;"* , sizin *"&amp;G110&amp;"* tarixli  sifarişiniz hazırdır . Bizi seçdiyiniz üçün minnətdarıq. Hörmətlə  *AlumPro*."</f>
        <v>Hörmətli *Ruslan Huseynov* , sizin *25,12,2024* tarixli  sifarişiniz hazırdır . Bizi seçdiyiniz üçün minnətdarıq. Hörmətlə  *AlumPro*.</v>
      </c>
      <c r="AW110" s="188" t="str">
        <f t="shared" si="72"/>
        <v>Ruslan</v>
      </c>
      <c r="AX110" s="253" t="str">
        <f t="shared" si="69"/>
        <v xml:space="preserve">Ruslan </v>
      </c>
    </row>
    <row r="111" spans="4:50">
      <c r="D111" s="178">
        <v>223</v>
      </c>
      <c r="E111" s="179" t="s">
        <v>427</v>
      </c>
      <c r="F111" s="179" t="s">
        <v>339</v>
      </c>
      <c r="G111" s="212" t="s">
        <v>169</v>
      </c>
      <c r="H111" s="179" t="s">
        <v>272</v>
      </c>
      <c r="I111" s="179" t="s">
        <v>273</v>
      </c>
      <c r="J111" s="179" t="s">
        <v>428</v>
      </c>
      <c r="K111" s="179" t="s">
        <v>429</v>
      </c>
      <c r="L111" s="179"/>
      <c r="M111" s="179" t="str">
        <f>_xlfn.XLOOKUP(Tablo7[[#This Row],[Yan Profili]],Anbar!$J$3:$J$1000,Anbar!$H$3:$H$1000,"Tapilmadi")</f>
        <v>Tapilmadi</v>
      </c>
      <c r="N111" s="179">
        <v>4</v>
      </c>
      <c r="O111" s="179">
        <v>140</v>
      </c>
      <c r="P111" s="179">
        <v>0</v>
      </c>
      <c r="Q111" s="179" t="str">
        <f>_xlfn.XLOOKUP(Tablo7[[#This Row],[Qulp növü]],Anbar!$J$3:$J$1000,Anbar!$H$3:$H$1000,"Tapilmadi")</f>
        <v>Tapilmadi</v>
      </c>
      <c r="R111" s="179">
        <v>0</v>
      </c>
      <c r="S111" s="180">
        <v>0</v>
      </c>
      <c r="T111" s="181"/>
      <c r="U111" s="179" t="str">
        <f>_xlfn.XLOOKUP(Tablo7[[#This Row],[Petlə]],Anbar!$J$3:$J$1000,Anbar!$H$3:$H$1000,"Tapilmadi")</f>
        <v>Tapilmadi</v>
      </c>
      <c r="V111" s="179">
        <v>0</v>
      </c>
      <c r="W111" s="180">
        <v>0</v>
      </c>
      <c r="X111" s="269">
        <v>0</v>
      </c>
      <c r="Y111" s="179" t="s">
        <v>276</v>
      </c>
      <c r="Z111" s="182"/>
      <c r="AA111" s="180">
        <v>72</v>
      </c>
      <c r="AB111" s="180"/>
      <c r="AC111" s="179" t="str">
        <f>_xlfn.XLOOKUP(Tablo7[[#This Row],[Bağlantı]],Anbar!$J$3:$J$1000,Anbar!$H$3:$H$1000,"Tapilmadi")</f>
        <v>Tapilmadi</v>
      </c>
      <c r="AD111" s="179"/>
      <c r="AE111" s="180">
        <v>8</v>
      </c>
      <c r="AF111" s="180"/>
      <c r="AG111" s="179" t="str">
        <f>_xlfn.XLOOKUP(Tablo7[[#This Row],[Mexanizm]],Anbar!$J$3:$J$1000,Anbar!$H$3:$H$1000,"Tapilmadi")</f>
        <v>Tapilmadi</v>
      </c>
      <c r="AH111" s="179">
        <v>1</v>
      </c>
      <c r="AI111" s="180">
        <v>0</v>
      </c>
      <c r="AJ111" s="180">
        <v>10</v>
      </c>
      <c r="AK111" s="180">
        <v>30</v>
      </c>
      <c r="AL111" s="180">
        <v>0</v>
      </c>
      <c r="AM111" s="180">
        <v>260</v>
      </c>
      <c r="AN111" s="180">
        <v>0</v>
      </c>
      <c r="AO111" s="180">
        <v>260</v>
      </c>
      <c r="AP111" s="194">
        <f>Tablo7[[#This Row],[Ümumi məbləğ]]-Tablo7[[#This Row],[Ödəniş]]-Tablo7[[#This Row],[Endirim]]</f>
        <v>0</v>
      </c>
      <c r="AQ111" s="183" t="str">
        <f t="shared" si="66"/>
        <v>Mesaj</v>
      </c>
      <c r="AR111" s="183" t="str">
        <f t="shared" si="67"/>
        <v>Mesaj</v>
      </c>
      <c r="AS111" s="184" t="str">
        <f>IF(ISNA(VLOOKUP(Tablo7[[#This Row],[Sifariş kodu]],'Kəsim ve təhvil'!$E$5:$E1109,1,0)),"Qəbul edilməyib","Qəbul edilib")</f>
        <v>Qəbul edilməyib</v>
      </c>
      <c r="AT111" s="185" t="str">
        <f>IF(ISNA(VLOOKUP(Tablo7[[#This Row],[Sifariş kodu]],'Kəsim ve təhvil'!$H$5:$H1109,1,0)),"Anbardadır","Təhvil verilib")</f>
        <v>Anbardadır</v>
      </c>
      <c r="AU111" s="186" t="str">
        <f>"Hörmətli *"&amp;Tablo7[[#This Row],[Müştəri]]&amp;"*  ,Sizin *"&amp;G111&amp;"* tarixli sifarişiniz qeydə alındı. Sifariş Məbləğı *"&amp;AM111&amp;" AZN* , Qalıq *"&amp;AP111&amp;" AZN* . Hörmətlə  *AlumPro*"</f>
        <v>Hörmətli *Resad Mebelline *  ,Sizin *24,12,2024* tarixli sifarişiniz qeydə alındı. Sifariş Məbləğı *260 AZN* , Qalıq *0 AZN* . Hörmətlə  *AlumPro*</v>
      </c>
      <c r="AV111" s="187" t="str">
        <f>"Hörmətli *"&amp;Tablo7[[#This Row],[Müştəri]]&amp;"* , sizin *"&amp;G111&amp;"* tarixli  sifarişiniz hazırdır . Bizi seçdiyiniz üçün minnətdarıq. Hörmətlə  *AlumPro*."</f>
        <v>Hörmətli *Resad Mebelline * , sizin *24,12,2024* tarixli  sifarişiniz hazırdır . Bizi seçdiyiniz üçün minnətdarıq. Hörmətlə  *AlumPro*.</v>
      </c>
      <c r="AW111" s="188" t="str">
        <f t="shared" si="72"/>
        <v>Resad</v>
      </c>
      <c r="AX111" s="253" t="str">
        <f t="shared" si="69"/>
        <v xml:space="preserve">Resad </v>
      </c>
    </row>
    <row r="112" spans="4:50">
      <c r="D112" s="178">
        <v>222</v>
      </c>
      <c r="E112" s="179" t="s">
        <v>430</v>
      </c>
      <c r="F112" s="179" t="s">
        <v>339</v>
      </c>
      <c r="G112" s="212" t="s">
        <v>169</v>
      </c>
      <c r="H112" s="179" t="s">
        <v>272</v>
      </c>
      <c r="I112" s="179" t="s">
        <v>273</v>
      </c>
      <c r="J112" s="179"/>
      <c r="K112" s="179" t="s">
        <v>194</v>
      </c>
      <c r="L112" s="179"/>
      <c r="M112" s="179" t="str">
        <f>_xlfn.XLOOKUP(Tablo7[[#This Row],[Yan Profili]],Anbar!$J$3:$J$1000,Anbar!$H$3:$H$1000,"Tapilmadi")</f>
        <v>Tapilmadi</v>
      </c>
      <c r="N112" s="179">
        <v>0</v>
      </c>
      <c r="O112" s="179">
        <v>0</v>
      </c>
      <c r="P112" s="179" t="s">
        <v>184</v>
      </c>
      <c r="Q112" s="179" t="str">
        <f>_xlfn.XLOOKUP(Tablo7[[#This Row],[Qulp növü]],Anbar!$J$3:$J$1000,Anbar!$H$3:$H$1000,"Tapilmadi")</f>
        <v>Tapilmadi</v>
      </c>
      <c r="R112" s="179">
        <v>1</v>
      </c>
      <c r="S112" s="180">
        <v>26</v>
      </c>
      <c r="T112" s="181" t="s">
        <v>196</v>
      </c>
      <c r="U112" s="179" t="str">
        <f>_xlfn.XLOOKUP(Tablo7[[#This Row],[Petlə]],Anbar!$J$3:$J$1000,Anbar!$H$3:$H$1000,"Tapilmadi")</f>
        <v>Tapilmadi</v>
      </c>
      <c r="V112" s="179">
        <v>4</v>
      </c>
      <c r="W112" s="180">
        <v>16</v>
      </c>
      <c r="X112" s="269">
        <v>0</v>
      </c>
      <c r="Y112" s="179"/>
      <c r="Z112" s="182"/>
      <c r="AA112" s="180">
        <v>0</v>
      </c>
      <c r="AB112" s="180"/>
      <c r="AC112" s="179" t="str">
        <f>_xlfn.XLOOKUP(Tablo7[[#This Row],[Bağlantı]],Anbar!$J$3:$J$1000,Anbar!$H$3:$H$1000,"Tapilmadi")</f>
        <v>Tapilmadi</v>
      </c>
      <c r="AD112" s="179"/>
      <c r="AE112" s="180">
        <v>16</v>
      </c>
      <c r="AF112" s="180"/>
      <c r="AG112" s="179" t="str">
        <f>_xlfn.XLOOKUP(Tablo7[[#This Row],[Mexanizm]],Anbar!$J$3:$J$1000,Anbar!$H$3:$H$1000,"Tapilmadi")</f>
        <v>Tapilmadi</v>
      </c>
      <c r="AH112" s="179">
        <v>1</v>
      </c>
      <c r="AI112" s="180">
        <v>0</v>
      </c>
      <c r="AJ112" s="180">
        <v>8</v>
      </c>
      <c r="AK112" s="180">
        <v>20</v>
      </c>
      <c r="AL112" s="180">
        <v>0</v>
      </c>
      <c r="AM112" s="180">
        <v>86</v>
      </c>
      <c r="AN112" s="180">
        <v>0</v>
      </c>
      <c r="AO112" s="180">
        <v>86</v>
      </c>
      <c r="AP112" s="194">
        <f>Tablo7[[#This Row],[Ümumi məbləğ]]-Tablo7[[#This Row],[Ödəniş]]-Tablo7[[#This Row],[Endirim]]</f>
        <v>0</v>
      </c>
      <c r="AQ112" s="183" t="str">
        <f t="shared" si="66"/>
        <v>Mesaj</v>
      </c>
      <c r="AR112" s="183" t="str">
        <f t="shared" si="67"/>
        <v>Mesaj</v>
      </c>
      <c r="AS112" s="184" t="str">
        <f>IF(ISNA(VLOOKUP(Tablo7[[#This Row],[Sifariş kodu]],'Kəsim ve təhvil'!$E$5:$E1110,1,0)),"Qəbul edilməyib","Qəbul edilib")</f>
        <v>Qəbul edilməyib</v>
      </c>
      <c r="AT112" s="185" t="str">
        <f>IF(ISNA(VLOOKUP(Tablo7[[#This Row],[Sifariş kodu]],'Kəsim ve təhvil'!$H$5:$H1110,1,0)),"Anbardadır","Təhvil verilib")</f>
        <v>Anbardadır</v>
      </c>
      <c r="AU112" s="186" t="str">
        <f>"Hörmətli *"&amp;Tablo7[[#This Row],[Müştəri]]&amp;"*  ,Sizin *"&amp;G112&amp;"* tarixli sifarişiniz qeydə alındı. Sifariş Məbləğı *"&amp;AM112&amp;" AZN* , Qalıq *"&amp;AP112&amp;" AZN* . Hörmətlə  *AlumPro*"</f>
        <v>Hörmətli *Resad Mebelline *  ,Sizin *24,12,2024* tarixli sifarişiniz qeydə alındı. Sifariş Məbləğı *86 AZN* , Qalıq *0 AZN* . Hörmətlə  *AlumPro*</v>
      </c>
      <c r="AV112" s="187" t="str">
        <f>"Hörmətli *"&amp;Tablo7[[#This Row],[Müştəri]]&amp;"* , sizin *"&amp;G112&amp;"* tarixli  sifarişiniz hazırdır . Bizi seçdiyiniz üçün minnətdarıq. Hörmətlə  *AlumPro*."</f>
        <v>Hörmətli *Resad Mebelline * , sizin *24,12,2024* tarixli  sifarişiniz hazırdır . Bizi seçdiyiniz üçün minnətdarıq. Hörmətlə  *AlumPro*.</v>
      </c>
      <c r="AW112" s="188" t="str">
        <f t="shared" si="72"/>
        <v>Resad</v>
      </c>
      <c r="AX112" s="253" t="str">
        <f t="shared" si="69"/>
        <v xml:space="preserve">Resad </v>
      </c>
    </row>
    <row r="113" spans="4:50">
      <c r="D113" s="178">
        <v>221</v>
      </c>
      <c r="E113" s="179" t="s">
        <v>431</v>
      </c>
      <c r="F113" s="179" t="s">
        <v>339</v>
      </c>
      <c r="G113" s="212" t="s">
        <v>169</v>
      </c>
      <c r="H113" s="179" t="s">
        <v>242</v>
      </c>
      <c r="I113" s="179" t="s">
        <v>243</v>
      </c>
      <c r="J113" s="179" t="s">
        <v>432</v>
      </c>
      <c r="K113" s="179" t="s">
        <v>226</v>
      </c>
      <c r="L113" s="179"/>
      <c r="M113" s="179" t="str">
        <f>_xlfn.XLOOKUP(Tablo7[[#This Row],[Yan Profili]],Anbar!$J$3:$J$1000,Anbar!$H$3:$H$1000,"Tapilmadi")</f>
        <v>Tapilmadi</v>
      </c>
      <c r="N113" s="179">
        <v>3</v>
      </c>
      <c r="O113" s="179">
        <v>69</v>
      </c>
      <c r="P113" s="179" t="s">
        <v>184</v>
      </c>
      <c r="Q113" s="179" t="str">
        <f>_xlfn.XLOOKUP(Tablo7[[#This Row],[Qulp növü]],Anbar!$J$3:$J$1000,Anbar!$H$3:$H$1000,"Tapilmadi")</f>
        <v>Tapilmadi</v>
      </c>
      <c r="R113" s="179">
        <v>2</v>
      </c>
      <c r="S113" s="180">
        <v>52</v>
      </c>
      <c r="T113" s="181" t="s">
        <v>196</v>
      </c>
      <c r="U113" s="179" t="str">
        <f>_xlfn.XLOOKUP(Tablo7[[#This Row],[Petlə]],Anbar!$J$3:$J$1000,Anbar!$H$3:$H$1000,"Tapilmadi")</f>
        <v>Tapilmadi</v>
      </c>
      <c r="V113" s="179">
        <v>10</v>
      </c>
      <c r="W113" s="180">
        <v>40</v>
      </c>
      <c r="X113" s="269">
        <v>0</v>
      </c>
      <c r="Y113" s="179" t="s">
        <v>199</v>
      </c>
      <c r="Z113" s="182"/>
      <c r="AA113" s="180">
        <v>89</v>
      </c>
      <c r="AB113" s="180"/>
      <c r="AC113" s="179" t="str">
        <f>_xlfn.XLOOKUP(Tablo7[[#This Row],[Bağlantı]],Anbar!$J$3:$J$1000,Anbar!$H$3:$H$1000,"Tapilmadi")</f>
        <v>Tapilmadi</v>
      </c>
      <c r="AD113" s="179"/>
      <c r="AE113" s="180">
        <v>16</v>
      </c>
      <c r="AF113" s="180"/>
      <c r="AG113" s="179" t="str">
        <f>_xlfn.XLOOKUP(Tablo7[[#This Row],[Mexanizm]],Anbar!$J$3:$J$1000,Anbar!$H$3:$H$1000,"Tapilmadi")</f>
        <v>Tapilmadi</v>
      </c>
      <c r="AH113" s="179">
        <v>1</v>
      </c>
      <c r="AI113" s="180">
        <v>0</v>
      </c>
      <c r="AJ113" s="180">
        <v>20</v>
      </c>
      <c r="AK113" s="180">
        <v>30</v>
      </c>
      <c r="AL113" s="180">
        <v>0</v>
      </c>
      <c r="AM113" s="180">
        <v>316</v>
      </c>
      <c r="AN113" s="180">
        <v>0</v>
      </c>
      <c r="AO113" s="180">
        <v>0</v>
      </c>
      <c r="AP113" s="194">
        <f>Tablo7[[#This Row],[Ümumi məbləğ]]-Tablo7[[#This Row],[Ödəniş]]-Tablo7[[#This Row],[Endirim]]</f>
        <v>316</v>
      </c>
      <c r="AQ113" s="183" t="str">
        <f t="shared" si="66"/>
        <v>Mesaj</v>
      </c>
      <c r="AR113" s="183" t="str">
        <f t="shared" si="67"/>
        <v>Mesaj</v>
      </c>
      <c r="AS113" s="184" t="str">
        <f>IF(ISNA(VLOOKUP(Tablo7[[#This Row],[Sifariş kodu]],'Kəsim ve təhvil'!$E$5:$E1111,1,0)),"Qəbul edilməyib","Qəbul edilib")</f>
        <v>Qəbul edilməyib</v>
      </c>
      <c r="AT113" s="185" t="str">
        <f>IF(ISNA(VLOOKUP(Tablo7[[#This Row],[Sifariş kodu]],'Kəsim ve təhvil'!$H$5:$H1111,1,0)),"Anbardadır","Təhvil verilib")</f>
        <v>Anbardadır</v>
      </c>
      <c r="AU113" s="186" t="str">
        <f>"Hörmətli *"&amp;Tablo7[[#This Row],[Müştəri]]&amp;"*  ,Sizin *"&amp;G113&amp;"* tarixli sifarişiniz qeydə alındı. Sifariş Məbləğı *"&amp;AM113&amp;" AZN* , Qalıq *"&amp;AP113&amp;" AZN* . Hörmətlə  *AlumPro*"</f>
        <v>Hörmətli *Mutfakci Maliyye*  ,Sizin *24,12,2024* tarixli sifarişiniz qeydə alındı. Sifariş Məbləğı *316 AZN* , Qalıq *316 AZN* . Hörmətlə  *AlumPro*</v>
      </c>
      <c r="AV113" s="187" t="str">
        <f>"Hörmətli *"&amp;Tablo7[[#This Row],[Müştəri]]&amp;"* , sizin *"&amp;G113&amp;"* tarixli  sifarişiniz hazırdır . Bizi seçdiyiniz üçün minnətdarıq. Hörmətlə  *AlumPro*."</f>
        <v>Hörmətli *Mutfakci Maliyye* , sizin *24,12,2024* tarixli  sifarişiniz hazırdır . Bizi seçdiyiniz üçün minnətdarıq. Hörmətlə  *AlumPro*.</v>
      </c>
      <c r="AW113" s="188" t="str">
        <f t="shared" si="72"/>
        <v>Mutfakci</v>
      </c>
      <c r="AX113" s="253" t="str">
        <f t="shared" si="69"/>
        <v xml:space="preserve">Mutfakci </v>
      </c>
    </row>
    <row r="114" spans="4:50">
      <c r="D114" s="178">
        <v>220</v>
      </c>
      <c r="E114" s="179" t="s">
        <v>433</v>
      </c>
      <c r="F114" s="179" t="s">
        <v>339</v>
      </c>
      <c r="G114" s="212" t="s">
        <v>169</v>
      </c>
      <c r="H114" s="179" t="s">
        <v>242</v>
      </c>
      <c r="I114" s="179" t="s">
        <v>243</v>
      </c>
      <c r="J114" s="179" t="s">
        <v>434</v>
      </c>
      <c r="K114" s="179" t="s">
        <v>194</v>
      </c>
      <c r="L114" s="179"/>
      <c r="M114" s="179">
        <f>_xlfn.XLOOKUP(Tablo7[[#This Row],[Yan Profili]],Anbar!$J$3:$J$1000,Anbar!$H$3:$H$1000,"Tapilmadi")</f>
        <v>0</v>
      </c>
      <c r="N114" s="179">
        <v>2</v>
      </c>
      <c r="O114" s="179">
        <v>46</v>
      </c>
      <c r="P114" s="179" t="s">
        <v>184</v>
      </c>
      <c r="Q114" s="179" t="str">
        <f>_xlfn.XLOOKUP(Tablo7[[#This Row],[Qulp növü]],Anbar!$J$3:$J$1000,Anbar!$H$3:$H$1000,"Tapilmadi")</f>
        <v>Tapilmadi</v>
      </c>
      <c r="R114" s="179">
        <v>2</v>
      </c>
      <c r="S114" s="180">
        <v>52</v>
      </c>
      <c r="T114" s="181" t="s">
        <v>196</v>
      </c>
      <c r="U114" s="179" t="str">
        <f>_xlfn.XLOOKUP(Tablo7[[#This Row],[Petlə]],Anbar!$J$3:$J$1000,Anbar!$H$3:$H$1000,"Tapilmadi")</f>
        <v>Tapilmadi</v>
      </c>
      <c r="V114" s="179">
        <v>8</v>
      </c>
      <c r="W114" s="180">
        <v>32</v>
      </c>
      <c r="X114" s="269">
        <v>0</v>
      </c>
      <c r="Y114" s="179" t="s">
        <v>36</v>
      </c>
      <c r="Z114" s="182"/>
      <c r="AA114" s="180">
        <v>40</v>
      </c>
      <c r="AB114" s="180"/>
      <c r="AC114" s="179" t="str">
        <f>_xlfn.XLOOKUP(Tablo7[[#This Row],[Bağlantı]],Anbar!$J$3:$J$1000,Anbar!$H$3:$H$1000,"Tapilmadi")</f>
        <v>Tapilmadi</v>
      </c>
      <c r="AD114" s="179"/>
      <c r="AE114" s="180">
        <v>16</v>
      </c>
      <c r="AF114" s="180"/>
      <c r="AG114" s="179" t="str">
        <f>_xlfn.XLOOKUP(Tablo7[[#This Row],[Mexanizm]],Anbar!$J$3:$J$1000,Anbar!$H$3:$H$1000,"Tapilmadi")</f>
        <v>Tapilmadi</v>
      </c>
      <c r="AH114" s="179">
        <v>1</v>
      </c>
      <c r="AI114" s="180">
        <v>0</v>
      </c>
      <c r="AJ114" s="180">
        <v>16</v>
      </c>
      <c r="AK114" s="180">
        <v>30</v>
      </c>
      <c r="AL114" s="180">
        <v>0</v>
      </c>
      <c r="AM114" s="180">
        <v>232</v>
      </c>
      <c r="AN114" s="180">
        <v>0</v>
      </c>
      <c r="AO114" s="180">
        <v>0</v>
      </c>
      <c r="AP114" s="194">
        <f>Tablo7[[#This Row],[Ümumi məbləğ]]-Tablo7[[#This Row],[Ödəniş]]-Tablo7[[#This Row],[Endirim]]</f>
        <v>232</v>
      </c>
      <c r="AQ114" s="183" t="str">
        <f t="shared" si="66"/>
        <v>Mesaj</v>
      </c>
      <c r="AR114" s="183" t="str">
        <f t="shared" si="67"/>
        <v>Mesaj</v>
      </c>
      <c r="AS114" s="184" t="str">
        <f>IF(ISNA(VLOOKUP(Tablo7[[#This Row],[Sifariş kodu]],'Kəsim ve təhvil'!$E$5:$E1112,1,0)),"Qəbul edilməyib","Qəbul edilib")</f>
        <v>Qəbul edilməyib</v>
      </c>
      <c r="AT114" s="185" t="str">
        <f>IF(ISNA(VLOOKUP(Tablo7[[#This Row],[Sifariş kodu]],'Kəsim ve təhvil'!$H$5:$H1112,1,0)),"Anbardadır","Təhvil verilib")</f>
        <v>Anbardadır</v>
      </c>
      <c r="AU114" s="186" t="str">
        <f>"Hörmətli *"&amp;Tablo7[[#This Row],[Müştəri]]&amp;"*  ,Sizin *"&amp;G114&amp;"* tarixli sifarişiniz qeydə alındı. Sifariş Məbləğı *"&amp;AM114&amp;" AZN* , Qalıq *"&amp;AP114&amp;" AZN* . Hörmətlə  *AlumPro*"</f>
        <v>Hörmətli *Mutfakci Maliyye*  ,Sizin *24,12,2024* tarixli sifarişiniz qeydə alındı. Sifariş Məbləğı *232 AZN* , Qalıq *232 AZN* . Hörmətlə  *AlumPro*</v>
      </c>
      <c r="AV114" s="187" t="str">
        <f>"Hörmətli *"&amp;Tablo7[[#This Row],[Müştəri]]&amp;"* , sizin *"&amp;G114&amp;"* tarixli  sifarişiniz hazırdır . Bizi seçdiyiniz üçün minnətdarıq. Hörmətlə  *AlumPro*."</f>
        <v>Hörmətli *Mutfakci Maliyye* , sizin *24,12,2024* tarixli  sifarişiniz hazırdır . Bizi seçdiyiniz üçün minnətdarıq. Hörmətlə  *AlumPro*.</v>
      </c>
      <c r="AW114" s="188" t="str">
        <f t="shared" si="72"/>
        <v>Mutfakci</v>
      </c>
      <c r="AX114" s="253" t="str">
        <f t="shared" si="69"/>
        <v xml:space="preserve">Mutfakci </v>
      </c>
    </row>
    <row r="115" spans="4:50">
      <c r="D115" s="178">
        <v>219</v>
      </c>
      <c r="E115" s="179" t="s">
        <v>435</v>
      </c>
      <c r="F115" s="179" t="s">
        <v>339</v>
      </c>
      <c r="G115" s="212" t="s">
        <v>6</v>
      </c>
      <c r="H115" s="179" t="s">
        <v>242</v>
      </c>
      <c r="I115" s="179" t="s">
        <v>243</v>
      </c>
      <c r="J115" s="179"/>
      <c r="K115" s="179" t="s">
        <v>194</v>
      </c>
      <c r="L115" s="179"/>
      <c r="M115" s="179" t="str">
        <f>_xlfn.XLOOKUP(Tablo7[[#This Row],[Yan Profili]],Anbar!$J$3:$J$1000,Anbar!$H$3:$H$1000,"Tapilmadi")</f>
        <v>Tapilmadi</v>
      </c>
      <c r="N115" s="179">
        <v>2</v>
      </c>
      <c r="O115" s="179">
        <v>46</v>
      </c>
      <c r="P115" s="179" t="s">
        <v>184</v>
      </c>
      <c r="Q115" s="179" t="str">
        <f>_xlfn.XLOOKUP(Tablo7[[#This Row],[Qulp növü]],Anbar!$J$3:$J$1000,Anbar!$H$3:$H$1000,"Tapilmadi")</f>
        <v>Tapilmadi</v>
      </c>
      <c r="R115" s="179">
        <v>1</v>
      </c>
      <c r="S115" s="180">
        <v>26</v>
      </c>
      <c r="T115" s="181" t="s">
        <v>196</v>
      </c>
      <c r="U115" s="179" t="str">
        <f>_xlfn.XLOOKUP(Tablo7[[#This Row],[Petlə]],Anbar!$J$3:$J$1000,Anbar!$H$3:$H$1000,"Tapilmadi")</f>
        <v>Tapilmadi</v>
      </c>
      <c r="V115" s="179">
        <v>6</v>
      </c>
      <c r="W115" s="180">
        <v>24</v>
      </c>
      <c r="X115" s="269">
        <v>0</v>
      </c>
      <c r="Y115" s="179" t="s">
        <v>36</v>
      </c>
      <c r="Z115" s="182"/>
      <c r="AA115" s="180">
        <v>31</v>
      </c>
      <c r="AB115" s="180"/>
      <c r="AC115" s="179" t="str">
        <f>_xlfn.XLOOKUP(Tablo7[[#This Row],[Bağlantı]],Anbar!$J$3:$J$1000,Anbar!$H$3:$H$1000,"Tapilmadi")</f>
        <v>Tapilmadi</v>
      </c>
      <c r="AD115" s="179"/>
      <c r="AE115" s="180">
        <v>16</v>
      </c>
      <c r="AF115" s="180"/>
      <c r="AG115" s="179" t="str">
        <f>_xlfn.XLOOKUP(Tablo7[[#This Row],[Mexanizm]],Anbar!$J$3:$J$1000,Anbar!$H$3:$H$1000,"Tapilmadi")</f>
        <v>Tapilmadi</v>
      </c>
      <c r="AH115" s="179">
        <v>1</v>
      </c>
      <c r="AI115" s="180">
        <v>0</v>
      </c>
      <c r="AJ115" s="180">
        <v>12</v>
      </c>
      <c r="AK115" s="180">
        <v>30</v>
      </c>
      <c r="AL115" s="180">
        <v>0</v>
      </c>
      <c r="AM115" s="180">
        <v>185</v>
      </c>
      <c r="AN115" s="180">
        <v>0</v>
      </c>
      <c r="AO115" s="180">
        <v>0</v>
      </c>
      <c r="AP115" s="194">
        <f>Tablo7[[#This Row],[Ümumi məbləğ]]-Tablo7[[#This Row],[Ödəniş]]-Tablo7[[#This Row],[Endirim]]</f>
        <v>185</v>
      </c>
      <c r="AQ115" s="183" t="str">
        <f t="shared" si="66"/>
        <v>Mesaj</v>
      </c>
      <c r="AR115" s="183" t="str">
        <f t="shared" si="67"/>
        <v>Mesaj</v>
      </c>
      <c r="AS115" s="184" t="str">
        <f>IF(ISNA(VLOOKUP(Tablo7[[#This Row],[Sifariş kodu]],'Kəsim ve təhvil'!$E$5:$E1113,1,0)),"Qəbul edilməyib","Qəbul edilib")</f>
        <v>Qəbul edilməyib</v>
      </c>
      <c r="AT115" s="185" t="str">
        <f>IF(ISNA(VLOOKUP(Tablo7[[#This Row],[Sifariş kodu]],'Kəsim ve təhvil'!$H$5:$H1113,1,0)),"Anbardadır","Təhvil verilib")</f>
        <v>Anbardadır</v>
      </c>
      <c r="AU115" s="186" t="str">
        <f>"Hörmətli *"&amp;Tablo7[[#This Row],[Müştəri]]&amp;"*  ,Sizin *"&amp;G115&amp;"* tarixli sifarişiniz qeydə alındı. Sifariş Məbləğı *"&amp;AM115&amp;" AZN* , Qalıq *"&amp;AP115&amp;" AZN* . Hörmətlə  *AlumPro*"</f>
        <v>Hörmətli *Mutfakci Maliyye*  ,Sizin *23,12,2024* tarixli sifarişiniz qeydə alındı. Sifariş Məbləğı *185 AZN* , Qalıq *185 AZN* . Hörmətlə  *AlumPro*</v>
      </c>
      <c r="AV115" s="187" t="str">
        <f>"Hörmətli *"&amp;Tablo7[[#This Row],[Müştəri]]&amp;"* , sizin *"&amp;G115&amp;"* tarixli  sifarişiniz hazırdır . Bizi seçdiyiniz üçün minnətdarıq. Hörmətlə  *AlumPro*."</f>
        <v>Hörmətli *Mutfakci Maliyye* , sizin *23,12,2024* tarixli  sifarişiniz hazırdır . Bizi seçdiyiniz üçün minnətdarıq. Hörmətlə  *AlumPro*.</v>
      </c>
      <c r="AW115" s="188" t="str">
        <f t="shared" si="72"/>
        <v>Mutfakci</v>
      </c>
      <c r="AX115" s="253" t="str">
        <f t="shared" si="69"/>
        <v xml:space="preserve">Mutfakci </v>
      </c>
    </row>
    <row r="116" spans="4:50">
      <c r="D116" s="178">
        <v>218</v>
      </c>
      <c r="E116" s="179" t="s">
        <v>436</v>
      </c>
      <c r="F116" s="179" t="s">
        <v>339</v>
      </c>
      <c r="G116" s="212" t="s">
        <v>6</v>
      </c>
      <c r="H116" s="179" t="s">
        <v>158</v>
      </c>
      <c r="I116" s="179" t="s">
        <v>159</v>
      </c>
      <c r="J116" s="179" t="s">
        <v>329</v>
      </c>
      <c r="K116" s="179" t="s">
        <v>183</v>
      </c>
      <c r="L116" s="179"/>
      <c r="M116" s="179" t="str">
        <f>_xlfn.XLOOKUP(Tablo7[[#This Row],[Yan Profili]],Anbar!$J$3:$J$1000,Anbar!$H$3:$H$1000,"Tapilmadi")</f>
        <v>Tapilmadi</v>
      </c>
      <c r="N116" s="179">
        <v>3</v>
      </c>
      <c r="O116" s="179">
        <v>69</v>
      </c>
      <c r="P116" s="179">
        <v>0</v>
      </c>
      <c r="Q116" s="179" t="str">
        <f>_xlfn.XLOOKUP(Tablo7[[#This Row],[Qulp növü]],Anbar!$J$3:$J$1000,Anbar!$H$3:$H$1000,"Tapilmadi")</f>
        <v>Tapilmadi</v>
      </c>
      <c r="R116" s="179">
        <v>0</v>
      </c>
      <c r="S116" s="180">
        <v>0</v>
      </c>
      <c r="T116" s="181"/>
      <c r="U116" s="179" t="str">
        <f>_xlfn.XLOOKUP(Tablo7[[#This Row],[Petlə]],Anbar!$J$3:$J$1000,Anbar!$H$3:$H$1000,"Tapilmadi")</f>
        <v>Tapilmadi</v>
      </c>
      <c r="V116" s="179">
        <v>0</v>
      </c>
      <c r="W116" s="180">
        <v>0</v>
      </c>
      <c r="X116" s="269">
        <v>0</v>
      </c>
      <c r="Y116" s="179"/>
      <c r="Z116" s="182"/>
      <c r="AA116" s="180">
        <v>0</v>
      </c>
      <c r="AB116" s="180"/>
      <c r="AC116" s="179" t="str">
        <f>_xlfn.XLOOKUP(Tablo7[[#This Row],[Bağlantı]],Anbar!$J$3:$J$1000,Anbar!$H$3:$H$1000,"Tapilmadi")</f>
        <v>Tapilmadi</v>
      </c>
      <c r="AD116" s="179"/>
      <c r="AE116" s="180">
        <v>0</v>
      </c>
      <c r="AF116" s="180"/>
      <c r="AG116" s="179" t="str">
        <f>_xlfn.XLOOKUP(Tablo7[[#This Row],[Mexanizm]],Anbar!$J$3:$J$1000,Anbar!$H$3:$H$1000,"Tapilmadi")</f>
        <v>Tapilmadi</v>
      </c>
      <c r="AH116" s="179">
        <v>1</v>
      </c>
      <c r="AI116" s="180">
        <v>0</v>
      </c>
      <c r="AJ116" s="180">
        <v>0</v>
      </c>
      <c r="AK116" s="180">
        <v>140</v>
      </c>
      <c r="AL116" s="180">
        <v>0</v>
      </c>
      <c r="AM116" s="180">
        <v>209</v>
      </c>
      <c r="AN116" s="180">
        <v>0</v>
      </c>
      <c r="AO116" s="180">
        <v>0</v>
      </c>
      <c r="AP116" s="194">
        <f>Tablo7[[#This Row],[Ümumi məbləğ]]-Tablo7[[#This Row],[Ödəniş]]-Tablo7[[#This Row],[Endirim]]</f>
        <v>209</v>
      </c>
      <c r="AQ116" s="183" t="str">
        <f t="shared" si="66"/>
        <v>Mesaj</v>
      </c>
      <c r="AR116" s="183" t="str">
        <f t="shared" si="67"/>
        <v>Mesaj</v>
      </c>
      <c r="AS116" s="184" t="str">
        <f>IF(ISNA(VLOOKUP(Tablo7[[#This Row],[Sifariş kodu]],'Kəsim ve təhvil'!$E$5:$E1114,1,0)),"Qəbul edilməyib","Qəbul edilib")</f>
        <v>Qəbul edilməyib</v>
      </c>
      <c r="AT116" s="185" t="str">
        <f>IF(ISNA(VLOOKUP(Tablo7[[#This Row],[Sifariş kodu]],'Kəsim ve təhvil'!$H$5:$H1114,1,0)),"Anbardadır","Təhvil verilib")</f>
        <v>Anbardadır</v>
      </c>
      <c r="AU116" s="186" t="str">
        <f>"Hörmətli *"&amp;Tablo7[[#This Row],[Müştəri]]&amp;"*  ,Sizin *"&amp;G116&amp;"* tarixli sifarişiniz qeydə alındı. Sifariş Məbləğı *"&amp;AM116&amp;" AZN* , Qalıq *"&amp;AP116&amp;" AZN* . Hörmətlə  *AlumPro*"</f>
        <v>Hörmətli *My Concept*  ,Sizin *23,12,2024* tarixli sifarişiniz qeydə alındı. Sifariş Məbləğı *209 AZN* , Qalıq *209 AZN* . Hörmətlə  *AlumPro*</v>
      </c>
      <c r="AV116" s="187" t="str">
        <f>"Hörmətli *"&amp;Tablo7[[#This Row],[Müştəri]]&amp;"* , sizin *"&amp;G116&amp;"* tarixli  sifarişiniz hazırdır . Bizi seçdiyiniz üçün minnətdarıq. Hörmətlə  *AlumPro*."</f>
        <v>Hörmətli *My Concept* , sizin *23,12,2024* tarixli  sifarişiniz hazırdır . Bizi seçdiyiniz üçün minnətdarıq. Hörmətlə  *AlumPro*.</v>
      </c>
      <c r="AW116" s="188" t="str">
        <f t="shared" si="72"/>
        <v>My</v>
      </c>
      <c r="AX116" s="253" t="str">
        <f t="shared" si="69"/>
        <v xml:space="preserve">My </v>
      </c>
    </row>
    <row r="117" spans="4:50">
      <c r="D117" s="178">
        <v>217</v>
      </c>
      <c r="E117" s="179" t="s">
        <v>437</v>
      </c>
      <c r="F117" s="179" t="s">
        <v>339</v>
      </c>
      <c r="G117" s="212" t="s">
        <v>6</v>
      </c>
      <c r="H117" s="179" t="s">
        <v>438</v>
      </c>
      <c r="I117" s="179">
        <v>0</v>
      </c>
      <c r="J117" s="179"/>
      <c r="K117" s="179" t="s">
        <v>183</v>
      </c>
      <c r="L117" s="179"/>
      <c r="M117" s="179" t="str">
        <f>_xlfn.XLOOKUP(Tablo7[[#This Row],[Yan Profili]],Anbar!$J$3:$J$1000,Anbar!$H$3:$H$1000,"Tapilmadi")</f>
        <v>Tapilmadi</v>
      </c>
      <c r="N117" s="179">
        <v>4</v>
      </c>
      <c r="O117" s="179">
        <v>92</v>
      </c>
      <c r="P117" s="179" t="s">
        <v>184</v>
      </c>
      <c r="Q117" s="179" t="str">
        <f>_xlfn.XLOOKUP(Tablo7[[#This Row],[Qulp növü]],Anbar!$J$3:$J$1000,Anbar!$H$3:$H$1000,"Tapilmadi")</f>
        <v>Tapilmadi</v>
      </c>
      <c r="R117" s="179">
        <v>3</v>
      </c>
      <c r="S117" s="180">
        <v>78</v>
      </c>
      <c r="T117" s="181"/>
      <c r="U117" s="179" t="str">
        <f>_xlfn.XLOOKUP(Tablo7[[#This Row],[Petlə]],Anbar!$J$3:$J$1000,Anbar!$H$3:$H$1000,"Tapilmadi")</f>
        <v>Tapilmadi</v>
      </c>
      <c r="V117" s="179">
        <v>0</v>
      </c>
      <c r="W117" s="180">
        <v>0</v>
      </c>
      <c r="X117" s="269">
        <v>21</v>
      </c>
      <c r="Y117" s="179" t="s">
        <v>36</v>
      </c>
      <c r="Z117" s="182"/>
      <c r="AA117" s="180">
        <v>88</v>
      </c>
      <c r="AB117" s="180"/>
      <c r="AC117" s="179" t="str">
        <f>_xlfn.XLOOKUP(Tablo7[[#This Row],[Bağlantı]],Anbar!$J$3:$J$1000,Anbar!$H$3:$H$1000,"Tapilmadi")</f>
        <v>Tapilmadi</v>
      </c>
      <c r="AD117" s="179"/>
      <c r="AE117" s="180">
        <v>12</v>
      </c>
      <c r="AF117" s="180"/>
      <c r="AG117" s="179" t="str">
        <f>_xlfn.XLOOKUP(Tablo7[[#This Row],[Mexanizm]],Anbar!$J$3:$J$1000,Anbar!$H$3:$H$1000,"Tapilmadi")</f>
        <v>Tapilmadi</v>
      </c>
      <c r="AH117" s="179">
        <v>1</v>
      </c>
      <c r="AI117" s="180">
        <v>0</v>
      </c>
      <c r="AJ117" s="180">
        <v>12</v>
      </c>
      <c r="AK117" s="180">
        <v>45</v>
      </c>
      <c r="AL117" s="180">
        <v>0</v>
      </c>
      <c r="AM117" s="180">
        <v>348</v>
      </c>
      <c r="AN117" s="180">
        <v>0</v>
      </c>
      <c r="AO117" s="180">
        <v>348</v>
      </c>
      <c r="AP117" s="194">
        <f>Tablo7[[#This Row],[Ümumi məbləğ]]-Tablo7[[#This Row],[Ödəniş]]-Tablo7[[#This Row],[Endirim]]</f>
        <v>0</v>
      </c>
      <c r="AQ117" s="183" t="str">
        <f t="shared" si="66"/>
        <v>Mesaj</v>
      </c>
      <c r="AR117" s="183" t="str">
        <f t="shared" si="67"/>
        <v>Mesaj</v>
      </c>
      <c r="AS117" s="184" t="str">
        <f>IF(ISNA(VLOOKUP(Tablo7[[#This Row],[Sifariş kodu]],'Kəsim ve təhvil'!$E$5:$E1115,1,0)),"Qəbul edilməyib","Qəbul edilib")</f>
        <v>Qəbul edilməyib</v>
      </c>
      <c r="AT117" s="185" t="str">
        <f>IF(ISNA(VLOOKUP(Tablo7[[#This Row],[Sifariş kodu]],'Kəsim ve təhvil'!$H$5:$H1115,1,0)),"Anbardadır","Təhvil verilib")</f>
        <v>Anbardadır</v>
      </c>
      <c r="AU117" s="186" t="str">
        <f>"Hörmətli *"&amp;Tablo7[[#This Row],[Müştəri]]&amp;"*  ,Sizin *"&amp;G117&amp;"* tarixli sifarişiniz qeydə alındı. Sifariş Məbləğı *"&amp;AM117&amp;" AZN* , Qalıq *"&amp;AP117&amp;" AZN* . Hörmətlə  *AlumPro*"</f>
        <v>Hörmətli *Emin Badamdar*  ,Sizin *23,12,2024* tarixli sifarişiniz qeydə alındı. Sifariş Məbləğı *348 AZN* , Qalıq *0 AZN* . Hörmətlə  *AlumPro*</v>
      </c>
      <c r="AV117" s="187" t="str">
        <f>"Hörmətli *"&amp;Tablo7[[#This Row],[Müştəri]]&amp;"* , sizin *"&amp;G117&amp;"* tarixli  sifarişiniz hazırdır . Bizi seçdiyiniz üçün minnətdarıq. Hörmətlə  *AlumPro*."</f>
        <v>Hörmətli *Emin Badamdar* , sizin *23,12,2024* tarixli  sifarişiniz hazırdır . Bizi seçdiyiniz üçün minnətdarıq. Hörmətlə  *AlumPro*.</v>
      </c>
      <c r="AW117" s="188" t="str">
        <f t="shared" si="72"/>
        <v>Emin</v>
      </c>
      <c r="AX117" s="253" t="str">
        <f t="shared" si="69"/>
        <v xml:space="preserve">Emin </v>
      </c>
    </row>
    <row r="118" spans="4:50">
      <c r="D118" s="178">
        <v>216</v>
      </c>
      <c r="E118" s="179" t="s">
        <v>439</v>
      </c>
      <c r="F118" s="179" t="s">
        <v>339</v>
      </c>
      <c r="G118" s="212" t="s">
        <v>6</v>
      </c>
      <c r="H118" s="179" t="s">
        <v>440</v>
      </c>
      <c r="I118" s="179" t="s">
        <v>441</v>
      </c>
      <c r="J118" s="179"/>
      <c r="K118" s="179" t="s">
        <v>183</v>
      </c>
      <c r="L118" s="179"/>
      <c r="M118" s="179" t="str">
        <f>_xlfn.XLOOKUP(Tablo7[[#This Row],[Yan Profili]],Anbar!$J$3:$J$1000,Anbar!$H$3:$H$1000,"Tapilmadi")</f>
        <v>Tapilmadi</v>
      </c>
      <c r="N118" s="179">
        <v>4</v>
      </c>
      <c r="O118" s="179">
        <v>92</v>
      </c>
      <c r="P118" s="179" t="s">
        <v>195</v>
      </c>
      <c r="Q118" s="179" t="str">
        <f>_xlfn.XLOOKUP(Tablo7[[#This Row],[Qulp növü]],Anbar!$J$3:$J$1000,Anbar!$H$3:$H$1000,"Tapilmadi")</f>
        <v>Tapilmadi</v>
      </c>
      <c r="R118" s="179">
        <v>0</v>
      </c>
      <c r="S118" s="180">
        <v>0</v>
      </c>
      <c r="T118" s="181"/>
      <c r="U118" s="179" t="str">
        <f>_xlfn.XLOOKUP(Tablo7[[#This Row],[Petlə]],Anbar!$J$3:$J$1000,Anbar!$H$3:$H$1000,"Tapilmadi")</f>
        <v>Tapilmadi</v>
      </c>
      <c r="V118" s="179">
        <v>0</v>
      </c>
      <c r="W118" s="180">
        <v>0</v>
      </c>
      <c r="X118" s="269">
        <v>12</v>
      </c>
      <c r="Y118" s="179" t="s">
        <v>419</v>
      </c>
      <c r="Z118" s="182"/>
      <c r="AA118" s="180">
        <v>337</v>
      </c>
      <c r="AB118" s="180"/>
      <c r="AC118" s="179" t="str">
        <f>_xlfn.XLOOKUP(Tablo7[[#This Row],[Bağlantı]],Anbar!$J$3:$J$1000,Anbar!$H$3:$H$1000,"Tapilmadi")</f>
        <v>Tapilmadi</v>
      </c>
      <c r="AD118" s="179"/>
      <c r="AE118" s="180">
        <v>12</v>
      </c>
      <c r="AF118" s="180"/>
      <c r="AG118" s="179" t="str">
        <f>_xlfn.XLOOKUP(Tablo7[[#This Row],[Mexanizm]],Anbar!$J$3:$J$1000,Anbar!$H$3:$H$1000,"Tapilmadi")</f>
        <v>Tapilmadi</v>
      </c>
      <c r="AH118" s="179">
        <v>1</v>
      </c>
      <c r="AI118" s="180">
        <v>0</v>
      </c>
      <c r="AJ118" s="180">
        <v>3</v>
      </c>
      <c r="AK118" s="180">
        <v>45</v>
      </c>
      <c r="AL118" s="180">
        <v>0</v>
      </c>
      <c r="AM118" s="180">
        <v>510</v>
      </c>
      <c r="AN118" s="180">
        <v>0</v>
      </c>
      <c r="AO118" s="180">
        <v>0</v>
      </c>
      <c r="AP118" s="194">
        <f>Tablo7[[#This Row],[Ümumi məbləğ]]-Tablo7[[#This Row],[Ödəniş]]-Tablo7[[#This Row],[Endirim]]</f>
        <v>510</v>
      </c>
      <c r="AQ118" s="183" t="str">
        <f t="shared" si="66"/>
        <v>Mesaj</v>
      </c>
      <c r="AR118" s="183" t="str">
        <f t="shared" si="67"/>
        <v>Mesaj</v>
      </c>
      <c r="AS118" s="184" t="str">
        <f>IF(ISNA(VLOOKUP(Tablo7[[#This Row],[Sifariş kodu]],'Kəsim ve təhvil'!$E$5:$E1116,1,0)),"Qəbul edilməyib","Qəbul edilib")</f>
        <v>Qəbul edilməyib</v>
      </c>
      <c r="AT118" s="185" t="str">
        <f>IF(ISNA(VLOOKUP(Tablo7[[#This Row],[Sifariş kodu]],'Kəsim ve təhvil'!$H$5:$H1116,1,0)),"Anbardadır","Təhvil verilib")</f>
        <v>Anbardadır</v>
      </c>
      <c r="AU118" s="186" t="str">
        <f>"Hörmətli *"&amp;Tablo7[[#This Row],[Müştəri]]&amp;"*  ,Sizin *"&amp;G118&amp;"* tarixli sifarişiniz qeydə alındı. Sifariş Məbləğı *"&amp;AM118&amp;" AZN* , Qalıq *"&amp;AP118&amp;" AZN* . Hörmətlə  *AlumPro*"</f>
        <v>Hörmətli *Elmar Celal*  ,Sizin *23,12,2024* tarixli sifarişiniz qeydə alındı. Sifariş Məbləğı *510 AZN* , Qalıq *510 AZN* . Hörmətlə  *AlumPro*</v>
      </c>
      <c r="AV118" s="187" t="str">
        <f>"Hörmətli *"&amp;Tablo7[[#This Row],[Müştəri]]&amp;"* , sizin *"&amp;G118&amp;"* tarixli  sifarişiniz hazırdır . Bizi seçdiyiniz üçün minnətdarıq. Hörmətlə  *AlumPro*."</f>
        <v>Hörmətli *Elmar Celal* , sizin *23,12,2024* tarixli  sifarişiniz hazırdır . Bizi seçdiyiniz üçün minnətdarıq. Hörmətlə  *AlumPro*.</v>
      </c>
      <c r="AW118" s="188" t="str">
        <f t="shared" si="72"/>
        <v>Elmar</v>
      </c>
      <c r="AX118" s="253" t="str">
        <f t="shared" si="69"/>
        <v xml:space="preserve">Elmar </v>
      </c>
    </row>
    <row r="119" spans="4:50">
      <c r="D119" s="178">
        <v>215</v>
      </c>
      <c r="E119" s="179" t="s">
        <v>442</v>
      </c>
      <c r="F119" s="179" t="s">
        <v>339</v>
      </c>
      <c r="G119" s="212" t="s">
        <v>6</v>
      </c>
      <c r="H119" s="179" t="s">
        <v>443</v>
      </c>
      <c r="I119" s="179" t="s">
        <v>444</v>
      </c>
      <c r="J119" s="179" t="s">
        <v>445</v>
      </c>
      <c r="K119" s="179" t="s">
        <v>189</v>
      </c>
      <c r="L119" s="179"/>
      <c r="M119" s="179" t="str">
        <f>_xlfn.XLOOKUP(Tablo7[[#This Row],[Yan Profili]],Anbar!$J$3:$J$1000,Anbar!$H$3:$H$1000,"Tapilmadi")</f>
        <v>Tapilmadi</v>
      </c>
      <c r="N119" s="179">
        <v>3</v>
      </c>
      <c r="O119" s="179">
        <v>69</v>
      </c>
      <c r="P119" s="179" t="s">
        <v>184</v>
      </c>
      <c r="Q119" s="179" t="str">
        <f>_xlfn.XLOOKUP(Tablo7[[#This Row],[Qulp növü]],Anbar!$J$3:$J$1000,Anbar!$H$3:$H$1000,"Tapilmadi")</f>
        <v>Tapilmadi</v>
      </c>
      <c r="R119" s="179">
        <v>2</v>
      </c>
      <c r="S119" s="180">
        <v>52</v>
      </c>
      <c r="T119" s="181"/>
      <c r="U119" s="179" t="str">
        <f>_xlfn.XLOOKUP(Tablo7[[#This Row],[Petlə]],Anbar!$J$3:$J$1000,Anbar!$H$3:$H$1000,"Tapilmadi")</f>
        <v>Tapilmadi</v>
      </c>
      <c r="V119" s="179">
        <v>0</v>
      </c>
      <c r="W119" s="180">
        <v>0</v>
      </c>
      <c r="X119" s="269">
        <v>0</v>
      </c>
      <c r="Y119" s="179" t="s">
        <v>199</v>
      </c>
      <c r="Z119" s="182"/>
      <c r="AA119" s="180">
        <v>37</v>
      </c>
      <c r="AB119" s="180"/>
      <c r="AC119" s="179" t="str">
        <f>_xlfn.XLOOKUP(Tablo7[[#This Row],[Bağlantı]],Anbar!$J$3:$J$1000,Anbar!$H$3:$H$1000,"Tapilmadi")</f>
        <v>Tapilmadi</v>
      </c>
      <c r="AD119" s="179"/>
      <c r="AE119" s="180">
        <v>12</v>
      </c>
      <c r="AF119" s="180"/>
      <c r="AG119" s="179" t="str">
        <f>_xlfn.XLOOKUP(Tablo7[[#This Row],[Mexanizm]],Anbar!$J$3:$J$1000,Anbar!$H$3:$H$1000,"Tapilmadi")</f>
        <v>Tapilmadi</v>
      </c>
      <c r="AH119" s="179">
        <v>1</v>
      </c>
      <c r="AI119" s="180">
        <v>0</v>
      </c>
      <c r="AJ119" s="180">
        <v>9</v>
      </c>
      <c r="AK119" s="180">
        <v>45</v>
      </c>
      <c r="AL119" s="180">
        <v>50</v>
      </c>
      <c r="AM119" s="180">
        <v>274</v>
      </c>
      <c r="AN119" s="180">
        <v>0</v>
      </c>
      <c r="AO119" s="180">
        <v>0</v>
      </c>
      <c r="AP119" s="194">
        <f>Tablo7[[#This Row],[Ümumi məbləğ]]-Tablo7[[#This Row],[Ödəniş]]-Tablo7[[#This Row],[Endirim]]</f>
        <v>274</v>
      </c>
      <c r="AQ119" s="183" t="str">
        <f t="shared" si="66"/>
        <v>Mesaj</v>
      </c>
      <c r="AR119" s="183" t="str">
        <f t="shared" si="67"/>
        <v>Mesaj</v>
      </c>
      <c r="AS119" s="184" t="str">
        <f>IF(ISNA(VLOOKUP(Tablo7[[#This Row],[Sifariş kodu]],'Kəsim ve təhvil'!$E$5:$E1117,1,0)),"Qəbul edilməyib","Qəbul edilib")</f>
        <v>Qəbul edilməyib</v>
      </c>
      <c r="AT119" s="185" t="str">
        <f>IF(ISNA(VLOOKUP(Tablo7[[#This Row],[Sifariş kodu]],'Kəsim ve təhvil'!$H$5:$H1117,1,0)),"Anbardadır","Təhvil verilib")</f>
        <v>Anbardadır</v>
      </c>
      <c r="AU119" s="186" t="str">
        <f>"Hörmətli *"&amp;Tablo7[[#This Row],[Müştəri]]&amp;"*  ,Sizin *"&amp;G119&amp;"* tarixli sifarişiniz qeydə alındı. Sifariş Məbləğı *"&amp;AM119&amp;" AZN* , Qalıq *"&amp;AP119&amp;" AZN* . Hörmətlə  *AlumPro*"</f>
        <v>Hörmətli *Xezer Ideal Mutfak*  ,Sizin *23,12,2024* tarixli sifarişiniz qeydə alındı. Sifariş Məbləğı *274 AZN* , Qalıq *274 AZN* . Hörmətlə  *AlumPro*</v>
      </c>
      <c r="AV119" s="187" t="str">
        <f>"Hörmətli *"&amp;Tablo7[[#This Row],[Müştəri]]&amp;"* , sizin *"&amp;G119&amp;"* tarixli  sifarişiniz hazırdır . Bizi seçdiyiniz üçün minnətdarıq. Hörmətlə  *AlumPro*."</f>
        <v>Hörmətli *Xezer Ideal Mutfak* , sizin *23,12,2024* tarixli  sifarişiniz hazırdır . Bizi seçdiyiniz üçün minnətdarıq. Hörmətlə  *AlumPro*.</v>
      </c>
      <c r="AW119" s="188" t="str">
        <f t="shared" si="72"/>
        <v>Xezer</v>
      </c>
      <c r="AX119" s="253" t="str">
        <f t="shared" si="69"/>
        <v xml:space="preserve">Xezer </v>
      </c>
    </row>
    <row r="120" spans="4:50">
      <c r="D120" s="178">
        <v>214</v>
      </c>
      <c r="E120" s="179" t="s">
        <v>446</v>
      </c>
      <c r="F120" s="179" t="s">
        <v>339</v>
      </c>
      <c r="G120" s="212" t="s">
        <v>6</v>
      </c>
      <c r="H120" s="179" t="s">
        <v>364</v>
      </c>
      <c r="I120" s="179" t="s">
        <v>365</v>
      </c>
      <c r="J120" s="179"/>
      <c r="K120" s="179" t="s">
        <v>194</v>
      </c>
      <c r="L120" s="179"/>
      <c r="M120" s="179" t="str">
        <f>_xlfn.XLOOKUP(Tablo7[[#This Row],[Yan Profili]],Anbar!$J$3:$J$1000,Anbar!$H$3:$H$1000,"Tapilmadi")</f>
        <v>Tapilmadi</v>
      </c>
      <c r="N120" s="179">
        <v>7</v>
      </c>
      <c r="O120" s="179">
        <v>161</v>
      </c>
      <c r="P120" s="179" t="s">
        <v>184</v>
      </c>
      <c r="Q120" s="179" t="str">
        <f>_xlfn.XLOOKUP(Tablo7[[#This Row],[Qulp növü]],Anbar!$J$3:$J$1000,Anbar!$H$3:$H$1000,"Tapilmadi")</f>
        <v>Tapilmadi</v>
      </c>
      <c r="R120" s="179">
        <v>4</v>
      </c>
      <c r="S120" s="180">
        <v>104</v>
      </c>
      <c r="T120" s="181" t="s">
        <v>196</v>
      </c>
      <c r="U120" s="179" t="str">
        <f>_xlfn.XLOOKUP(Tablo7[[#This Row],[Petlə]],Anbar!$J$3:$J$1000,Anbar!$H$3:$H$1000,"Tapilmadi")</f>
        <v>Tapilmadi</v>
      </c>
      <c r="V120" s="179">
        <v>22</v>
      </c>
      <c r="W120" s="180">
        <v>88</v>
      </c>
      <c r="X120" s="269">
        <v>0</v>
      </c>
      <c r="Y120" s="179" t="s">
        <v>199</v>
      </c>
      <c r="Z120" s="182"/>
      <c r="AA120" s="180">
        <v>127</v>
      </c>
      <c r="AB120" s="180"/>
      <c r="AC120" s="179" t="str">
        <f>_xlfn.XLOOKUP(Tablo7[[#This Row],[Bağlantı]],Anbar!$J$3:$J$1000,Anbar!$H$3:$H$1000,"Tapilmadi")</f>
        <v>Tapilmadi</v>
      </c>
      <c r="AD120" s="179"/>
      <c r="AE120" s="180">
        <v>40</v>
      </c>
      <c r="AF120" s="180"/>
      <c r="AG120" s="179" t="str">
        <f>_xlfn.XLOOKUP(Tablo7[[#This Row],[Mexanizm]],Anbar!$J$3:$J$1000,Anbar!$H$3:$H$1000,"Tapilmadi")</f>
        <v>Tapilmadi</v>
      </c>
      <c r="AH120" s="179">
        <v>1</v>
      </c>
      <c r="AI120" s="180">
        <v>0</v>
      </c>
      <c r="AJ120" s="180">
        <v>44</v>
      </c>
      <c r="AK120" s="180">
        <v>75</v>
      </c>
      <c r="AL120" s="180">
        <v>0</v>
      </c>
      <c r="AM120" s="180">
        <v>639</v>
      </c>
      <c r="AN120" s="180">
        <v>0</v>
      </c>
      <c r="AO120" s="180">
        <v>0</v>
      </c>
      <c r="AP120" s="194">
        <f>Tablo7[[#This Row],[Ümumi məbləğ]]-Tablo7[[#This Row],[Ödəniş]]-Tablo7[[#This Row],[Endirim]]</f>
        <v>639</v>
      </c>
      <c r="AQ120" s="183" t="str">
        <f t="shared" si="66"/>
        <v>Mesaj</v>
      </c>
      <c r="AR120" s="183" t="str">
        <f t="shared" si="67"/>
        <v>Mesaj</v>
      </c>
      <c r="AS120" s="184" t="str">
        <f>IF(ISNA(VLOOKUP(Tablo7[[#This Row],[Sifariş kodu]],'Kəsim ve təhvil'!$E$5:$E1118,1,0)),"Qəbul edilməyib","Qəbul edilib")</f>
        <v>Qəbul edilməyib</v>
      </c>
      <c r="AT120" s="185" t="str">
        <f>IF(ISNA(VLOOKUP(Tablo7[[#This Row],[Sifariş kodu]],'Kəsim ve təhvil'!$H$5:$H1118,1,0)),"Anbardadır","Təhvil verilib")</f>
        <v>Anbardadır</v>
      </c>
      <c r="AU120" s="186" t="str">
        <f>"Hörmətli *"&amp;Tablo7[[#This Row],[Müştəri]]&amp;"*  ,Sizin *"&amp;G120&amp;"* tarixli sifarişiniz qeydə alındı. Sifariş Məbləğı *"&amp;AM120&amp;" AZN* , Qalıq *"&amp;AP120&amp;" AZN* . Hörmətlə  *AlumPro*"</f>
        <v>Hörmətli *Fuad Cavansir*  ,Sizin *23,12,2024* tarixli sifarişiniz qeydə alındı. Sifariş Məbləğı *639 AZN* , Qalıq *639 AZN* . Hörmətlə  *AlumPro*</v>
      </c>
      <c r="AV120" s="187" t="str">
        <f>"Hörmətli *"&amp;Tablo7[[#This Row],[Müştəri]]&amp;"* , sizin *"&amp;G120&amp;"* tarixli  sifarişiniz hazırdır . Bizi seçdiyiniz üçün minnətdarıq. Hörmətlə  *AlumPro*."</f>
        <v>Hörmətli *Fuad Cavansir* , sizin *23,12,2024* tarixli  sifarişiniz hazırdır . Bizi seçdiyiniz üçün minnətdarıq. Hörmətlə  *AlumPro*.</v>
      </c>
      <c r="AW120" s="188" t="str">
        <f t="shared" si="72"/>
        <v>Fuad</v>
      </c>
      <c r="AX120" s="253" t="str">
        <f t="shared" si="69"/>
        <v xml:space="preserve">Fuad </v>
      </c>
    </row>
    <row r="121" spans="4:50">
      <c r="D121" s="178">
        <v>213</v>
      </c>
      <c r="E121" s="179" t="s">
        <v>447</v>
      </c>
      <c r="F121" s="179" t="s">
        <v>339</v>
      </c>
      <c r="G121" s="212" t="s">
        <v>6</v>
      </c>
      <c r="H121" s="179" t="s">
        <v>201</v>
      </c>
      <c r="I121" s="179" t="s">
        <v>202</v>
      </c>
      <c r="J121" s="179"/>
      <c r="K121" s="179" t="s">
        <v>194</v>
      </c>
      <c r="L121" s="179"/>
      <c r="M121" s="179" t="str">
        <f>_xlfn.XLOOKUP(Tablo7[[#This Row],[Yan Profili]],Anbar!$J$3:$J$1000,Anbar!$H$3:$H$1000,"Tapilmadi")</f>
        <v>Tapilmadi</v>
      </c>
      <c r="N121" s="179">
        <v>7</v>
      </c>
      <c r="O121" s="179">
        <v>161</v>
      </c>
      <c r="P121" s="179" t="s">
        <v>195</v>
      </c>
      <c r="Q121" s="179" t="str">
        <f>_xlfn.XLOOKUP(Tablo7[[#This Row],[Qulp növü]],Anbar!$J$3:$J$1000,Anbar!$H$3:$H$1000,"Tapilmadi")</f>
        <v>Tapilmadi</v>
      </c>
      <c r="R121" s="179">
        <v>0</v>
      </c>
      <c r="S121" s="180">
        <v>0</v>
      </c>
      <c r="T121" s="181"/>
      <c r="U121" s="179" t="str">
        <f>_xlfn.XLOOKUP(Tablo7[[#This Row],[Petlə]],Anbar!$J$3:$J$1000,Anbar!$H$3:$H$1000,"Tapilmadi")</f>
        <v>Tapilmadi</v>
      </c>
      <c r="V121" s="179">
        <v>0</v>
      </c>
      <c r="W121" s="180">
        <v>0</v>
      </c>
      <c r="X121" s="269">
        <v>9</v>
      </c>
      <c r="Y121" s="179" t="s">
        <v>276</v>
      </c>
      <c r="Z121" s="182"/>
      <c r="AA121" s="180">
        <v>192</v>
      </c>
      <c r="AB121" s="180"/>
      <c r="AC121" s="179" t="str">
        <f>_xlfn.XLOOKUP(Tablo7[[#This Row],[Bağlantı]],Anbar!$J$3:$J$1000,Anbar!$H$3:$H$1000,"Tapilmadi")</f>
        <v>Tapilmadi</v>
      </c>
      <c r="AD121" s="179"/>
      <c r="AE121" s="180">
        <v>32</v>
      </c>
      <c r="AF121" s="180"/>
      <c r="AG121" s="179" t="str">
        <f>_xlfn.XLOOKUP(Tablo7[[#This Row],[Mexanizm]],Anbar!$J$3:$J$1000,Anbar!$H$3:$H$1000,"Tapilmadi")</f>
        <v>Tapilmadi</v>
      </c>
      <c r="AH121" s="179">
        <v>1</v>
      </c>
      <c r="AI121" s="180">
        <v>0</v>
      </c>
      <c r="AJ121" s="180">
        <v>0</v>
      </c>
      <c r="AK121" s="180">
        <v>55</v>
      </c>
      <c r="AL121" s="180">
        <v>0</v>
      </c>
      <c r="AM121" s="180">
        <v>440</v>
      </c>
      <c r="AN121" s="180">
        <v>9</v>
      </c>
      <c r="AO121" s="180">
        <v>431</v>
      </c>
      <c r="AP121" s="194">
        <f>Tablo7[[#This Row],[Ümumi məbləğ]]-Tablo7[[#This Row],[Ödəniş]]-Tablo7[[#This Row],[Endirim]]</f>
        <v>0</v>
      </c>
      <c r="AQ121" s="183" t="str">
        <f t="shared" si="66"/>
        <v>Mesaj</v>
      </c>
      <c r="AR121" s="183" t="str">
        <f t="shared" si="67"/>
        <v>Mesaj</v>
      </c>
      <c r="AS121" s="184" t="str">
        <f>IF(ISNA(VLOOKUP(Tablo7[[#This Row],[Sifariş kodu]],'Kəsim ve təhvil'!$E$5:$E1119,1,0)),"Qəbul edilməyib","Qəbul edilib")</f>
        <v>Qəbul edilməyib</v>
      </c>
      <c r="AT121" s="185" t="str">
        <f>IF(ISNA(VLOOKUP(Tablo7[[#This Row],[Sifariş kodu]],'Kəsim ve təhvil'!$H$5:$H1119,1,0)),"Anbardadır","Təhvil verilib")</f>
        <v>Anbardadır</v>
      </c>
      <c r="AU121" s="186" t="str">
        <f>"Hörmətli *"&amp;Tablo7[[#This Row],[Müştəri]]&amp;"*  ,Sizin *"&amp;G121&amp;"* tarixli sifarişiniz qeydə alındı. Sifariş Məbləğı *"&amp;AM121&amp;" AZN* , Qalıq *"&amp;AP121&amp;" AZN* . Hörmətlə  *AlumPro*"</f>
        <v>Hörmətli *Kandar Palid*  ,Sizin *23,12,2024* tarixli sifarişiniz qeydə alındı. Sifariş Məbləğı *440 AZN* , Qalıq *0 AZN* . Hörmətlə  *AlumPro*</v>
      </c>
      <c r="AV121" s="187" t="str">
        <f>"Hörmətli *"&amp;Tablo7[[#This Row],[Müştəri]]&amp;"* , sizin *"&amp;G121&amp;"* tarixli  sifarişiniz hazırdır . Bizi seçdiyiniz üçün minnətdarıq. Hörmətlə  *AlumPro*."</f>
        <v>Hörmətli *Kandar Palid* , sizin *23,12,2024* tarixli  sifarişiniz hazırdır . Bizi seçdiyiniz üçün minnətdarıq. Hörmətlə  *AlumPro*.</v>
      </c>
      <c r="AW121" s="188" t="str">
        <f t="shared" si="72"/>
        <v>Kandar</v>
      </c>
      <c r="AX121" s="253" t="str">
        <f t="shared" si="69"/>
        <v xml:space="preserve">Kandar </v>
      </c>
    </row>
    <row r="122" spans="4:50">
      <c r="D122" s="178">
        <v>212</v>
      </c>
      <c r="E122" s="179" t="s">
        <v>448</v>
      </c>
      <c r="F122" s="179" t="s">
        <v>339</v>
      </c>
      <c r="G122" s="212" t="s">
        <v>449</v>
      </c>
      <c r="H122" s="179" t="s">
        <v>450</v>
      </c>
      <c r="I122" s="179" t="s">
        <v>451</v>
      </c>
      <c r="J122" s="179"/>
      <c r="K122" s="179" t="s">
        <v>183</v>
      </c>
      <c r="L122" s="179"/>
      <c r="M122" s="179">
        <f>_xlfn.XLOOKUP(Tablo7[[#This Row],[Yan Profili]],Anbar!$J$3:$J$1000,Anbar!$H$3:$H$1000,"Tapilmadi")</f>
        <v>0</v>
      </c>
      <c r="N122" s="179">
        <v>2</v>
      </c>
      <c r="O122" s="179">
        <v>46</v>
      </c>
      <c r="P122" s="179" t="s">
        <v>184</v>
      </c>
      <c r="Q122" s="179" t="str">
        <f>_xlfn.XLOOKUP(Tablo7[[#This Row],[Qulp növü]],Anbar!$J$3:$J$1000,Anbar!$H$3:$H$1000,"Tapilmadi")</f>
        <v>Tapilmadi</v>
      </c>
      <c r="R122" s="179">
        <v>1</v>
      </c>
      <c r="S122" s="180">
        <v>26</v>
      </c>
      <c r="T122" s="181"/>
      <c r="U122" s="179" t="str">
        <f>_xlfn.XLOOKUP(Tablo7[[#This Row],[Petlə]],Anbar!$J$3:$J$1000,Anbar!$H$3:$H$1000,"Tapilmadi")</f>
        <v>Tapilmadi</v>
      </c>
      <c r="V122" s="179">
        <v>0</v>
      </c>
      <c r="W122" s="180">
        <v>0</v>
      </c>
      <c r="X122" s="269">
        <v>9</v>
      </c>
      <c r="Y122" s="179" t="s">
        <v>36</v>
      </c>
      <c r="Z122" s="182"/>
      <c r="AA122" s="180">
        <v>41</v>
      </c>
      <c r="AB122" s="180"/>
      <c r="AC122" s="179" t="str">
        <f>_xlfn.XLOOKUP(Tablo7[[#This Row],[Bağlantı]],Anbar!$J$3:$J$1000,Anbar!$H$3:$H$1000,"Tapilmadi")</f>
        <v>Tapilmadi</v>
      </c>
      <c r="AD122" s="179"/>
      <c r="AE122" s="180">
        <v>4</v>
      </c>
      <c r="AF122" s="180"/>
      <c r="AG122" s="179" t="str">
        <f>_xlfn.XLOOKUP(Tablo7[[#This Row],[Mexanizm]],Anbar!$J$3:$J$1000,Anbar!$H$3:$H$1000,"Tapilmadi")</f>
        <v>Tapilmadi</v>
      </c>
      <c r="AH122" s="179">
        <v>1</v>
      </c>
      <c r="AI122" s="180">
        <v>0</v>
      </c>
      <c r="AJ122" s="180">
        <v>5</v>
      </c>
      <c r="AK122" s="180">
        <v>15</v>
      </c>
      <c r="AL122" s="180">
        <v>0</v>
      </c>
      <c r="AM122" s="180">
        <v>146</v>
      </c>
      <c r="AN122" s="180">
        <v>0</v>
      </c>
      <c r="AO122" s="180">
        <v>146</v>
      </c>
      <c r="AP122" s="194">
        <f>Tablo7[[#This Row],[Ümumi məbləğ]]-Tablo7[[#This Row],[Ödəniş]]-Tablo7[[#This Row],[Endirim]]</f>
        <v>0</v>
      </c>
      <c r="AQ122" s="183" t="str">
        <f t="shared" si="66"/>
        <v>Mesaj</v>
      </c>
      <c r="AR122" s="183" t="str">
        <f t="shared" si="67"/>
        <v>Mesaj</v>
      </c>
      <c r="AS122" s="184" t="str">
        <f>IF(ISNA(VLOOKUP(Tablo7[[#This Row],[Sifariş kodu]],'Kəsim ve təhvil'!$E$5:$E1120,1,0)),"Qəbul edilməyib","Qəbul edilib")</f>
        <v>Qəbul edilməyib</v>
      </c>
      <c r="AT122" s="185" t="str">
        <f>IF(ISNA(VLOOKUP(Tablo7[[#This Row],[Sifariş kodu]],'Kəsim ve təhvil'!$H$5:$H1120,1,0)),"Anbardadır","Təhvil verilib")</f>
        <v>Anbardadır</v>
      </c>
      <c r="AU122" s="186" t="str">
        <f>"Hörmətli *"&amp;Tablo7[[#This Row],[Müştəri]]&amp;"*  ,Sizin *"&amp;G122&amp;"* tarixli sifarişiniz qeydə alındı. Sifariş Məbləğı *"&amp;AM122&amp;" AZN* , Qalıq *"&amp;AP122&amp;" AZN* . Hörmətlə  *AlumPro*"</f>
        <v>Hörmətli *Rufet Musteri Bineqedi*  ,Sizin *12/27/2024* tarixli sifarişiniz qeydə alındı. Sifariş Məbləğı *146 AZN* , Qalıq *0 AZN* . Hörmətlə  *AlumPro*</v>
      </c>
      <c r="AV122" s="187" t="str">
        <f>"Hörmətli *"&amp;Tablo7[[#This Row],[Müştəri]]&amp;"* , sizin *"&amp;G122&amp;"* tarixli  sifarişiniz hazırdır . Bizi seçdiyiniz üçün minnətdarıq. Hörmətlə  *AlumPro*."</f>
        <v>Hörmətli *Rufet Musteri Bineqedi* , sizin *12/27/2024* tarixli  sifarişiniz hazırdır . Bizi seçdiyiniz üçün minnətdarıq. Hörmətlə  *AlumPro*.</v>
      </c>
      <c r="AW122" s="188" t="str">
        <f t="shared" si="72"/>
        <v>Rufet</v>
      </c>
      <c r="AX122" s="253" t="str">
        <f t="shared" si="69"/>
        <v xml:space="preserve">Rufet </v>
      </c>
    </row>
    <row r="123" spans="4:50">
      <c r="D123" s="178">
        <v>211</v>
      </c>
      <c r="E123" s="179" t="s">
        <v>452</v>
      </c>
      <c r="F123" s="179" t="s">
        <v>339</v>
      </c>
      <c r="G123" s="212" t="s">
        <v>6</v>
      </c>
      <c r="H123" s="179" t="s">
        <v>147</v>
      </c>
      <c r="I123" s="179" t="s">
        <v>148</v>
      </c>
      <c r="J123" s="179"/>
      <c r="K123" s="179" t="s">
        <v>183</v>
      </c>
      <c r="L123" s="179"/>
      <c r="M123" s="179" t="str">
        <f>_xlfn.XLOOKUP(Tablo7[[#This Row],[Yan Profili]],Anbar!$J$3:$J$1000,Anbar!$H$3:$H$1000,"Tapilmadi")</f>
        <v>Tapilmadi</v>
      </c>
      <c r="N123" s="179">
        <v>2</v>
      </c>
      <c r="O123" s="179">
        <v>46</v>
      </c>
      <c r="P123" s="179" t="s">
        <v>184</v>
      </c>
      <c r="Q123" s="179" t="str">
        <f>_xlfn.XLOOKUP(Tablo7[[#This Row],[Qulp növü]],Anbar!$J$3:$J$1000,Anbar!$H$3:$H$1000,"Tapilmadi")</f>
        <v>Tapilmadi</v>
      </c>
      <c r="R123" s="179">
        <v>2</v>
      </c>
      <c r="S123" s="180">
        <v>52</v>
      </c>
      <c r="T123" s="181"/>
      <c r="U123" s="179" t="str">
        <f>_xlfn.XLOOKUP(Tablo7[[#This Row],[Petlə]],Anbar!$J$3:$J$1000,Anbar!$H$3:$H$1000,"Tapilmadi")</f>
        <v>Tapilmadi</v>
      </c>
      <c r="V123" s="179">
        <v>0</v>
      </c>
      <c r="W123" s="180">
        <v>0</v>
      </c>
      <c r="X123" s="269">
        <v>12</v>
      </c>
      <c r="Y123" s="179" t="s">
        <v>36</v>
      </c>
      <c r="Z123" s="182"/>
      <c r="AA123" s="180">
        <v>44</v>
      </c>
      <c r="AB123" s="180"/>
      <c r="AC123" s="179" t="str">
        <f>_xlfn.XLOOKUP(Tablo7[[#This Row],[Bağlantı]],Anbar!$J$3:$J$1000,Anbar!$H$3:$H$1000,"Tapilmadi")</f>
        <v>Tapilmadi</v>
      </c>
      <c r="AD123" s="179"/>
      <c r="AE123" s="180">
        <v>8</v>
      </c>
      <c r="AF123" s="180"/>
      <c r="AG123" s="179" t="str">
        <f>_xlfn.XLOOKUP(Tablo7[[#This Row],[Mexanizm]],Anbar!$J$3:$J$1000,Anbar!$H$3:$H$1000,"Tapilmadi")</f>
        <v>Tapilmadi</v>
      </c>
      <c r="AH123" s="179">
        <v>1</v>
      </c>
      <c r="AI123" s="180">
        <v>0</v>
      </c>
      <c r="AJ123" s="180">
        <v>8</v>
      </c>
      <c r="AK123" s="180">
        <v>30</v>
      </c>
      <c r="AL123" s="180">
        <v>0</v>
      </c>
      <c r="AM123" s="180">
        <v>200</v>
      </c>
      <c r="AN123" s="180">
        <v>0</v>
      </c>
      <c r="AO123" s="180">
        <v>200</v>
      </c>
      <c r="AP123" s="194">
        <f>Tablo7[[#This Row],[Ümumi məbləğ]]-Tablo7[[#This Row],[Ödəniş]]-Tablo7[[#This Row],[Endirim]]</f>
        <v>0</v>
      </c>
      <c r="AQ123" s="183" t="str">
        <f t="shared" si="66"/>
        <v>Mesaj</v>
      </c>
      <c r="AR123" s="183" t="str">
        <f t="shared" si="67"/>
        <v>Mesaj</v>
      </c>
      <c r="AS123" s="184" t="str">
        <f>IF(ISNA(VLOOKUP(Tablo7[[#This Row],[Sifariş kodu]],'Kəsim ve təhvil'!$E$5:$E1121,1,0)),"Qəbul edilməyib","Qəbul edilib")</f>
        <v>Qəbul edilməyib</v>
      </c>
      <c r="AT123" s="185" t="str">
        <f>IF(ISNA(VLOOKUP(Tablo7[[#This Row],[Sifariş kodu]],'Kəsim ve təhvil'!$H$5:$H1121,1,0)),"Anbardadır","Təhvil verilib")</f>
        <v>Anbardadır</v>
      </c>
      <c r="AU123" s="186" t="str">
        <f>"Hörmətli *"&amp;Tablo7[[#This Row],[Müştəri]]&amp;"*  ,Sizin *"&amp;G123&amp;"* tarixli sifarişiniz qeydə alındı. Sifariş Məbləğı *"&amp;AM123&amp;" AZN* , Qalıq *"&amp;AP123&amp;" AZN* . Hörmətlə  *AlumPro*"</f>
        <v>Hörmətli *Samir Gold Wood*  ,Sizin *23,12,2024* tarixli sifarişiniz qeydə alındı. Sifariş Məbləğı *200 AZN* , Qalıq *0 AZN* . Hörmətlə  *AlumPro*</v>
      </c>
      <c r="AV123" s="187" t="str">
        <f>"Hörmətli *"&amp;Tablo7[[#This Row],[Müştəri]]&amp;"* , sizin *"&amp;G123&amp;"* tarixli  sifarişiniz hazırdır . Bizi seçdiyiniz üçün minnətdarıq. Hörmətlə  *AlumPro*."</f>
        <v>Hörmətli *Samir Gold Wood* , sizin *23,12,2024* tarixli  sifarişiniz hazırdır . Bizi seçdiyiniz üçün minnətdarıq. Hörmətlə  *AlumPro*.</v>
      </c>
      <c r="AW123" s="188" t="str">
        <f t="shared" si="72"/>
        <v>Samir</v>
      </c>
      <c r="AX123" s="253" t="str">
        <f t="shared" si="69"/>
        <v xml:space="preserve">Samir </v>
      </c>
    </row>
    <row r="124" spans="4:50">
      <c r="D124" s="178">
        <v>208</v>
      </c>
      <c r="E124" s="179" t="s">
        <v>453</v>
      </c>
      <c r="F124" s="179" t="s">
        <v>339</v>
      </c>
      <c r="G124" s="212" t="s">
        <v>6</v>
      </c>
      <c r="H124" s="179" t="s">
        <v>412</v>
      </c>
      <c r="I124" s="179" t="s">
        <v>413</v>
      </c>
      <c r="J124" s="179"/>
      <c r="K124" s="179" t="s">
        <v>189</v>
      </c>
      <c r="L124" s="179"/>
      <c r="M124" s="179" t="str">
        <f>_xlfn.XLOOKUP(Tablo7[[#This Row],[Yan Profili]],Anbar!$J$3:$J$1000,Anbar!$H$3:$H$1000,"Tapilmadi")</f>
        <v>Tapilmadi</v>
      </c>
      <c r="N124" s="179">
        <v>9</v>
      </c>
      <c r="O124" s="179">
        <v>207</v>
      </c>
      <c r="P124" s="179" t="s">
        <v>184</v>
      </c>
      <c r="Q124" s="179" t="str">
        <f>_xlfn.XLOOKUP(Tablo7[[#This Row],[Qulp növü]],Anbar!$J$3:$J$1000,Anbar!$H$3:$H$1000,"Tapilmadi")</f>
        <v>Tapilmadi</v>
      </c>
      <c r="R124" s="179">
        <v>2</v>
      </c>
      <c r="S124" s="180">
        <v>52</v>
      </c>
      <c r="T124" s="181"/>
      <c r="U124" s="179" t="str">
        <f>_xlfn.XLOOKUP(Tablo7[[#This Row],[Petlə]],Anbar!$J$3:$J$1000,Anbar!$H$3:$H$1000,"Tapilmadi")</f>
        <v>Tapilmadi</v>
      </c>
      <c r="V124" s="179">
        <v>0</v>
      </c>
      <c r="W124" s="180">
        <v>0</v>
      </c>
      <c r="X124" s="269">
        <v>0</v>
      </c>
      <c r="Y124" s="179" t="s">
        <v>199</v>
      </c>
      <c r="Z124" s="182"/>
      <c r="AA124" s="180">
        <v>133</v>
      </c>
      <c r="AB124" s="180"/>
      <c r="AC124" s="179" t="str">
        <f>_xlfn.XLOOKUP(Tablo7[[#This Row],[Bağlantı]],Anbar!$J$3:$J$1000,Anbar!$H$3:$H$1000,"Tapilmadi")</f>
        <v>Tapilmadi</v>
      </c>
      <c r="AD124" s="179"/>
      <c r="AE124" s="180">
        <v>32</v>
      </c>
      <c r="AF124" s="180"/>
      <c r="AG124" s="179" t="str">
        <f>_xlfn.XLOOKUP(Tablo7[[#This Row],[Mexanizm]],Anbar!$J$3:$J$1000,Anbar!$H$3:$H$1000,"Tapilmadi")</f>
        <v>Tapilmadi</v>
      </c>
      <c r="AH124" s="179">
        <v>1</v>
      </c>
      <c r="AI124" s="180">
        <v>0</v>
      </c>
      <c r="AJ124" s="180">
        <v>20</v>
      </c>
      <c r="AK124" s="180">
        <v>90</v>
      </c>
      <c r="AL124" s="180">
        <v>0</v>
      </c>
      <c r="AM124" s="180">
        <v>520</v>
      </c>
      <c r="AN124" s="180"/>
      <c r="AO124" s="180">
        <v>500</v>
      </c>
      <c r="AP124" s="194">
        <f>Tablo7[[#This Row],[Ümumi məbləğ]]-Tablo7[[#This Row],[Ödəniş]]-Tablo7[[#This Row],[Endirim]]</f>
        <v>20</v>
      </c>
      <c r="AQ124" s="183" t="str">
        <f t="shared" si="66"/>
        <v>Mesaj</v>
      </c>
      <c r="AR124" s="183" t="str">
        <f t="shared" si="67"/>
        <v>Mesaj</v>
      </c>
      <c r="AS124" s="184" t="str">
        <f>IF(ISNA(VLOOKUP(Tablo7[[#This Row],[Sifariş kodu]],'Kəsim ve təhvil'!$E$5:$E1122,1,0)),"Qəbul edilməyib","Qəbul edilib")</f>
        <v>Qəbul edilməyib</v>
      </c>
      <c r="AT124" s="185" t="str">
        <f>IF(ISNA(VLOOKUP(Tablo7[[#This Row],[Sifariş kodu]],'Kəsim ve təhvil'!$H$5:$H1122,1,0)),"Anbardadır","Təhvil verilib")</f>
        <v>Anbardadır</v>
      </c>
      <c r="AU124" s="186" t="str">
        <f>"Hörmətli *"&amp;Tablo7[[#This Row],[Müştəri]]&amp;"*  ,Sizin *"&amp;G124&amp;"* tarixli sifarişiniz qeydə alındı. Sifariş Məbləğı *"&amp;AM124&amp;" AZN* , Qalıq *"&amp;AP124&amp;" AZN* . Hörmətlə  *AlumPro*"</f>
        <v>Hörmətli *Hikmet Qalib*  ,Sizin *23,12,2024* tarixli sifarişiniz qeydə alındı. Sifariş Məbləğı *520 AZN* , Qalıq *20 AZN* . Hörmətlə  *AlumPro*</v>
      </c>
      <c r="AV124" s="187" t="str">
        <f>"Hörmətli *"&amp;Tablo7[[#This Row],[Müştəri]]&amp;"* , sizin *"&amp;G124&amp;"* tarixli  sifarişiniz hazırdır . Bizi seçdiyiniz üçün minnətdarıq. Hörmətlə  *AlumPro*."</f>
        <v>Hörmətli *Hikmet Qalib* , sizin *23,12,2024* tarixli  sifarişiniz hazırdır . Bizi seçdiyiniz üçün minnətdarıq. Hörmətlə  *AlumPro*.</v>
      </c>
      <c r="AW124" s="188" t="str">
        <f t="shared" si="72"/>
        <v>Hikmet</v>
      </c>
      <c r="AX124" s="253" t="str">
        <f t="shared" si="69"/>
        <v xml:space="preserve">Hikmet </v>
      </c>
    </row>
    <row r="125" spans="4:50">
      <c r="D125" s="178">
        <v>207</v>
      </c>
      <c r="E125" s="179" t="s">
        <v>454</v>
      </c>
      <c r="F125" s="179" t="s">
        <v>339</v>
      </c>
      <c r="G125" s="212" t="s">
        <v>455</v>
      </c>
      <c r="H125" s="179" t="s">
        <v>456</v>
      </c>
      <c r="I125" s="179">
        <v>0</v>
      </c>
      <c r="J125" s="179"/>
      <c r="K125" s="179" t="s">
        <v>194</v>
      </c>
      <c r="L125" s="179"/>
      <c r="M125" s="179" t="str">
        <f>_xlfn.XLOOKUP(Tablo7[[#This Row],[Yan Profili]],Anbar!$J$3:$J$1000,Anbar!$H$3:$H$1000,"Tapilmadi")</f>
        <v>Tapilmadi</v>
      </c>
      <c r="N125" s="179">
        <v>3</v>
      </c>
      <c r="O125" s="179">
        <v>69</v>
      </c>
      <c r="P125" s="179" t="s">
        <v>184</v>
      </c>
      <c r="Q125" s="179" t="str">
        <f>_xlfn.XLOOKUP(Tablo7[[#This Row],[Qulp növü]],Anbar!$J$3:$J$1000,Anbar!$H$3:$H$1000,"Tapilmadi")</f>
        <v>Tapilmadi</v>
      </c>
      <c r="R125" s="179">
        <v>2</v>
      </c>
      <c r="S125" s="180">
        <v>52</v>
      </c>
      <c r="T125" s="181"/>
      <c r="U125" s="179" t="str">
        <f>_xlfn.XLOOKUP(Tablo7[[#This Row],[Petlə]],Anbar!$J$3:$J$1000,Anbar!$H$3:$H$1000,"Tapilmadi")</f>
        <v>Tapilmadi</v>
      </c>
      <c r="V125" s="179">
        <v>8</v>
      </c>
      <c r="W125" s="180">
        <v>32</v>
      </c>
      <c r="X125" s="269">
        <v>0</v>
      </c>
      <c r="Y125" s="179" t="s">
        <v>406</v>
      </c>
      <c r="Z125" s="182"/>
      <c r="AA125" s="180">
        <v>68</v>
      </c>
      <c r="AB125" s="180"/>
      <c r="AC125" s="179" t="str">
        <f>_xlfn.XLOOKUP(Tablo7[[#This Row],[Bağlantı]],Anbar!$J$3:$J$1000,Anbar!$H$3:$H$1000,"Tapilmadi")</f>
        <v>Tapilmadi</v>
      </c>
      <c r="AD125" s="179"/>
      <c r="AE125" s="180">
        <v>24</v>
      </c>
      <c r="AF125" s="180"/>
      <c r="AG125" s="179" t="str">
        <f>_xlfn.XLOOKUP(Tablo7[[#This Row],[Mexanizm]],Anbar!$J$3:$J$1000,Anbar!$H$3:$H$1000,"Tapilmadi")</f>
        <v>Tapilmadi</v>
      </c>
      <c r="AH125" s="179">
        <v>1</v>
      </c>
      <c r="AI125" s="180">
        <v>0</v>
      </c>
      <c r="AJ125" s="180">
        <v>16</v>
      </c>
      <c r="AK125" s="180">
        <v>45</v>
      </c>
      <c r="AL125" s="180">
        <v>0</v>
      </c>
      <c r="AM125" s="180">
        <v>266</v>
      </c>
      <c r="AN125" s="180">
        <v>0</v>
      </c>
      <c r="AO125" s="180">
        <v>266</v>
      </c>
      <c r="AP125" s="194">
        <f>Tablo7[[#This Row],[Ümumi məbləğ]]-Tablo7[[#This Row],[Ödəniş]]-Tablo7[[#This Row],[Endirim]]</f>
        <v>0</v>
      </c>
      <c r="AQ125" s="183" t="str">
        <f t="shared" si="66"/>
        <v>Mesaj</v>
      </c>
      <c r="AR125" s="183" t="str">
        <f t="shared" si="67"/>
        <v>Mesaj</v>
      </c>
      <c r="AS125" s="184" t="str">
        <f>IF(ISNA(VLOOKUP(Tablo7[[#This Row],[Sifariş kodu]],'Kəsim ve təhvil'!$E$5:$E1123,1,0)),"Qəbul edilməyib","Qəbul edilib")</f>
        <v>Qəbul edilməyib</v>
      </c>
      <c r="AT125" s="185" t="str">
        <f>IF(ISNA(VLOOKUP(Tablo7[[#This Row],[Sifariş kodu]],'Kəsim ve təhvil'!$H$5:$H1123,1,0)),"Anbardadır","Təhvil verilib")</f>
        <v>Anbardadır</v>
      </c>
      <c r="AU125" s="186" t="str">
        <f>"Hörmətli *"&amp;Tablo7[[#This Row],[Müştəri]]&amp;"*  ,Sizin *"&amp;G125&amp;"* tarixli sifarişiniz qeydə alındı. Sifariş Məbləğı *"&amp;AM125&amp;" AZN* , Qalıq *"&amp;AP125&amp;" AZN* . Hörmətlə  *AlumPro*"</f>
        <v>Hörmətli *Sameddin *  ,Sizin *21,12,2024* tarixli sifarişiniz qeydə alındı. Sifariş Məbləğı *266 AZN* , Qalıq *0 AZN* . Hörmətlə  *AlumPro*</v>
      </c>
      <c r="AV125" s="187" t="str">
        <f>"Hörmətli *"&amp;Tablo7[[#This Row],[Müştəri]]&amp;"* , sizin *"&amp;G125&amp;"* tarixli  sifarişiniz hazırdır . Bizi seçdiyiniz üçün minnətdarıq. Hörmətlə  *AlumPro*."</f>
        <v>Hörmətli *Sameddin * , sizin *21,12,2024* tarixli  sifarişiniz hazırdır . Bizi seçdiyiniz üçün minnətdarıq. Hörmətlə  *AlumPro*.</v>
      </c>
      <c r="AW125" s="188" t="str">
        <f t="shared" si="72"/>
        <v>Sameddin</v>
      </c>
      <c r="AX125" s="253" t="str">
        <f t="shared" si="69"/>
        <v xml:space="preserve">Sameddin </v>
      </c>
    </row>
    <row r="126" spans="4:50">
      <c r="D126" s="178">
        <v>206</v>
      </c>
      <c r="E126" s="179" t="s">
        <v>457</v>
      </c>
      <c r="F126" s="179" t="s">
        <v>339</v>
      </c>
      <c r="G126" s="212" t="s">
        <v>455</v>
      </c>
      <c r="H126" s="179" t="s">
        <v>458</v>
      </c>
      <c r="I126" s="179">
        <v>0</v>
      </c>
      <c r="J126" s="179"/>
      <c r="K126" s="179" t="s">
        <v>183</v>
      </c>
      <c r="L126" s="179"/>
      <c r="M126" s="179" t="str">
        <f>_xlfn.XLOOKUP(Tablo7[[#This Row],[Yan Profili]],Anbar!$J$3:$J$1000,Anbar!$H$3:$H$1000,"Tapilmadi")</f>
        <v>Tapilmadi</v>
      </c>
      <c r="N126" s="179">
        <v>1</v>
      </c>
      <c r="O126" s="179">
        <v>23</v>
      </c>
      <c r="P126" s="179" t="s">
        <v>184</v>
      </c>
      <c r="Q126" s="179" t="str">
        <f>_xlfn.XLOOKUP(Tablo7[[#This Row],[Qulp növü]],Anbar!$J$3:$J$1000,Anbar!$H$3:$H$1000,"Tapilmadi")</f>
        <v>Tapilmadi</v>
      </c>
      <c r="R126" s="179">
        <v>1</v>
      </c>
      <c r="S126" s="180">
        <v>26</v>
      </c>
      <c r="T126" s="181"/>
      <c r="U126" s="179" t="str">
        <f>_xlfn.XLOOKUP(Tablo7[[#This Row],[Petlə]],Anbar!$J$3:$J$1000,Anbar!$H$3:$H$1000,"Tapilmadi")</f>
        <v>Tapilmadi</v>
      </c>
      <c r="V126" s="179">
        <v>0</v>
      </c>
      <c r="W126" s="180">
        <v>0</v>
      </c>
      <c r="X126" s="269">
        <v>0</v>
      </c>
      <c r="Y126" s="179" t="s">
        <v>387</v>
      </c>
      <c r="Z126" s="182"/>
      <c r="AA126" s="180">
        <v>18</v>
      </c>
      <c r="AB126" s="180"/>
      <c r="AC126" s="179" t="str">
        <f>_xlfn.XLOOKUP(Tablo7[[#This Row],[Bağlantı]],Anbar!$J$3:$J$1000,Anbar!$H$3:$H$1000,"Tapilmadi")</f>
        <v>Tapilmadi</v>
      </c>
      <c r="AD126" s="179"/>
      <c r="AE126" s="180">
        <v>4</v>
      </c>
      <c r="AF126" s="180"/>
      <c r="AG126" s="179" t="str">
        <f>_xlfn.XLOOKUP(Tablo7[[#This Row],[Mexanizm]],Anbar!$J$3:$J$1000,Anbar!$H$3:$H$1000,"Tapilmadi")</f>
        <v>Tapilmadi</v>
      </c>
      <c r="AH126" s="179">
        <v>1</v>
      </c>
      <c r="AI126" s="180">
        <v>0</v>
      </c>
      <c r="AJ126" s="180">
        <v>3</v>
      </c>
      <c r="AK126" s="180">
        <v>15</v>
      </c>
      <c r="AL126" s="180">
        <v>0</v>
      </c>
      <c r="AM126" s="180">
        <v>89</v>
      </c>
      <c r="AN126" s="180"/>
      <c r="AO126" s="180">
        <v>89</v>
      </c>
      <c r="AP126" s="194">
        <f>Tablo7[[#This Row],[Ümumi məbləğ]]-Tablo7[[#This Row],[Ödəniş]]-Tablo7[[#This Row],[Endirim]]</f>
        <v>0</v>
      </c>
      <c r="AQ126" s="183" t="str">
        <f t="shared" si="66"/>
        <v>Mesaj</v>
      </c>
      <c r="AR126" s="183" t="str">
        <f t="shared" si="67"/>
        <v>Mesaj</v>
      </c>
      <c r="AS126" s="184" t="str">
        <f>IF(ISNA(VLOOKUP(Tablo7[[#This Row],[Sifariş kodu]],'Kəsim ve təhvil'!$E$5:$E1124,1,0)),"Qəbul edilməyib","Qəbul edilib")</f>
        <v>Qəbul edilməyib</v>
      </c>
      <c r="AT126" s="185" t="str">
        <f>IF(ISNA(VLOOKUP(Tablo7[[#This Row],[Sifariş kodu]],'Kəsim ve təhvil'!$H$5:$H1124,1,0)),"Anbardadır","Təhvil verilib")</f>
        <v>Anbardadır</v>
      </c>
      <c r="AU126" s="186" t="str">
        <f>"Hörmətli *"&amp;Tablo7[[#This Row],[Müştəri]]&amp;"*  ,Sizin *"&amp;G126&amp;"* tarixli sifarişiniz qeydə alındı. Sifariş Məbləğı *"&amp;AM126&amp;" AZN* , Qalıq *"&amp;AP126&amp;" AZN* . Hörmətlə  *AlumPro*"</f>
        <v>Hörmətli *Servin*  ,Sizin *21,12,2024* tarixli sifarişiniz qeydə alındı. Sifariş Məbləğı *89 AZN* , Qalıq *0 AZN* . Hörmətlə  *AlumPro*</v>
      </c>
      <c r="AV126" s="187" t="str">
        <f>"Hörmətli *"&amp;Tablo7[[#This Row],[Müştəri]]&amp;"* , sizin *"&amp;G126&amp;"* tarixli  sifarişiniz hazırdır . Bizi seçdiyiniz üçün minnətdarıq. Hörmətlə  *AlumPro*."</f>
        <v>Hörmətli *Servin* , sizin *21,12,2024* tarixli  sifarişiniz hazırdır . Bizi seçdiyiniz üçün minnətdarıq. Hörmətlə  *AlumPro*.</v>
      </c>
      <c r="AW126" s="188" t="e">
        <f t="shared" si="72"/>
        <v>#VALUE!</v>
      </c>
      <c r="AX126" s="253" t="e">
        <f t="shared" si="69"/>
        <v>#VALUE!</v>
      </c>
    </row>
    <row r="127" spans="4:50">
      <c r="D127" s="178">
        <v>205</v>
      </c>
      <c r="E127" s="179" t="s">
        <v>459</v>
      </c>
      <c r="F127" s="179" t="s">
        <v>339</v>
      </c>
      <c r="G127" s="212" t="s">
        <v>455</v>
      </c>
      <c r="H127" s="179" t="s">
        <v>458</v>
      </c>
      <c r="I127" s="179">
        <v>0</v>
      </c>
      <c r="J127" s="179"/>
      <c r="K127" s="179" t="s">
        <v>183</v>
      </c>
      <c r="L127" s="179"/>
      <c r="M127" s="179" t="str">
        <f>_xlfn.XLOOKUP(Tablo7[[#This Row],[Yan Profili]],Anbar!$J$3:$J$1000,Anbar!$H$3:$H$1000,"Tapilmadi")</f>
        <v>Tapilmadi</v>
      </c>
      <c r="N127" s="179">
        <v>1</v>
      </c>
      <c r="O127" s="179">
        <v>23</v>
      </c>
      <c r="P127" s="179" t="s">
        <v>184</v>
      </c>
      <c r="Q127" s="179" t="str">
        <f>_xlfn.XLOOKUP(Tablo7[[#This Row],[Qulp növü]],Anbar!$J$3:$J$1000,Anbar!$H$3:$H$1000,"Tapilmadi")</f>
        <v>Tapilmadi</v>
      </c>
      <c r="R127" s="179">
        <v>1</v>
      </c>
      <c r="S127" s="180">
        <v>26</v>
      </c>
      <c r="T127" s="181"/>
      <c r="U127" s="179" t="str">
        <f>_xlfn.XLOOKUP(Tablo7[[#This Row],[Petlə]],Anbar!$J$3:$J$1000,Anbar!$H$3:$H$1000,"Tapilmadi")</f>
        <v>Tapilmadi</v>
      </c>
      <c r="V127" s="179">
        <v>10</v>
      </c>
      <c r="W127" s="180">
        <v>40</v>
      </c>
      <c r="X127" s="269">
        <v>0</v>
      </c>
      <c r="Y127" s="179" t="s">
        <v>199</v>
      </c>
      <c r="Z127" s="182"/>
      <c r="AA127" s="180">
        <v>62</v>
      </c>
      <c r="AB127" s="180"/>
      <c r="AC127" s="179" t="str">
        <f>_xlfn.XLOOKUP(Tablo7[[#This Row],[Bağlantı]],Anbar!$J$3:$J$1000,Anbar!$H$3:$H$1000,"Tapilmadi")</f>
        <v>Tapilmadi</v>
      </c>
      <c r="AD127" s="179"/>
      <c r="AE127" s="180">
        <v>16</v>
      </c>
      <c r="AF127" s="180"/>
      <c r="AG127" s="179" t="str">
        <f>_xlfn.XLOOKUP(Tablo7[[#This Row],[Mexanizm]],Anbar!$J$3:$J$1000,Anbar!$H$3:$H$1000,"Tapilmadi")</f>
        <v>Tapilmadi</v>
      </c>
      <c r="AH127" s="179">
        <v>1</v>
      </c>
      <c r="AI127" s="180">
        <v>0</v>
      </c>
      <c r="AJ127" s="180">
        <v>20</v>
      </c>
      <c r="AK127" s="180">
        <v>30</v>
      </c>
      <c r="AL127" s="180">
        <v>0</v>
      </c>
      <c r="AM127" s="180">
        <v>217</v>
      </c>
      <c r="AN127" s="180"/>
      <c r="AO127" s="180">
        <v>0</v>
      </c>
      <c r="AP127" s="194">
        <f>Tablo7[[#This Row],[Ümumi məbləğ]]-Tablo7[[#This Row],[Ödəniş]]-Tablo7[[#This Row],[Endirim]]</f>
        <v>217</v>
      </c>
      <c r="AQ127" s="183" t="str">
        <f t="shared" si="66"/>
        <v>Mesaj</v>
      </c>
      <c r="AR127" s="183" t="str">
        <f t="shared" si="67"/>
        <v>Mesaj</v>
      </c>
      <c r="AS127" s="184" t="str">
        <f>IF(ISNA(VLOOKUP(Tablo7[[#This Row],[Sifariş kodu]],'Kəsim ve təhvil'!$E$5:$E1125,1,0)),"Qəbul edilməyib","Qəbul edilib")</f>
        <v>Qəbul edilməyib</v>
      </c>
      <c r="AT127" s="185" t="str">
        <f>IF(ISNA(VLOOKUP(Tablo7[[#This Row],[Sifariş kodu]],'Kəsim ve təhvil'!$H$5:$H1125,1,0)),"Anbardadır","Təhvil verilib")</f>
        <v>Anbardadır</v>
      </c>
      <c r="AU127" s="186" t="str">
        <f>"Hörmətli *"&amp;Tablo7[[#This Row],[Müştəri]]&amp;"*  ,Sizin *"&amp;G127&amp;"* tarixli sifarişiniz qeydə alındı. Sifariş Məbləğı *"&amp;AM127&amp;" AZN* , Qalıq *"&amp;AP127&amp;" AZN* . Hörmətlə  *AlumPro*"</f>
        <v>Hörmətli *Servin*  ,Sizin *21,12,2024* tarixli sifarişiniz qeydə alındı. Sifariş Məbləğı *217 AZN* , Qalıq *217 AZN* . Hörmətlə  *AlumPro*</v>
      </c>
      <c r="AV127" s="187" t="str">
        <f>"Hörmətli *"&amp;Tablo7[[#This Row],[Müştəri]]&amp;"* , sizin *"&amp;G127&amp;"* tarixli  sifarişiniz hazırdır . Bizi seçdiyiniz üçün minnətdarıq. Hörmətlə  *AlumPro*."</f>
        <v>Hörmətli *Servin* , sizin *21,12,2024* tarixli  sifarişiniz hazırdır . Bizi seçdiyiniz üçün minnətdarıq. Hörmətlə  *AlumPro*.</v>
      </c>
      <c r="AW127" s="188" t="e">
        <f t="shared" si="72"/>
        <v>#VALUE!</v>
      </c>
      <c r="AX127" s="253" t="e">
        <f t="shared" si="69"/>
        <v>#VALUE!</v>
      </c>
    </row>
    <row r="128" spans="4:50">
      <c r="D128" s="178">
        <v>204</v>
      </c>
      <c r="E128" s="179" t="s">
        <v>460</v>
      </c>
      <c r="F128" s="179" t="s">
        <v>339</v>
      </c>
      <c r="G128" s="212" t="s">
        <v>455</v>
      </c>
      <c r="H128" s="179" t="s">
        <v>461</v>
      </c>
      <c r="I128" s="179" t="s">
        <v>462</v>
      </c>
      <c r="J128" s="179"/>
      <c r="K128" s="179" t="s">
        <v>226</v>
      </c>
      <c r="L128" s="179"/>
      <c r="M128" s="179" t="str">
        <f>_xlfn.XLOOKUP(Tablo7[[#This Row],[Yan Profili]],Anbar!$J$3:$J$1000,Anbar!$H$3:$H$1000,"Tapilmadi")</f>
        <v>Tapilmadi</v>
      </c>
      <c r="N128" s="179">
        <v>3</v>
      </c>
      <c r="O128" s="179">
        <v>69</v>
      </c>
      <c r="P128" s="179" t="s">
        <v>184</v>
      </c>
      <c r="Q128" s="179" t="str">
        <f>_xlfn.XLOOKUP(Tablo7[[#This Row],[Qulp növü]],Anbar!$J$3:$J$1000,Anbar!$H$3:$H$1000,"Tapilmadi")</f>
        <v>Tapilmadi</v>
      </c>
      <c r="R128" s="179">
        <v>2</v>
      </c>
      <c r="S128" s="180">
        <v>52</v>
      </c>
      <c r="T128" s="181" t="s">
        <v>196</v>
      </c>
      <c r="U128" s="179" t="str">
        <f>_xlfn.XLOOKUP(Tablo7[[#This Row],[Petlə]],Anbar!$J$3:$J$1000,Anbar!$H$3:$H$1000,"Tapilmadi")</f>
        <v>Tapilmadi</v>
      </c>
      <c r="V128" s="179">
        <v>10</v>
      </c>
      <c r="W128" s="180">
        <v>40</v>
      </c>
      <c r="X128" s="269">
        <v>0</v>
      </c>
      <c r="Y128" s="179" t="s">
        <v>199</v>
      </c>
      <c r="Z128" s="182"/>
      <c r="AA128" s="180">
        <v>62</v>
      </c>
      <c r="AB128" s="180"/>
      <c r="AC128" s="179" t="str">
        <f>_xlfn.XLOOKUP(Tablo7[[#This Row],[Bağlantı]],Anbar!$J$3:$J$1000,Anbar!$H$3:$H$1000,"Tapilmadi")</f>
        <v>Tapilmadi</v>
      </c>
      <c r="AD128" s="179"/>
      <c r="AE128" s="180">
        <v>16</v>
      </c>
      <c r="AF128" s="180"/>
      <c r="AG128" s="179" t="str">
        <f>_xlfn.XLOOKUP(Tablo7[[#This Row],[Mexanizm]],Anbar!$J$3:$J$1000,Anbar!$H$3:$H$1000,"Tapilmadi")</f>
        <v>Tapilmadi</v>
      </c>
      <c r="AH128" s="179">
        <v>1</v>
      </c>
      <c r="AI128" s="180">
        <v>0</v>
      </c>
      <c r="AJ128" s="180">
        <v>20</v>
      </c>
      <c r="AK128" s="180">
        <v>30</v>
      </c>
      <c r="AL128" s="180">
        <v>0</v>
      </c>
      <c r="AM128" s="180">
        <v>289</v>
      </c>
      <c r="AN128" s="180"/>
      <c r="AO128" s="180">
        <v>289</v>
      </c>
      <c r="AP128" s="194">
        <f>Tablo7[[#This Row],[Ümumi məbləğ]]-Tablo7[[#This Row],[Ödəniş]]-Tablo7[[#This Row],[Endirim]]</f>
        <v>0</v>
      </c>
      <c r="AQ128" s="183" t="str">
        <f t="shared" si="66"/>
        <v>Mesaj</v>
      </c>
      <c r="AR128" s="183" t="str">
        <f t="shared" si="67"/>
        <v>Mesaj</v>
      </c>
      <c r="AS128" s="184" t="str">
        <f>IF(ISNA(VLOOKUP(Tablo7[[#This Row],[Sifariş kodu]],'Kəsim ve təhvil'!$E$5:$E1126,1,0)),"Qəbul edilməyib","Qəbul edilib")</f>
        <v>Qəbul edilməyib</v>
      </c>
      <c r="AT128" s="185" t="str">
        <f>IF(ISNA(VLOOKUP(Tablo7[[#This Row],[Sifariş kodu]],'Kəsim ve təhvil'!$H$5:$H1126,1,0)),"Anbardadır","Təhvil verilib")</f>
        <v>Anbardadır</v>
      </c>
      <c r="AU128" s="186" t="str">
        <f>"Hörmətli *"&amp;Tablo7[[#This Row],[Müştəri]]&amp;"*  ,Sizin *"&amp;G128&amp;"* tarixli sifarişiniz qeydə alındı. Sifariş Məbləğı *"&amp;AM128&amp;" AZN* , Qalıq *"&amp;AP128&amp;" AZN* . Hörmətlə  *AlumPro*"</f>
        <v>Hörmətli *Zaur Nehmetov*  ,Sizin *21,12,2024* tarixli sifarişiniz qeydə alındı. Sifariş Məbləğı *289 AZN* , Qalıq *0 AZN* . Hörmətlə  *AlumPro*</v>
      </c>
      <c r="AV128" s="187" t="str">
        <f>"Hörmətli *"&amp;Tablo7[[#This Row],[Müştəri]]&amp;"* , sizin *"&amp;G128&amp;"* tarixli  sifarişiniz hazırdır . Bizi seçdiyiniz üçün minnətdarıq. Hörmətlə  *AlumPro*."</f>
        <v>Hörmətli *Zaur Nehmetov* , sizin *21,12,2024* tarixli  sifarişiniz hazırdır . Bizi seçdiyiniz üçün minnətdarıq. Hörmətlə  *AlumPro*.</v>
      </c>
      <c r="AW128" s="188" t="str">
        <f t="shared" si="72"/>
        <v>Zaur</v>
      </c>
      <c r="AX128" s="253" t="str">
        <f t="shared" si="69"/>
        <v xml:space="preserve">Zaur </v>
      </c>
    </row>
    <row r="129" spans="4:50">
      <c r="D129" s="178">
        <v>203</v>
      </c>
      <c r="E129" s="179" t="s">
        <v>463</v>
      </c>
      <c r="F129" s="179" t="s">
        <v>339</v>
      </c>
      <c r="G129" s="212" t="s">
        <v>455</v>
      </c>
      <c r="H129" s="179" t="s">
        <v>464</v>
      </c>
      <c r="I129" s="179">
        <v>0</v>
      </c>
      <c r="J129" s="179"/>
      <c r="K129" s="179" t="s">
        <v>183</v>
      </c>
      <c r="L129" s="179"/>
      <c r="M129" s="179" t="str">
        <f>_xlfn.XLOOKUP(Tablo7[[#This Row],[Yan Profili]],Anbar!$J$3:$J$1000,Anbar!$H$3:$H$1000,"Tapilmadi")</f>
        <v>Tapilmadi</v>
      </c>
      <c r="N129" s="179">
        <v>3</v>
      </c>
      <c r="O129" s="179">
        <v>69</v>
      </c>
      <c r="P129" s="179" t="s">
        <v>184</v>
      </c>
      <c r="Q129" s="179" t="str">
        <f>_xlfn.XLOOKUP(Tablo7[[#This Row],[Qulp növü]],Anbar!$J$3:$J$1000,Anbar!$H$3:$H$1000,"Tapilmadi")</f>
        <v>Tapilmadi</v>
      </c>
      <c r="R129" s="179">
        <v>2</v>
      </c>
      <c r="S129" s="180">
        <v>52</v>
      </c>
      <c r="T129" s="181"/>
      <c r="U129" s="179" t="str">
        <f>_xlfn.XLOOKUP(Tablo7[[#This Row],[Petlə]],Anbar!$J$3:$J$1000,Anbar!$H$3:$H$1000,"Tapilmadi")</f>
        <v>Tapilmadi</v>
      </c>
      <c r="V129" s="179">
        <v>0</v>
      </c>
      <c r="W129" s="180">
        <v>0</v>
      </c>
      <c r="X129" s="269">
        <v>0</v>
      </c>
      <c r="Y129" s="179" t="s">
        <v>387</v>
      </c>
      <c r="Z129" s="182"/>
      <c r="AA129" s="180">
        <v>33</v>
      </c>
      <c r="AB129" s="180"/>
      <c r="AC129" s="179" t="str">
        <f>_xlfn.XLOOKUP(Tablo7[[#This Row],[Bağlantı]],Anbar!$J$3:$J$1000,Anbar!$H$3:$H$1000,"Tapilmadi")</f>
        <v>Tapilmadi</v>
      </c>
      <c r="AD129" s="179"/>
      <c r="AE129" s="180">
        <v>8</v>
      </c>
      <c r="AF129" s="180"/>
      <c r="AG129" s="179" t="str">
        <f>_xlfn.XLOOKUP(Tablo7[[#This Row],[Mexanizm]],Anbar!$J$3:$J$1000,Anbar!$H$3:$H$1000,"Tapilmadi")</f>
        <v>Tapilmadi</v>
      </c>
      <c r="AH129" s="179">
        <v>1</v>
      </c>
      <c r="AI129" s="180">
        <v>0</v>
      </c>
      <c r="AJ129" s="180">
        <v>8</v>
      </c>
      <c r="AK129" s="180">
        <v>30</v>
      </c>
      <c r="AL129" s="180">
        <v>0</v>
      </c>
      <c r="AM129" s="180">
        <v>200</v>
      </c>
      <c r="AN129" s="180"/>
      <c r="AO129" s="180">
        <v>200</v>
      </c>
      <c r="AP129" s="194">
        <f>Tablo7[[#This Row],[Ümumi məbləğ]]-Tablo7[[#This Row],[Ödəniş]]-Tablo7[[#This Row],[Endirim]]</f>
        <v>0</v>
      </c>
      <c r="AQ129" s="183" t="str">
        <f t="shared" si="66"/>
        <v>Mesaj</v>
      </c>
      <c r="AR129" s="183" t="str">
        <f t="shared" si="67"/>
        <v>Mesaj</v>
      </c>
      <c r="AS129" s="184" t="str">
        <f>IF(ISNA(VLOOKUP(Tablo7[[#This Row],[Sifariş kodu]],'Kəsim ve təhvil'!$E$5:$E1127,1,0)),"Qəbul edilməyib","Qəbul edilib")</f>
        <v>Qəbul edilməyib</v>
      </c>
      <c r="AT129" s="185" t="str">
        <f>IF(ISNA(VLOOKUP(Tablo7[[#This Row],[Sifariş kodu]],'Kəsim ve təhvil'!$H$5:$H1127,1,0)),"Anbardadır","Təhvil verilib")</f>
        <v>Anbardadır</v>
      </c>
      <c r="AU129" s="186" t="str">
        <f>"Hörmətli *"&amp;Tablo7[[#This Row],[Müştəri]]&amp;"*  ,Sizin *"&amp;G129&amp;"* tarixli sifarişiniz qeydə alındı. Sifariş Məbləğı *"&amp;AM129&amp;" AZN* , Qalıq *"&amp;AP129&amp;" AZN* . Hörmətlə  *AlumPro*"</f>
        <v>Hörmətli *Punhan Qebele*  ,Sizin *21,12,2024* tarixli sifarişiniz qeydə alındı. Sifariş Məbləğı *200 AZN* , Qalıq *0 AZN* . Hörmətlə  *AlumPro*</v>
      </c>
      <c r="AV129" s="187" t="str">
        <f>"Hörmətli *"&amp;Tablo7[[#This Row],[Müştəri]]&amp;"* , sizin *"&amp;G129&amp;"* tarixli  sifarişiniz hazırdır . Bizi seçdiyiniz üçün minnətdarıq. Hörmətlə  *AlumPro*."</f>
        <v>Hörmətli *Punhan Qebele* , sizin *21,12,2024* tarixli  sifarişiniz hazırdır . Bizi seçdiyiniz üçün minnətdarıq. Hörmətlə  *AlumPro*.</v>
      </c>
      <c r="AW129" s="188" t="str">
        <f t="shared" si="72"/>
        <v>Punhan</v>
      </c>
      <c r="AX129" s="189" t="str">
        <f t="shared" si="69"/>
        <v xml:space="preserve">Punhan </v>
      </c>
    </row>
    <row r="130" spans="4:50">
      <c r="D130" s="178">
        <v>202</v>
      </c>
      <c r="E130" s="179" t="s">
        <v>465</v>
      </c>
      <c r="F130" s="179" t="s">
        <v>339</v>
      </c>
      <c r="G130" s="212" t="s">
        <v>120</v>
      </c>
      <c r="H130" s="179" t="s">
        <v>466</v>
      </c>
      <c r="I130" s="179">
        <v>0</v>
      </c>
      <c r="J130" s="179"/>
      <c r="K130" s="179" t="s">
        <v>189</v>
      </c>
      <c r="L130" s="179"/>
      <c r="M130" s="179">
        <f>_xlfn.XLOOKUP(Tablo7[[#This Row],[Yan Profili]],Anbar!$J$3:$J$1000,Anbar!$H$3:$H$1000,"Tapilmadi")</f>
        <v>0</v>
      </c>
      <c r="N130" s="179">
        <v>3</v>
      </c>
      <c r="O130" s="179">
        <v>69</v>
      </c>
      <c r="P130" s="179" t="s">
        <v>184</v>
      </c>
      <c r="Q130" s="179" t="str">
        <f>_xlfn.XLOOKUP(Tablo7[[#This Row],[Qulp növü]],Anbar!$J$3:$J$1000,Anbar!$H$3:$H$1000,"Tapilmadi")</f>
        <v>Tapilmadi</v>
      </c>
      <c r="R130" s="179">
        <v>2</v>
      </c>
      <c r="S130" s="180">
        <v>52</v>
      </c>
      <c r="T130" s="181"/>
      <c r="U130" s="179" t="str">
        <f>_xlfn.XLOOKUP(Tablo7[[#This Row],[Petlə]],Anbar!$J$3:$J$1000,Anbar!$H$3:$H$1000,"Tapilmadi")</f>
        <v>Tapilmadi</v>
      </c>
      <c r="V130" s="179">
        <v>0</v>
      </c>
      <c r="W130" s="180">
        <v>0</v>
      </c>
      <c r="X130" s="269">
        <v>0</v>
      </c>
      <c r="Y130" s="179" t="s">
        <v>199</v>
      </c>
      <c r="Z130" s="182"/>
      <c r="AA130" s="180">
        <v>75</v>
      </c>
      <c r="AB130" s="180"/>
      <c r="AC130" s="179" t="str">
        <f>_xlfn.XLOOKUP(Tablo7[[#This Row],[Bağlantı]],Anbar!$J$3:$J$1000,Anbar!$H$3:$H$1000,"Tapilmadi")</f>
        <v>Tapilmadi</v>
      </c>
      <c r="AD130" s="179"/>
      <c r="AE130" s="180">
        <v>8</v>
      </c>
      <c r="AF130" s="180"/>
      <c r="AG130" s="179" t="str">
        <f>_xlfn.XLOOKUP(Tablo7[[#This Row],[Mexanizm]],Anbar!$J$3:$J$1000,Anbar!$H$3:$H$1000,"Tapilmadi")</f>
        <v>Tapilmadi</v>
      </c>
      <c r="AH130" s="179">
        <v>1</v>
      </c>
      <c r="AI130" s="180">
        <v>0</v>
      </c>
      <c r="AJ130" s="180">
        <v>8</v>
      </c>
      <c r="AK130" s="180">
        <v>30</v>
      </c>
      <c r="AL130" s="180">
        <v>0</v>
      </c>
      <c r="AM130" s="180">
        <v>242</v>
      </c>
      <c r="AN130" s="180"/>
      <c r="AO130" s="180">
        <v>242</v>
      </c>
      <c r="AP130" s="194">
        <f>Tablo7[[#This Row],[Ümumi məbləğ]]-Tablo7[[#This Row],[Ödəniş]]-Tablo7[[#This Row],[Endirim]]</f>
        <v>0</v>
      </c>
      <c r="AQ130" s="183" t="str">
        <f t="shared" si="66"/>
        <v>Mesaj</v>
      </c>
      <c r="AR130" s="183" t="str">
        <f t="shared" si="67"/>
        <v>Mesaj</v>
      </c>
      <c r="AS130" s="184" t="str">
        <f>IF(ISNA(VLOOKUP(Tablo7[[#This Row],[Sifariş kodu]],'Kəsim ve təhvil'!$E$5:$E1128,1,0)),"Qəbul edilməyib","Qəbul edilib")</f>
        <v>Qəbul edilməyib</v>
      </c>
      <c r="AT130" s="185" t="str">
        <f>IF(ISNA(VLOOKUP(Tablo7[[#This Row],[Sifariş kodu]],'Kəsim ve təhvil'!$H$5:$H1128,1,0)),"Anbardadır","Təhvil verilib")</f>
        <v>Anbardadır</v>
      </c>
      <c r="AU130" s="186" t="str">
        <f>"Hörmətli *"&amp;Tablo7[[#This Row],[Müştəri]]&amp;"*  ,Sizin *"&amp;G130&amp;"* tarixli sifarişiniz qeydə alındı. Sifariş Məbləğı *"&amp;AM130&amp;" AZN* , Qalıq *"&amp;AP130&amp;" AZN* . Hörmətlə  *AlumPro*"</f>
        <v>Hörmətli *Zaur Oguz*  ,Sizin *20,12,2024* tarixli sifarişiniz qeydə alındı. Sifariş Məbləğı *242 AZN* , Qalıq *0 AZN* . Hörmətlə  *AlumPro*</v>
      </c>
      <c r="AV130" s="187" t="str">
        <f>"Hörmətli *"&amp;Tablo7[[#This Row],[Müştəri]]&amp;"* , sizin *"&amp;G130&amp;"* tarixli  sifarişiniz hazırdır . Bizi seçdiyiniz üçün minnətdarıq. Hörmətlə  *AlumPro*."</f>
        <v>Hörmətli *Zaur Oguz* , sizin *20,12,2024* tarixli  sifarişiniz hazırdır . Bizi seçdiyiniz üçün minnətdarıq. Hörmətlə  *AlumPro*.</v>
      </c>
      <c r="AW130" s="188" t="str">
        <f t="shared" si="72"/>
        <v>Zaur</v>
      </c>
      <c r="AX130" s="189" t="str">
        <f t="shared" si="69"/>
        <v xml:space="preserve">Zaur </v>
      </c>
    </row>
    <row r="131" spans="4:50">
      <c r="D131" s="178">
        <v>201</v>
      </c>
      <c r="E131" s="179" t="s">
        <v>467</v>
      </c>
      <c r="F131" s="179" t="s">
        <v>339</v>
      </c>
      <c r="G131" s="212" t="s">
        <v>120</v>
      </c>
      <c r="H131" s="179" t="s">
        <v>468</v>
      </c>
      <c r="I131" s="179" t="s">
        <v>469</v>
      </c>
      <c r="J131" s="179"/>
      <c r="K131" s="179" t="s">
        <v>470</v>
      </c>
      <c r="L131" s="179"/>
      <c r="M131" s="179" t="str">
        <f>_xlfn.XLOOKUP(Tablo7[[#This Row],[Yan Profili]],Anbar!$J$3:$J$1000,Anbar!$H$3:$H$1000,"Tapilmadi")</f>
        <v>Tapilmadi</v>
      </c>
      <c r="N131" s="179">
        <v>6</v>
      </c>
      <c r="O131" s="179">
        <v>300</v>
      </c>
      <c r="P131" s="179" t="s">
        <v>471</v>
      </c>
      <c r="Q131" s="179" t="str">
        <f>_xlfn.XLOOKUP(Tablo7[[#This Row],[Qulp növü]],Anbar!$J$3:$J$1000,Anbar!$H$3:$H$1000,"Tapilmadi")</f>
        <v>Tapilmadi</v>
      </c>
      <c r="R131" s="179">
        <v>4</v>
      </c>
      <c r="S131" s="180">
        <v>400</v>
      </c>
      <c r="T131" s="181"/>
      <c r="U131" s="179" t="str">
        <f>_xlfn.XLOOKUP(Tablo7[[#This Row],[Petlə]],Anbar!$J$3:$J$1000,Anbar!$H$3:$H$1000,"Tapilmadi")</f>
        <v>Tapilmadi</v>
      </c>
      <c r="V131" s="179">
        <v>4</v>
      </c>
      <c r="W131" s="180">
        <v>400</v>
      </c>
      <c r="X131" s="269">
        <v>0</v>
      </c>
      <c r="Y131" s="179" t="s">
        <v>406</v>
      </c>
      <c r="Z131" s="182"/>
      <c r="AA131" s="180">
        <v>237</v>
      </c>
      <c r="AB131" s="180"/>
      <c r="AC131" s="179" t="str">
        <f>_xlfn.XLOOKUP(Tablo7[[#This Row],[Bağlantı]],Anbar!$J$3:$J$1000,Anbar!$H$3:$H$1000,"Tapilmadi")</f>
        <v>Tapilmadi</v>
      </c>
      <c r="AD131" s="179"/>
      <c r="AE131" s="180">
        <v>80</v>
      </c>
      <c r="AF131" s="180"/>
      <c r="AG131" s="179" t="str">
        <f>_xlfn.XLOOKUP(Tablo7[[#This Row],[Mexanizm]],Anbar!$J$3:$J$1000,Anbar!$H$3:$H$1000,"Tapilmadi")</f>
        <v>Tapilmadi</v>
      </c>
      <c r="AH131" s="179">
        <v>1</v>
      </c>
      <c r="AI131" s="180">
        <v>0</v>
      </c>
      <c r="AJ131" s="180">
        <v>0</v>
      </c>
      <c r="AK131" s="180">
        <v>200</v>
      </c>
      <c r="AL131" s="180">
        <v>0</v>
      </c>
      <c r="AM131" s="180">
        <v>1617</v>
      </c>
      <c r="AN131" s="180"/>
      <c r="AO131" s="180">
        <v>0</v>
      </c>
      <c r="AP131" s="194">
        <f>Tablo7[[#This Row],[Ümumi məbləğ]]-Tablo7[[#This Row],[Ödəniş]]-Tablo7[[#This Row],[Endirim]]</f>
        <v>1617</v>
      </c>
      <c r="AQ131" s="183" t="str">
        <f t="shared" ref="AQ131:AQ194" si="73">HYPERLINK("https://web.whatsapp.com/send?phone="&amp;I131&amp;"&amp;text="&amp;AU131,"Mesaj")</f>
        <v>Mesaj</v>
      </c>
      <c r="AR131" s="183" t="str">
        <f t="shared" ref="AR131:AR194" si="74">HYPERLINK("https://web.whatsapp.com/send?phone="&amp;I131&amp;"&amp;text="&amp;AV131,"Mesaj")</f>
        <v>Mesaj</v>
      </c>
      <c r="AS131" s="184" t="str">
        <f>IF(ISNA(VLOOKUP(Tablo7[[#This Row],[Sifariş kodu]],'Kəsim ve təhvil'!$E$5:$E1129,1,0)),"Qəbul edilməyib","Qəbul edilib")</f>
        <v>Qəbul edilməyib</v>
      </c>
      <c r="AT131" s="185" t="str">
        <f>IF(ISNA(VLOOKUP(Tablo7[[#This Row],[Sifariş kodu]],'Kəsim ve təhvil'!$H$5:$H1129,1,0)),"Anbardadır","Təhvil verilib")</f>
        <v>Anbardadır</v>
      </c>
      <c r="AU131" s="186" t="str">
        <f>"Hörmətli *"&amp;Tablo7[[#This Row],[Müştəri]]&amp;"*  ,Sizin *"&amp;G131&amp;"* tarixli sifarişiniz qeydə alındı. Sifariş Məbləğı *"&amp;AM131&amp;" AZN* , Qalıq *"&amp;AP131&amp;" AZN* . Hörmətlə  *AlumPro*"</f>
        <v>Hörmətli *Royal Legno Mebel*  ,Sizin *20,12,2024* tarixli sifarişiniz qeydə alındı. Sifariş Məbləğı *1617 AZN* , Qalıq *1617 AZN* . Hörmətlə  *AlumPro*</v>
      </c>
      <c r="AV131" s="187" t="str">
        <f>"Hörmətli *"&amp;Tablo7[[#This Row],[Müştəri]]&amp;"* , sizin *"&amp;G131&amp;"* tarixli  sifarişiniz hazırdır . Bizi seçdiyiniz üçün minnətdarıq. Hörmətlə  *AlumPro*."</f>
        <v>Hörmətli *Royal Legno Mebel* , sizin *20,12,2024* tarixli  sifarişiniz hazırdır . Bizi seçdiyiniz üçün minnətdarıq. Hörmətlə  *AlumPro*.</v>
      </c>
      <c r="AW131" s="188" t="str">
        <f t="shared" si="72"/>
        <v>Royal</v>
      </c>
      <c r="AX131" s="189" t="str">
        <f t="shared" ref="AX131:AX194" si="75">LEFT(H131,FIND("*",SUBSTITUTE(H131," ","*",1)))</f>
        <v xml:space="preserve">Royal </v>
      </c>
    </row>
    <row r="132" spans="4:50">
      <c r="D132" s="178">
        <v>200</v>
      </c>
      <c r="E132" s="179" t="s">
        <v>472</v>
      </c>
      <c r="F132" s="179" t="s">
        <v>339</v>
      </c>
      <c r="G132" s="212" t="s">
        <v>120</v>
      </c>
      <c r="H132" s="179" t="s">
        <v>468</v>
      </c>
      <c r="I132" s="179" t="s">
        <v>469</v>
      </c>
      <c r="J132" s="179"/>
      <c r="K132" s="179" t="s">
        <v>405</v>
      </c>
      <c r="L132" s="179"/>
      <c r="M132" s="179" t="str">
        <f>_xlfn.XLOOKUP(Tablo7[[#This Row],[Yan Profili]],Anbar!$J$3:$J$1000,Anbar!$H$3:$H$1000,"Tapilmadi")</f>
        <v>Tapilmadi</v>
      </c>
      <c r="N132" s="179">
        <v>1</v>
      </c>
      <c r="O132" s="179">
        <v>23</v>
      </c>
      <c r="P132" s="179" t="s">
        <v>184</v>
      </c>
      <c r="Q132" s="179" t="str">
        <f>_xlfn.XLOOKUP(Tablo7[[#This Row],[Qulp növü]],Anbar!$J$3:$J$1000,Anbar!$H$3:$H$1000,"Tapilmadi")</f>
        <v>Tapilmadi</v>
      </c>
      <c r="R132" s="179">
        <v>1</v>
      </c>
      <c r="S132" s="180">
        <v>26</v>
      </c>
      <c r="T132" s="181"/>
      <c r="U132" s="179" t="str">
        <f>_xlfn.XLOOKUP(Tablo7[[#This Row],[Petlə]],Anbar!$J$3:$J$1000,Anbar!$H$3:$H$1000,"Tapilmadi")</f>
        <v>Tapilmadi</v>
      </c>
      <c r="V132" s="179">
        <v>0</v>
      </c>
      <c r="W132" s="180">
        <v>0</v>
      </c>
      <c r="X132" s="269">
        <v>0</v>
      </c>
      <c r="Y132" s="179" t="s">
        <v>473</v>
      </c>
      <c r="Z132" s="182"/>
      <c r="AA132" s="180">
        <v>84</v>
      </c>
      <c r="AB132" s="180"/>
      <c r="AC132" s="179" t="str">
        <f>_xlfn.XLOOKUP(Tablo7[[#This Row],[Bağlantı]],Anbar!$J$3:$J$1000,Anbar!$H$3:$H$1000,"Tapilmadi")</f>
        <v>Tapilmadi</v>
      </c>
      <c r="AD132" s="179"/>
      <c r="AE132" s="180">
        <v>4</v>
      </c>
      <c r="AF132" s="180"/>
      <c r="AG132" s="179" t="str">
        <f>_xlfn.XLOOKUP(Tablo7[[#This Row],[Mexanizm]],Anbar!$J$3:$J$1000,Anbar!$H$3:$H$1000,"Tapilmadi")</f>
        <v>Tapilmadi</v>
      </c>
      <c r="AH132" s="179">
        <v>1</v>
      </c>
      <c r="AI132" s="180">
        <v>0</v>
      </c>
      <c r="AJ132" s="180">
        <v>4</v>
      </c>
      <c r="AK132" s="180">
        <v>15</v>
      </c>
      <c r="AL132" s="180">
        <v>0</v>
      </c>
      <c r="AM132" s="180">
        <v>156</v>
      </c>
      <c r="AN132" s="180"/>
      <c r="AO132" s="180">
        <v>0</v>
      </c>
      <c r="AP132" s="194">
        <f>Tablo7[[#This Row],[Ümumi məbləğ]]-Tablo7[[#This Row],[Ödəniş]]-Tablo7[[#This Row],[Endirim]]</f>
        <v>156</v>
      </c>
      <c r="AQ132" s="183" t="str">
        <f t="shared" si="73"/>
        <v>Mesaj</v>
      </c>
      <c r="AR132" s="183" t="str">
        <f t="shared" si="74"/>
        <v>Mesaj</v>
      </c>
      <c r="AS132" s="184" t="str">
        <f>IF(ISNA(VLOOKUP(Tablo7[[#This Row],[Sifariş kodu]],'Kəsim ve təhvil'!$E$5:$E1130,1,0)),"Qəbul edilməyib","Qəbul edilib")</f>
        <v>Qəbul edilməyib</v>
      </c>
      <c r="AT132" s="185" t="str">
        <f>IF(ISNA(VLOOKUP(Tablo7[[#This Row],[Sifariş kodu]],'Kəsim ve təhvil'!$H$5:$H1130,1,0)),"Anbardadır","Təhvil verilib")</f>
        <v>Anbardadır</v>
      </c>
      <c r="AU132" s="186" t="str">
        <f>"Hörmətli *"&amp;Tablo7[[#This Row],[Müştəri]]&amp;"*  ,Sizin *"&amp;G132&amp;"* tarixli sifarişiniz qeydə alındı. Sifariş Məbləğı *"&amp;AM132&amp;" AZN* , Qalıq *"&amp;AP132&amp;" AZN* . Hörmətlə  *AlumPro*"</f>
        <v>Hörmətli *Royal Legno Mebel*  ,Sizin *20,12,2024* tarixli sifarişiniz qeydə alındı. Sifariş Məbləğı *156 AZN* , Qalıq *156 AZN* . Hörmətlə  *AlumPro*</v>
      </c>
      <c r="AV132" s="187" t="str">
        <f>"Hörmətli *"&amp;Tablo7[[#This Row],[Müştəri]]&amp;"* , sizin *"&amp;G132&amp;"* tarixli  sifarişiniz hazırdır . Bizi seçdiyiniz üçün minnətdarıq. Hörmətlə  *AlumPro*."</f>
        <v>Hörmətli *Royal Legno Mebel* , sizin *20,12,2024* tarixli  sifarişiniz hazırdır . Bizi seçdiyiniz üçün minnətdarıq. Hörmətlə  *AlumPro*.</v>
      </c>
      <c r="AW132" s="188" t="str">
        <f t="shared" si="72"/>
        <v>Royal</v>
      </c>
      <c r="AX132" s="189" t="str">
        <f t="shared" si="75"/>
        <v xml:space="preserve">Royal </v>
      </c>
    </row>
    <row r="133" spans="4:50">
      <c r="D133" s="178">
        <v>199</v>
      </c>
      <c r="E133" s="179" t="s">
        <v>474</v>
      </c>
      <c r="F133" s="179" t="s">
        <v>339</v>
      </c>
      <c r="G133" s="212" t="s">
        <v>120</v>
      </c>
      <c r="H133" s="179" t="s">
        <v>468</v>
      </c>
      <c r="I133" s="179" t="s">
        <v>469</v>
      </c>
      <c r="J133" s="179"/>
      <c r="K133" s="179" t="s">
        <v>226</v>
      </c>
      <c r="L133" s="179"/>
      <c r="M133" s="179" t="str">
        <f>_xlfn.XLOOKUP(Tablo7[[#This Row],[Yan Profili]],Anbar!$J$3:$J$1000,Anbar!$H$3:$H$1000,"Tapilmadi")</f>
        <v>Tapilmadi</v>
      </c>
      <c r="N133" s="179">
        <v>1</v>
      </c>
      <c r="O133" s="179">
        <v>23</v>
      </c>
      <c r="P133" s="179" t="s">
        <v>184</v>
      </c>
      <c r="Q133" s="179" t="str">
        <f>_xlfn.XLOOKUP(Tablo7[[#This Row],[Qulp növü]],Anbar!$J$3:$J$1000,Anbar!$H$3:$H$1000,"Tapilmadi")</f>
        <v>Tapilmadi</v>
      </c>
      <c r="R133" s="179">
        <v>1</v>
      </c>
      <c r="S133" s="180">
        <v>26</v>
      </c>
      <c r="T133" s="181" t="s">
        <v>196</v>
      </c>
      <c r="U133" s="179" t="str">
        <f>_xlfn.XLOOKUP(Tablo7[[#This Row],[Petlə]],Anbar!$J$3:$J$1000,Anbar!$H$3:$H$1000,"Tapilmadi")</f>
        <v>Tapilmadi</v>
      </c>
      <c r="V133" s="179">
        <v>4</v>
      </c>
      <c r="W133" s="180">
        <v>16</v>
      </c>
      <c r="X133" s="269">
        <v>0</v>
      </c>
      <c r="Y133" s="179" t="s">
        <v>473</v>
      </c>
      <c r="Z133" s="182"/>
      <c r="AA133" s="180">
        <v>43</v>
      </c>
      <c r="AB133" s="180"/>
      <c r="AC133" s="179" t="str">
        <f>_xlfn.XLOOKUP(Tablo7[[#This Row],[Bağlantı]],Anbar!$J$3:$J$1000,Anbar!$H$3:$H$1000,"Tapilmadi")</f>
        <v>Tapilmadi</v>
      </c>
      <c r="AD133" s="179"/>
      <c r="AE133" s="180">
        <v>8</v>
      </c>
      <c r="AF133" s="180"/>
      <c r="AG133" s="179" t="str">
        <f>_xlfn.XLOOKUP(Tablo7[[#This Row],[Mexanizm]],Anbar!$J$3:$J$1000,Anbar!$H$3:$H$1000,"Tapilmadi")</f>
        <v>Tapilmadi</v>
      </c>
      <c r="AH133" s="179">
        <v>1</v>
      </c>
      <c r="AI133" s="180">
        <v>0</v>
      </c>
      <c r="AJ133" s="180">
        <v>8</v>
      </c>
      <c r="AK133" s="180">
        <v>15</v>
      </c>
      <c r="AL133" s="180">
        <v>0</v>
      </c>
      <c r="AM133" s="180">
        <v>139</v>
      </c>
      <c r="AN133" s="180"/>
      <c r="AO133" s="180">
        <v>0</v>
      </c>
      <c r="AP133" s="194">
        <f>Tablo7[[#This Row],[Ümumi məbləğ]]-Tablo7[[#This Row],[Ödəniş]]-Tablo7[[#This Row],[Endirim]]</f>
        <v>139</v>
      </c>
      <c r="AQ133" s="183" t="str">
        <f t="shared" si="73"/>
        <v>Mesaj</v>
      </c>
      <c r="AR133" s="183" t="str">
        <f t="shared" si="74"/>
        <v>Mesaj</v>
      </c>
      <c r="AS133" s="184" t="str">
        <f>IF(ISNA(VLOOKUP(Tablo7[[#This Row],[Sifariş kodu]],'Kəsim ve təhvil'!$E$5:$E1131,1,0)),"Qəbul edilməyib","Qəbul edilib")</f>
        <v>Qəbul edilməyib</v>
      </c>
      <c r="AT133" s="185" t="str">
        <f>IF(ISNA(VLOOKUP(Tablo7[[#This Row],[Sifariş kodu]],'Kəsim ve təhvil'!$H$5:$H1131,1,0)),"Anbardadır","Təhvil verilib")</f>
        <v>Anbardadır</v>
      </c>
      <c r="AU133" s="186" t="str">
        <f>"Hörmətli *"&amp;Tablo7[[#This Row],[Müştəri]]&amp;"*  ,Sizin *"&amp;G133&amp;"* tarixli sifarişiniz qeydə alındı. Sifariş Məbləğı *"&amp;AM133&amp;" AZN* , Qalıq *"&amp;AP133&amp;" AZN* . Hörmətlə  *AlumPro*"</f>
        <v>Hörmətli *Royal Legno Mebel*  ,Sizin *20,12,2024* tarixli sifarişiniz qeydə alındı. Sifariş Məbləğı *139 AZN* , Qalıq *139 AZN* . Hörmətlə  *AlumPro*</v>
      </c>
      <c r="AV133" s="187" t="str">
        <f>"Hörmətli *"&amp;Tablo7[[#This Row],[Müştəri]]&amp;"* , sizin *"&amp;G133&amp;"* tarixli  sifarişiniz hazırdır . Bizi seçdiyiniz üçün minnətdarıq. Hörmətlə  *AlumPro*."</f>
        <v>Hörmətli *Royal Legno Mebel* , sizin *20,12,2024* tarixli  sifarişiniz hazırdır . Bizi seçdiyiniz üçün minnətdarıq. Hörmətlə  *AlumPro*.</v>
      </c>
      <c r="AW133" s="188" t="str">
        <f t="shared" ref="AW133:AW195" si="76">SUBSTITUTE(AX133," ","")</f>
        <v>Royal</v>
      </c>
      <c r="AX133" s="189" t="str">
        <f t="shared" si="75"/>
        <v xml:space="preserve">Royal </v>
      </c>
    </row>
    <row r="134" spans="4:50">
      <c r="D134" s="178">
        <v>198</v>
      </c>
      <c r="E134" s="179" t="s">
        <v>475</v>
      </c>
      <c r="F134" s="179" t="s">
        <v>339</v>
      </c>
      <c r="G134" s="212" t="s">
        <v>120</v>
      </c>
      <c r="H134" s="179" t="s">
        <v>468</v>
      </c>
      <c r="I134" s="179" t="s">
        <v>469</v>
      </c>
      <c r="J134" s="179"/>
      <c r="K134" s="179" t="s">
        <v>226</v>
      </c>
      <c r="L134" s="179"/>
      <c r="M134" s="179" t="str">
        <f>_xlfn.XLOOKUP(Tablo7[[#This Row],[Yan Profili]],Anbar!$J$3:$J$1000,Anbar!$H$3:$H$1000,"Tapilmadi")</f>
        <v>Tapilmadi</v>
      </c>
      <c r="N134" s="179">
        <v>1</v>
      </c>
      <c r="O134" s="179">
        <v>23</v>
      </c>
      <c r="P134" s="179" t="s">
        <v>184</v>
      </c>
      <c r="Q134" s="179" t="str">
        <f>_xlfn.XLOOKUP(Tablo7[[#This Row],[Qulp növü]],Anbar!$J$3:$J$1000,Anbar!$H$3:$H$1000,"Tapilmadi")</f>
        <v>Tapilmadi</v>
      </c>
      <c r="R134" s="179">
        <v>1</v>
      </c>
      <c r="S134" s="180">
        <v>26</v>
      </c>
      <c r="T134" s="181" t="s">
        <v>196</v>
      </c>
      <c r="U134" s="179" t="str">
        <f>_xlfn.XLOOKUP(Tablo7[[#This Row],[Petlə]],Anbar!$J$3:$J$1000,Anbar!$H$3:$H$1000,"Tapilmadi")</f>
        <v>Tapilmadi</v>
      </c>
      <c r="V134" s="179">
        <v>2</v>
      </c>
      <c r="W134" s="180">
        <v>8</v>
      </c>
      <c r="X134" s="269">
        <v>0</v>
      </c>
      <c r="Y134" s="179" t="s">
        <v>199</v>
      </c>
      <c r="Z134" s="182"/>
      <c r="AA134" s="180">
        <v>8</v>
      </c>
      <c r="AB134" s="180"/>
      <c r="AC134" s="179" t="str">
        <f>_xlfn.XLOOKUP(Tablo7[[#This Row],[Bağlantı]],Anbar!$J$3:$J$1000,Anbar!$H$3:$H$1000,"Tapilmadi")</f>
        <v>Tapilmadi</v>
      </c>
      <c r="AD134" s="179"/>
      <c r="AE134" s="180">
        <v>8</v>
      </c>
      <c r="AF134" s="180"/>
      <c r="AG134" s="179" t="str">
        <f>_xlfn.XLOOKUP(Tablo7[[#This Row],[Mexanizm]],Anbar!$J$3:$J$1000,Anbar!$H$3:$H$1000,"Tapilmadi")</f>
        <v>Tapilmadi</v>
      </c>
      <c r="AH134" s="179">
        <v>1</v>
      </c>
      <c r="AI134" s="180">
        <v>0</v>
      </c>
      <c r="AJ134" s="180">
        <v>4</v>
      </c>
      <c r="AK134" s="180">
        <v>10</v>
      </c>
      <c r="AL134" s="180">
        <v>0</v>
      </c>
      <c r="AM134" s="180">
        <v>87</v>
      </c>
      <c r="AN134" s="180"/>
      <c r="AO134" s="180">
        <v>0</v>
      </c>
      <c r="AP134" s="194">
        <f>Tablo7[[#This Row],[Ümumi məbləğ]]-Tablo7[[#This Row],[Ödəniş]]-Tablo7[[#This Row],[Endirim]]</f>
        <v>87</v>
      </c>
      <c r="AQ134" s="183" t="str">
        <f t="shared" si="73"/>
        <v>Mesaj</v>
      </c>
      <c r="AR134" s="183" t="str">
        <f t="shared" si="74"/>
        <v>Mesaj</v>
      </c>
      <c r="AS134" s="184" t="str">
        <f>IF(ISNA(VLOOKUP(Tablo7[[#This Row],[Sifariş kodu]],'Kəsim ve təhvil'!$E$5:$E1132,1,0)),"Qəbul edilməyib","Qəbul edilib")</f>
        <v>Qəbul edilməyib</v>
      </c>
      <c r="AT134" s="185" t="str">
        <f>IF(ISNA(VLOOKUP(Tablo7[[#This Row],[Sifariş kodu]],'Kəsim ve təhvil'!$H$5:$H1132,1,0)),"Anbardadır","Təhvil verilib")</f>
        <v>Anbardadır</v>
      </c>
      <c r="AU134" s="186" t="str">
        <f>"Hörmətli *"&amp;Tablo7[[#This Row],[Müştəri]]&amp;"*  ,Sizin *"&amp;G134&amp;"* tarixli sifarişiniz qeydə alındı. Sifariş Məbləğı *"&amp;AM134&amp;" AZN* , Qalıq *"&amp;AP134&amp;" AZN* . Hörmətlə  *AlumPro*"</f>
        <v>Hörmətli *Royal Legno Mebel*  ,Sizin *20,12,2024* tarixli sifarişiniz qeydə alındı. Sifariş Məbləğı *87 AZN* , Qalıq *87 AZN* . Hörmətlə  *AlumPro*</v>
      </c>
      <c r="AV134" s="187" t="str">
        <f>"Hörmətli *"&amp;Tablo7[[#This Row],[Müştəri]]&amp;"* , sizin *"&amp;G134&amp;"* tarixli  sifarişiniz hazırdır . Bizi seçdiyiniz üçün minnətdarıq. Hörmətlə  *AlumPro*."</f>
        <v>Hörmətli *Royal Legno Mebel* , sizin *20,12,2024* tarixli  sifarişiniz hazırdır . Bizi seçdiyiniz üçün minnətdarıq. Hörmətlə  *AlumPro*.</v>
      </c>
      <c r="AW134" s="188" t="str">
        <f t="shared" si="76"/>
        <v>Royal</v>
      </c>
      <c r="AX134" s="189" t="str">
        <f t="shared" si="75"/>
        <v xml:space="preserve">Royal </v>
      </c>
    </row>
    <row r="135" spans="4:50">
      <c r="D135" s="178">
        <v>197</v>
      </c>
      <c r="E135" s="179" t="s">
        <v>476</v>
      </c>
      <c r="F135" s="179" t="s">
        <v>339</v>
      </c>
      <c r="G135" s="212" t="s">
        <v>120</v>
      </c>
      <c r="H135" s="179" t="s">
        <v>477</v>
      </c>
      <c r="I135" s="179">
        <v>0</v>
      </c>
      <c r="J135" s="179"/>
      <c r="K135" s="179" t="s">
        <v>183</v>
      </c>
      <c r="L135" s="179"/>
      <c r="M135" s="179" t="str">
        <f>_xlfn.XLOOKUP(Tablo7[[#This Row],[Yan Profili]],Anbar!$J$3:$J$1000,Anbar!$H$3:$H$1000,"Tapilmadi")</f>
        <v>Tapilmadi</v>
      </c>
      <c r="N135" s="179">
        <v>2</v>
      </c>
      <c r="O135" s="179">
        <v>46</v>
      </c>
      <c r="P135" s="179" t="s">
        <v>195</v>
      </c>
      <c r="Q135" s="179" t="str">
        <f>_xlfn.XLOOKUP(Tablo7[[#This Row],[Qulp növü]],Anbar!$J$3:$J$1000,Anbar!$H$3:$H$1000,"Tapilmadi")</f>
        <v>Tapilmadi</v>
      </c>
      <c r="R135" s="179">
        <v>0</v>
      </c>
      <c r="S135" s="180">
        <v>0</v>
      </c>
      <c r="T135" s="181"/>
      <c r="U135" s="179" t="str">
        <f>_xlfn.XLOOKUP(Tablo7[[#This Row],[Petlə]],Anbar!$J$3:$J$1000,Anbar!$H$3:$H$1000,"Tapilmadi")</f>
        <v>Tapilmadi</v>
      </c>
      <c r="V135" s="179">
        <v>0</v>
      </c>
      <c r="W135" s="180">
        <v>0</v>
      </c>
      <c r="X135" s="269">
        <v>0</v>
      </c>
      <c r="Y135" s="179" t="s">
        <v>387</v>
      </c>
      <c r="Z135" s="182"/>
      <c r="AA135" s="180">
        <v>11</v>
      </c>
      <c r="AB135" s="180"/>
      <c r="AC135" s="179" t="str">
        <f>_xlfn.XLOOKUP(Tablo7[[#This Row],[Bağlantı]],Anbar!$J$3:$J$1000,Anbar!$H$3:$H$1000,"Tapilmadi")</f>
        <v>Tapilmadi</v>
      </c>
      <c r="AD135" s="179"/>
      <c r="AE135" s="180">
        <v>4</v>
      </c>
      <c r="AF135" s="180"/>
      <c r="AG135" s="179" t="str">
        <f>_xlfn.XLOOKUP(Tablo7[[#This Row],[Mexanizm]],Anbar!$J$3:$J$1000,Anbar!$H$3:$H$1000,"Tapilmadi")</f>
        <v>Tapilmadi</v>
      </c>
      <c r="AH135" s="179">
        <v>1</v>
      </c>
      <c r="AI135" s="180">
        <v>0</v>
      </c>
      <c r="AJ135" s="180">
        <v>4</v>
      </c>
      <c r="AK135" s="180">
        <v>15</v>
      </c>
      <c r="AL135" s="180">
        <v>0</v>
      </c>
      <c r="AM135" s="180">
        <v>80</v>
      </c>
      <c r="AN135" s="180"/>
      <c r="AO135" s="180">
        <v>80</v>
      </c>
      <c r="AP135" s="194">
        <f>Tablo7[[#This Row],[Ümumi məbləğ]]-Tablo7[[#This Row],[Ödəniş]]-Tablo7[[#This Row],[Endirim]]</f>
        <v>0</v>
      </c>
      <c r="AQ135" s="183" t="str">
        <f t="shared" si="73"/>
        <v>Mesaj</v>
      </c>
      <c r="AR135" s="183" t="str">
        <f t="shared" si="74"/>
        <v>Mesaj</v>
      </c>
      <c r="AS135" s="184" t="str">
        <f>IF(ISNA(VLOOKUP(Tablo7[[#This Row],[Sifariş kodu]],'Kəsim ve təhvil'!$E$5:$E1133,1,0)),"Qəbul edilməyib","Qəbul edilib")</f>
        <v>Qəbul edilməyib</v>
      </c>
      <c r="AT135" s="185" t="str">
        <f>IF(ISNA(VLOOKUP(Tablo7[[#This Row],[Sifariş kodu]],'Kəsim ve təhvil'!$H$5:$H1133,1,0)),"Anbardadır","Təhvil verilib")</f>
        <v>Anbardadır</v>
      </c>
      <c r="AU135" s="186" t="str">
        <f>"Hörmətli *"&amp;Tablo7[[#This Row],[Müştəri]]&amp;"*  ,Sizin *"&amp;G135&amp;"* tarixli sifarişiniz qeydə alındı. Sifariş Məbləğı *"&amp;AM135&amp;" AZN* , Qalıq *"&amp;AP135&amp;" AZN* . Hörmətlə  *AlumPro*"</f>
        <v>Hörmətli *Turan Bayramov*  ,Sizin *20,12,2024* tarixli sifarişiniz qeydə alındı. Sifariş Məbləğı *80 AZN* , Qalıq *0 AZN* . Hörmətlə  *AlumPro*</v>
      </c>
      <c r="AV135" s="187" t="str">
        <f>"Hörmətli *"&amp;Tablo7[[#This Row],[Müştəri]]&amp;"* , sizin *"&amp;G135&amp;"* tarixli  sifarişiniz hazırdır . Bizi seçdiyiniz üçün minnətdarıq. Hörmətlə  *AlumPro*."</f>
        <v>Hörmətli *Turan Bayramov* , sizin *20,12,2024* tarixli  sifarişiniz hazırdır . Bizi seçdiyiniz üçün minnətdarıq. Hörmətlə  *AlumPro*.</v>
      </c>
      <c r="AW135" s="188" t="str">
        <f t="shared" si="76"/>
        <v>Turan</v>
      </c>
      <c r="AX135" s="189" t="str">
        <f t="shared" si="75"/>
        <v xml:space="preserve">Turan </v>
      </c>
    </row>
    <row r="136" spans="4:50">
      <c r="D136" s="178">
        <v>196</v>
      </c>
      <c r="E136" s="179" t="s">
        <v>478</v>
      </c>
      <c r="F136" s="179" t="s">
        <v>339</v>
      </c>
      <c r="G136" s="212" t="s">
        <v>120</v>
      </c>
      <c r="H136" s="179" t="s">
        <v>479</v>
      </c>
      <c r="I136" s="179" t="s">
        <v>480</v>
      </c>
      <c r="J136" s="179"/>
      <c r="K136" s="179" t="s">
        <v>226</v>
      </c>
      <c r="L136" s="179"/>
      <c r="M136" s="179" t="str">
        <f>_xlfn.XLOOKUP(Tablo7[[#This Row],[Yan Profili]],Anbar!$J$3:$J$1000,Anbar!$H$3:$H$1000,"Tapilmadi")</f>
        <v>Tapilmadi</v>
      </c>
      <c r="N136" s="179">
        <v>6</v>
      </c>
      <c r="O136" s="179">
        <v>138</v>
      </c>
      <c r="P136" s="179" t="s">
        <v>184</v>
      </c>
      <c r="Q136" s="179" t="str">
        <f>_xlfn.XLOOKUP(Tablo7[[#This Row],[Qulp növü]],Anbar!$J$3:$J$1000,Anbar!$H$3:$H$1000,"Tapilmadi")</f>
        <v>Tapilmadi</v>
      </c>
      <c r="R136" s="179">
        <v>4</v>
      </c>
      <c r="S136" s="180">
        <v>104</v>
      </c>
      <c r="T136" s="181" t="s">
        <v>196</v>
      </c>
      <c r="U136" s="179" t="str">
        <f>_xlfn.XLOOKUP(Tablo7[[#This Row],[Petlə]],Anbar!$J$3:$J$1000,Anbar!$H$3:$H$1000,"Tapilmadi")</f>
        <v>Tapilmadi</v>
      </c>
      <c r="V136" s="179">
        <v>20</v>
      </c>
      <c r="W136" s="180">
        <v>30</v>
      </c>
      <c r="X136" s="269">
        <v>0</v>
      </c>
      <c r="Y136" s="179" t="s">
        <v>199</v>
      </c>
      <c r="Z136" s="182"/>
      <c r="AA136" s="180">
        <v>128</v>
      </c>
      <c r="AB136" s="180"/>
      <c r="AC136" s="179" t="str">
        <f>_xlfn.XLOOKUP(Tablo7[[#This Row],[Bağlantı]],Anbar!$J$3:$J$1000,Anbar!$H$3:$H$1000,"Tapilmadi")</f>
        <v>Tapilmadi</v>
      </c>
      <c r="AD136" s="179"/>
      <c r="AE136" s="180">
        <v>16</v>
      </c>
      <c r="AF136" s="180"/>
      <c r="AG136" s="179" t="str">
        <f>_xlfn.XLOOKUP(Tablo7[[#This Row],[Mexanizm]],Anbar!$J$3:$J$1000,Anbar!$H$3:$H$1000,"Tapilmadi")</f>
        <v>Tapilmadi</v>
      </c>
      <c r="AH136" s="179">
        <v>1</v>
      </c>
      <c r="AI136" s="180">
        <v>0</v>
      </c>
      <c r="AJ136" s="180">
        <v>20</v>
      </c>
      <c r="AK136" s="180">
        <v>60</v>
      </c>
      <c r="AL136" s="180">
        <v>0</v>
      </c>
      <c r="AM136" s="180">
        <v>496</v>
      </c>
      <c r="AN136" s="180"/>
      <c r="AO136" s="180">
        <v>96</v>
      </c>
      <c r="AP136" s="194">
        <f>Tablo7[[#This Row],[Ümumi məbləğ]]-Tablo7[[#This Row],[Ödəniş]]-Tablo7[[#This Row],[Endirim]]</f>
        <v>400</v>
      </c>
      <c r="AQ136" s="183" t="str">
        <f t="shared" si="73"/>
        <v>Mesaj</v>
      </c>
      <c r="AR136" s="183" t="str">
        <f t="shared" si="74"/>
        <v>Mesaj</v>
      </c>
      <c r="AS136" s="184" t="str">
        <f>IF(ISNA(VLOOKUP(Tablo7[[#This Row],[Sifariş kodu]],'Kəsim ve təhvil'!$E$5:$E1134,1,0)),"Qəbul edilməyib","Qəbul edilib")</f>
        <v>Qəbul edilməyib</v>
      </c>
      <c r="AT136" s="185" t="str">
        <f>IF(ISNA(VLOOKUP(Tablo7[[#This Row],[Sifariş kodu]],'Kəsim ve təhvil'!$H$5:$H1134,1,0)),"Anbardadır","Təhvil verilib")</f>
        <v>Anbardadır</v>
      </c>
      <c r="AU136" s="186" t="str">
        <f>"Hörmətli *"&amp;Tablo7[[#This Row],[Müştəri]]&amp;"*  ,Sizin *"&amp;G136&amp;"* tarixli sifarişiniz qeydə alındı. Sifariş Məbləğı *"&amp;AM136&amp;" AZN* , Qalıq *"&amp;AP136&amp;" AZN* . Hörmətlə  *AlumPro*"</f>
        <v>Hörmətli *Zakir Bmw Servis*  ,Sizin *20,12,2024* tarixli sifarişiniz qeydə alındı. Sifariş Məbləğı *496 AZN* , Qalıq *400 AZN* . Hörmətlə  *AlumPro*</v>
      </c>
      <c r="AV136" s="187" t="str">
        <f>"Hörmətli *"&amp;Tablo7[[#This Row],[Müştəri]]&amp;"* , sizin *"&amp;G136&amp;"* tarixli  sifarişiniz hazırdır . Bizi seçdiyiniz üçün minnətdarıq. Hörmətlə  *AlumPro*."</f>
        <v>Hörmətli *Zakir Bmw Servis* , sizin *20,12,2024* tarixli  sifarişiniz hazırdır . Bizi seçdiyiniz üçün minnətdarıq. Hörmətlə  *AlumPro*.</v>
      </c>
      <c r="AW136" s="188" t="str">
        <f t="shared" si="76"/>
        <v>Zakir</v>
      </c>
      <c r="AX136" s="189" t="str">
        <f t="shared" si="75"/>
        <v xml:space="preserve">Zakir </v>
      </c>
    </row>
    <row r="137" spans="4:50">
      <c r="D137" s="178">
        <v>195</v>
      </c>
      <c r="E137" s="179" t="s">
        <v>481</v>
      </c>
      <c r="F137" s="179" t="s">
        <v>339</v>
      </c>
      <c r="G137" s="212" t="s">
        <v>120</v>
      </c>
      <c r="H137" s="179" t="s">
        <v>479</v>
      </c>
      <c r="I137" s="179" t="s">
        <v>480</v>
      </c>
      <c r="J137" s="179"/>
      <c r="K137" s="179" t="s">
        <v>194</v>
      </c>
      <c r="L137" s="179"/>
      <c r="M137" s="179" t="str">
        <f>_xlfn.XLOOKUP(Tablo7[[#This Row],[Yan Profili]],Anbar!$J$3:$J$1000,Anbar!$H$3:$H$1000,"Tapilmadi")</f>
        <v>Tapilmadi</v>
      </c>
      <c r="N137" s="179">
        <v>3</v>
      </c>
      <c r="O137" s="179">
        <v>69</v>
      </c>
      <c r="P137" s="179" t="s">
        <v>184</v>
      </c>
      <c r="Q137" s="179" t="str">
        <f>_xlfn.XLOOKUP(Tablo7[[#This Row],[Qulp növü]],Anbar!$J$3:$J$1000,Anbar!$H$3:$H$1000,"Tapilmadi")</f>
        <v>Tapilmadi</v>
      </c>
      <c r="R137" s="179">
        <v>2</v>
      </c>
      <c r="S137" s="180">
        <v>52</v>
      </c>
      <c r="T137" s="181" t="s">
        <v>196</v>
      </c>
      <c r="U137" s="179" t="str">
        <f>_xlfn.XLOOKUP(Tablo7[[#This Row],[Petlə]],Anbar!$J$3:$J$1000,Anbar!$H$3:$H$1000,"Tapilmadi")</f>
        <v>Tapilmadi</v>
      </c>
      <c r="V137" s="179">
        <v>10</v>
      </c>
      <c r="W137" s="180">
        <v>15</v>
      </c>
      <c r="X137" s="269">
        <v>0</v>
      </c>
      <c r="Y137" s="179" t="s">
        <v>36</v>
      </c>
      <c r="Z137" s="182"/>
      <c r="AA137" s="180">
        <v>59</v>
      </c>
      <c r="AB137" s="180"/>
      <c r="AC137" s="179" t="str">
        <f>_xlfn.XLOOKUP(Tablo7[[#This Row],[Bağlantı]],Anbar!$J$3:$J$1000,Anbar!$H$3:$H$1000,"Tapilmadi")</f>
        <v>Tapilmadi</v>
      </c>
      <c r="AD137" s="179"/>
      <c r="AE137" s="180">
        <v>8</v>
      </c>
      <c r="AF137" s="180"/>
      <c r="AG137" s="179" t="str">
        <f>_xlfn.XLOOKUP(Tablo7[[#This Row],[Mexanizm]],Anbar!$J$3:$J$1000,Anbar!$H$3:$H$1000,"Tapilmadi")</f>
        <v>Tapilmadi</v>
      </c>
      <c r="AH137" s="179">
        <v>1</v>
      </c>
      <c r="AI137" s="180">
        <v>0</v>
      </c>
      <c r="AJ137" s="180">
        <v>10</v>
      </c>
      <c r="AK137" s="180">
        <v>30</v>
      </c>
      <c r="AL137" s="180">
        <v>0</v>
      </c>
      <c r="AM137" s="180">
        <v>243</v>
      </c>
      <c r="AN137" s="180"/>
      <c r="AO137" s="180">
        <v>244</v>
      </c>
      <c r="AP137" s="194">
        <f>Tablo7[[#This Row],[Ümumi məbləğ]]-Tablo7[[#This Row],[Ödəniş]]-Tablo7[[#This Row],[Endirim]]</f>
        <v>-1</v>
      </c>
      <c r="AQ137" s="183" t="str">
        <f t="shared" si="73"/>
        <v>Mesaj</v>
      </c>
      <c r="AR137" s="183" t="str">
        <f t="shared" si="74"/>
        <v>Mesaj</v>
      </c>
      <c r="AS137" s="184" t="str">
        <f>IF(ISNA(VLOOKUP(Tablo7[[#This Row],[Sifariş kodu]],'Kəsim ve təhvil'!$E$5:$E1135,1,0)),"Qəbul edilməyib","Qəbul edilib")</f>
        <v>Qəbul edilməyib</v>
      </c>
      <c r="AT137" s="185" t="str">
        <f>IF(ISNA(VLOOKUP(Tablo7[[#This Row],[Sifariş kodu]],'Kəsim ve təhvil'!$H$5:$H1135,1,0)),"Anbardadır","Təhvil verilib")</f>
        <v>Anbardadır</v>
      </c>
      <c r="AU137" s="186" t="str">
        <f>"Hörmətli *"&amp;Tablo7[[#This Row],[Müştəri]]&amp;"*  ,Sizin *"&amp;G137&amp;"* tarixli sifarişiniz qeydə alındı. Sifariş Məbləğı *"&amp;AM137&amp;" AZN* , Qalıq *"&amp;AP137&amp;" AZN* . Hörmətlə  *AlumPro*"</f>
        <v>Hörmətli *Zakir Bmw Servis*  ,Sizin *20,12,2024* tarixli sifarişiniz qeydə alındı. Sifariş Məbləğı *243 AZN* , Qalıq *-1 AZN* . Hörmətlə  *AlumPro*</v>
      </c>
      <c r="AV137" s="187" t="str">
        <f>"Hörmətli *"&amp;Tablo7[[#This Row],[Müştəri]]&amp;"* , sizin *"&amp;G137&amp;"* tarixli  sifarişiniz hazırdır . Bizi seçdiyiniz üçün minnətdarıq. Hörmətlə  *AlumPro*."</f>
        <v>Hörmətli *Zakir Bmw Servis* , sizin *20,12,2024* tarixli  sifarişiniz hazırdır . Bizi seçdiyiniz üçün minnətdarıq. Hörmətlə  *AlumPro*.</v>
      </c>
      <c r="AW137" s="188" t="str">
        <f t="shared" si="76"/>
        <v>Zakir</v>
      </c>
      <c r="AX137" s="189" t="str">
        <f t="shared" si="75"/>
        <v xml:space="preserve">Zakir </v>
      </c>
    </row>
    <row r="138" spans="4:50">
      <c r="D138" s="178">
        <v>194</v>
      </c>
      <c r="E138" s="179" t="s">
        <v>482</v>
      </c>
      <c r="F138" s="179" t="s">
        <v>339</v>
      </c>
      <c r="G138" s="212" t="s">
        <v>483</v>
      </c>
      <c r="H138" s="179" t="s">
        <v>484</v>
      </c>
      <c r="I138" s="179" t="s">
        <v>485</v>
      </c>
      <c r="J138" s="179" t="s">
        <v>486</v>
      </c>
      <c r="K138" s="179" t="s">
        <v>194</v>
      </c>
      <c r="L138" s="179"/>
      <c r="M138" s="179">
        <f>_xlfn.XLOOKUP(Tablo7[[#This Row],[Yan Profili]],Anbar!$J$3:$J$1000,Anbar!$H$3:$H$1000,"Tapilmadi")</f>
        <v>0</v>
      </c>
      <c r="N138" s="179">
        <v>14</v>
      </c>
      <c r="O138" s="179">
        <v>322</v>
      </c>
      <c r="P138" s="179" t="s">
        <v>184</v>
      </c>
      <c r="Q138" s="179" t="str">
        <f>_xlfn.XLOOKUP(Tablo7[[#This Row],[Qulp növü]],Anbar!$J$3:$J$1000,Anbar!$H$3:$H$1000,"Tapilmadi")</f>
        <v>Tapilmadi</v>
      </c>
      <c r="R138" s="179">
        <v>14</v>
      </c>
      <c r="S138" s="180">
        <v>260</v>
      </c>
      <c r="T138" s="181" t="s">
        <v>196</v>
      </c>
      <c r="U138" s="179" t="str">
        <f>_xlfn.XLOOKUP(Tablo7[[#This Row],[Petlə]],Anbar!$J$3:$J$1000,Anbar!$H$3:$H$1000,"Tapilmadi")</f>
        <v>Tapilmadi</v>
      </c>
      <c r="V138" s="179">
        <v>46</v>
      </c>
      <c r="W138" s="180">
        <v>184</v>
      </c>
      <c r="X138" s="269">
        <v>0</v>
      </c>
      <c r="Y138" s="179" t="s">
        <v>276</v>
      </c>
      <c r="Z138" s="182"/>
      <c r="AA138" s="180">
        <v>1156</v>
      </c>
      <c r="AB138" s="180"/>
      <c r="AC138" s="179" t="str">
        <f>_xlfn.XLOOKUP(Tablo7[[#This Row],[Bağlantı]],Anbar!$J$3:$J$1000,Anbar!$H$3:$H$1000,"Tapilmadi")</f>
        <v>Tapilmadi</v>
      </c>
      <c r="AD138" s="179"/>
      <c r="AE138" s="180">
        <v>88</v>
      </c>
      <c r="AF138" s="180"/>
      <c r="AG138" s="179" t="str">
        <f>_xlfn.XLOOKUP(Tablo7[[#This Row],[Mexanizm]],Anbar!$J$3:$J$1000,Anbar!$H$3:$H$1000,"Tapilmadi")</f>
        <v>Tapilmadi</v>
      </c>
      <c r="AH138" s="179">
        <v>1</v>
      </c>
      <c r="AI138" s="180">
        <v>0</v>
      </c>
      <c r="AJ138" s="180">
        <v>92</v>
      </c>
      <c r="AK138" s="180">
        <v>165</v>
      </c>
      <c r="AL138" s="180">
        <v>0</v>
      </c>
      <c r="AM138" s="180">
        <v>2267</v>
      </c>
      <c r="AN138" s="180"/>
      <c r="AO138" s="180">
        <v>2267</v>
      </c>
      <c r="AP138" s="194">
        <f>Tablo7[[#This Row],[Ümumi məbləğ]]-Tablo7[[#This Row],[Ödəniş]]-Tablo7[[#This Row],[Endirim]]</f>
        <v>0</v>
      </c>
      <c r="AQ138" s="183" t="str">
        <f t="shared" si="73"/>
        <v>Mesaj</v>
      </c>
      <c r="AR138" s="183" t="str">
        <f t="shared" si="74"/>
        <v>Mesaj</v>
      </c>
      <c r="AS138" s="184" t="str">
        <f>IF(ISNA(VLOOKUP(Tablo7[[#This Row],[Sifariş kodu]],'Kəsim ve təhvil'!$E$5:$E1136,1,0)),"Qəbul edilməyib","Qəbul edilib")</f>
        <v>Qəbul edilməyib</v>
      </c>
      <c r="AT138" s="185" t="str">
        <f>IF(ISNA(VLOOKUP(Tablo7[[#This Row],[Sifariş kodu]],'Kəsim ve təhvil'!$H$5:$H1136,1,0)),"Anbardadır","Təhvil verilib")</f>
        <v>Anbardadır</v>
      </c>
      <c r="AU138" s="186" t="str">
        <f>"Hörmətli *"&amp;Tablo7[[#This Row],[Müştəri]]&amp;"*  ,Sizin *"&amp;G138&amp;"* tarixli sifarişiniz qeydə alındı. Sifariş Məbləğı *"&amp;AM138&amp;" AZN* , Qalıq *"&amp;AP138&amp;" AZN* . Hörmətlə  *AlumPro*"</f>
        <v>Hörmətli *Ismayil Ismayilov Zevna*  ,Sizin *19,12,2024* tarixli sifarişiniz qeydə alındı. Sifariş Məbləğı *2267 AZN* , Qalıq *0 AZN* . Hörmətlə  *AlumPro*</v>
      </c>
      <c r="AV138" s="187" t="str">
        <f>"Hörmətli *"&amp;Tablo7[[#This Row],[Müştəri]]&amp;"* , sizin *"&amp;G138&amp;"* tarixli  sifarişiniz hazırdır . Bizi seçdiyiniz üçün minnətdarıq. Hörmətlə  *AlumPro*."</f>
        <v>Hörmətli *Ismayil Ismayilov Zevna* , sizin *19,12,2024* tarixli  sifarişiniz hazırdır . Bizi seçdiyiniz üçün minnətdarıq. Hörmətlə  *AlumPro*.</v>
      </c>
      <c r="AW138" s="188" t="str">
        <f t="shared" si="76"/>
        <v>Ismayil</v>
      </c>
      <c r="AX138" s="189" t="str">
        <f t="shared" si="75"/>
        <v xml:space="preserve">Ismayil </v>
      </c>
    </row>
    <row r="139" spans="4:50">
      <c r="D139" s="178">
        <v>193</v>
      </c>
      <c r="E139" s="179" t="s">
        <v>487</v>
      </c>
      <c r="F139" s="179" t="s">
        <v>339</v>
      </c>
      <c r="G139" s="212" t="s">
        <v>483</v>
      </c>
      <c r="H139" s="179" t="s">
        <v>488</v>
      </c>
      <c r="I139" s="179" t="s">
        <v>489</v>
      </c>
      <c r="J139" s="179"/>
      <c r="K139" s="179" t="s">
        <v>194</v>
      </c>
      <c r="L139" s="179"/>
      <c r="M139" s="179" t="str">
        <f>_xlfn.XLOOKUP(Tablo7[[#This Row],[Yan Profili]],Anbar!$J$3:$J$1000,Anbar!$H$3:$H$1000,"Tapilmadi")</f>
        <v>Tapilmadi</v>
      </c>
      <c r="N139" s="179">
        <v>17</v>
      </c>
      <c r="O139" s="179">
        <v>391</v>
      </c>
      <c r="P139" s="179" t="s">
        <v>184</v>
      </c>
      <c r="Q139" s="179" t="str">
        <f>_xlfn.XLOOKUP(Tablo7[[#This Row],[Qulp növü]],Anbar!$J$3:$J$1000,Anbar!$H$3:$H$1000,"Tapilmadi")</f>
        <v>Tapilmadi</v>
      </c>
      <c r="R139" s="179">
        <v>11</v>
      </c>
      <c r="S139" s="180">
        <v>286</v>
      </c>
      <c r="T139" s="181" t="s">
        <v>196</v>
      </c>
      <c r="U139" s="179" t="str">
        <f>_xlfn.XLOOKUP(Tablo7[[#This Row],[Petlə]],Anbar!$J$3:$J$1000,Anbar!$H$3:$H$1000,"Tapilmadi")</f>
        <v>Tapilmadi</v>
      </c>
      <c r="V139" s="179">
        <v>56</v>
      </c>
      <c r="W139" s="180">
        <v>224</v>
      </c>
      <c r="X139" s="269">
        <v>0</v>
      </c>
      <c r="Y139" s="179" t="s">
        <v>490</v>
      </c>
      <c r="Z139" s="182"/>
      <c r="AA139" s="180">
        <v>380</v>
      </c>
      <c r="AB139" s="180"/>
      <c r="AC139" s="179" t="str">
        <f>_xlfn.XLOOKUP(Tablo7[[#This Row],[Bağlantı]],Anbar!$J$3:$J$1000,Anbar!$H$3:$H$1000,"Tapilmadi")</f>
        <v>Tapilmadi</v>
      </c>
      <c r="AD139" s="179"/>
      <c r="AE139" s="180">
        <v>128</v>
      </c>
      <c r="AF139" s="180"/>
      <c r="AG139" s="179" t="str">
        <f>_xlfn.XLOOKUP(Tablo7[[#This Row],[Mexanizm]],Anbar!$J$3:$J$1000,Anbar!$H$3:$H$1000,"Tapilmadi")</f>
        <v>Tapilmadi</v>
      </c>
      <c r="AH139" s="179">
        <v>1</v>
      </c>
      <c r="AI139" s="180">
        <v>0</v>
      </c>
      <c r="AJ139" s="180">
        <v>112</v>
      </c>
      <c r="AK139" s="180">
        <v>200</v>
      </c>
      <c r="AL139" s="180">
        <v>0</v>
      </c>
      <c r="AM139" s="180">
        <v>1721</v>
      </c>
      <c r="AN139" s="180"/>
      <c r="AO139" s="180">
        <v>1000</v>
      </c>
      <c r="AP139" s="194">
        <f>Tablo7[[#This Row],[Ümumi məbləğ]]-Tablo7[[#This Row],[Ödəniş]]-Tablo7[[#This Row],[Endirim]]</f>
        <v>721</v>
      </c>
      <c r="AQ139" s="183" t="str">
        <f t="shared" si="73"/>
        <v>Mesaj</v>
      </c>
      <c r="AR139" s="183" t="str">
        <f t="shared" si="74"/>
        <v>Mesaj</v>
      </c>
      <c r="AS139" s="184" t="str">
        <f>IF(ISNA(VLOOKUP(Tablo7[[#This Row],[Sifariş kodu]],'Kəsim ve təhvil'!$E$5:$E1137,1,0)),"Qəbul edilməyib","Qəbul edilib")</f>
        <v>Qəbul edilməyib</v>
      </c>
      <c r="AT139" s="185" t="str">
        <f>IF(ISNA(VLOOKUP(Tablo7[[#This Row],[Sifariş kodu]],'Kəsim ve təhvil'!$H$5:$H1137,1,0)),"Anbardadır","Təhvil verilib")</f>
        <v>Anbardadır</v>
      </c>
      <c r="AU139" s="186" t="str">
        <f>"Hörmətli *"&amp;Tablo7[[#This Row],[Müştəri]]&amp;"*  ,Sizin *"&amp;G139&amp;"* tarixli sifarişiniz qeydə alındı. Sifariş Məbləğı *"&amp;AM139&amp;" AZN* , Qalıq *"&amp;AP139&amp;" AZN* . Hörmətlə  *AlumPro*"</f>
        <v>Hörmətli *Niyameddin Bayramov*  ,Sizin *19,12,2024* tarixli sifarişiniz qeydə alındı. Sifariş Məbləğı *1721 AZN* , Qalıq *721 AZN* . Hörmətlə  *AlumPro*</v>
      </c>
      <c r="AV139" s="187" t="str">
        <f>"Hörmətli *"&amp;Tablo7[[#This Row],[Müştəri]]&amp;"* , sizin *"&amp;G139&amp;"* tarixli  sifarişiniz hazırdır . Bizi seçdiyiniz üçün minnətdarıq. Hörmətlə  *AlumPro*."</f>
        <v>Hörmətli *Niyameddin Bayramov* , sizin *19,12,2024* tarixli  sifarişiniz hazırdır . Bizi seçdiyiniz üçün minnətdarıq. Hörmətlə  *AlumPro*.</v>
      </c>
      <c r="AW139" s="188" t="str">
        <f t="shared" si="76"/>
        <v>Niyameddin</v>
      </c>
      <c r="AX139" s="189" t="str">
        <f t="shared" si="75"/>
        <v xml:space="preserve">Niyameddin </v>
      </c>
    </row>
    <row r="140" spans="4:50">
      <c r="D140" s="178">
        <v>192</v>
      </c>
      <c r="E140" s="179" t="s">
        <v>491</v>
      </c>
      <c r="F140" s="179" t="s">
        <v>339</v>
      </c>
      <c r="G140" s="212" t="s">
        <v>174</v>
      </c>
      <c r="H140" s="179" t="s">
        <v>412</v>
      </c>
      <c r="I140" s="179" t="s">
        <v>413</v>
      </c>
      <c r="J140" s="179"/>
      <c r="K140" s="179" t="s">
        <v>189</v>
      </c>
      <c r="L140" s="179"/>
      <c r="M140" s="179" t="str">
        <f>_xlfn.XLOOKUP(Tablo7[[#This Row],[Yan Profili]],Anbar!$J$3:$J$1000,Anbar!$H$3:$H$1000,"Tapilmadi")</f>
        <v>Tapilmadi</v>
      </c>
      <c r="N140" s="179">
        <v>7</v>
      </c>
      <c r="O140" s="179">
        <v>161</v>
      </c>
      <c r="P140" s="179" t="s">
        <v>184</v>
      </c>
      <c r="Q140" s="179" t="str">
        <f>_xlfn.XLOOKUP(Tablo7[[#This Row],[Qulp növü]],Anbar!$J$3:$J$1000,Anbar!$H$3:$H$1000,"Tapilmadi")</f>
        <v>Tapilmadi</v>
      </c>
      <c r="R140" s="179">
        <v>5</v>
      </c>
      <c r="S140" s="180">
        <v>130</v>
      </c>
      <c r="T140" s="181"/>
      <c r="U140" s="179" t="str">
        <f>_xlfn.XLOOKUP(Tablo7[[#This Row],[Petlə]],Anbar!$J$3:$J$1000,Anbar!$H$3:$H$1000,"Tapilmadi")</f>
        <v>Tapilmadi</v>
      </c>
      <c r="V140" s="179">
        <v>0</v>
      </c>
      <c r="W140" s="180">
        <v>0</v>
      </c>
      <c r="X140" s="269">
        <v>0</v>
      </c>
      <c r="Y140" s="179" t="s">
        <v>276</v>
      </c>
      <c r="Z140" s="182"/>
      <c r="AA140" s="180">
        <v>273</v>
      </c>
      <c r="AB140" s="180"/>
      <c r="AC140" s="179" t="str">
        <f>_xlfn.XLOOKUP(Tablo7[[#This Row],[Bağlantı]],Anbar!$J$3:$J$1000,Anbar!$H$3:$H$1000,"Tapilmadi")</f>
        <v>Tapilmadi</v>
      </c>
      <c r="AD140" s="179"/>
      <c r="AE140" s="180">
        <v>20</v>
      </c>
      <c r="AF140" s="180"/>
      <c r="AG140" s="179" t="str">
        <f>_xlfn.XLOOKUP(Tablo7[[#This Row],[Mexanizm]],Anbar!$J$3:$J$1000,Anbar!$H$3:$H$1000,"Tapilmadi")</f>
        <v>Tapilmadi</v>
      </c>
      <c r="AH140" s="179">
        <v>1</v>
      </c>
      <c r="AI140" s="180">
        <v>0</v>
      </c>
      <c r="AJ140" s="180">
        <v>25</v>
      </c>
      <c r="AK140" s="180">
        <v>75</v>
      </c>
      <c r="AL140" s="180">
        <v>0</v>
      </c>
      <c r="AM140" s="180">
        <v>684</v>
      </c>
      <c r="AN140" s="180">
        <v>34</v>
      </c>
      <c r="AO140" s="180">
        <v>650</v>
      </c>
      <c r="AP140" s="194">
        <f>Tablo7[[#This Row],[Ümumi məbləğ]]-Tablo7[[#This Row],[Ödəniş]]-Tablo7[[#This Row],[Endirim]]</f>
        <v>0</v>
      </c>
      <c r="AQ140" s="183" t="str">
        <f t="shared" si="73"/>
        <v>Mesaj</v>
      </c>
      <c r="AR140" s="183" t="str">
        <f t="shared" si="74"/>
        <v>Mesaj</v>
      </c>
      <c r="AS140" s="184" t="str">
        <f>IF(ISNA(VLOOKUP(Tablo7[[#This Row],[Sifariş kodu]],'Kəsim ve təhvil'!$E$5:$E1138,1,0)),"Qəbul edilməyib","Qəbul edilib")</f>
        <v>Qəbul edilməyib</v>
      </c>
      <c r="AT140" s="185" t="str">
        <f>IF(ISNA(VLOOKUP(Tablo7[[#This Row],[Sifariş kodu]],'Kəsim ve təhvil'!$H$5:$H1138,1,0)),"Anbardadır","Təhvil verilib")</f>
        <v>Anbardadır</v>
      </c>
      <c r="AU140" s="186" t="str">
        <f>"Hörmətli *"&amp;Tablo7[[#This Row],[Müştəri]]&amp;"*  ,Sizin *"&amp;G140&amp;"* tarixli sifarişiniz qeydə alındı. Sifariş Məbləğı *"&amp;AM140&amp;" AZN* , Qalıq *"&amp;AP140&amp;" AZN* . Hörmətlə  *AlumPro*"</f>
        <v>Hörmətli *Hikmet Qalib*  ,Sizin *18,12,2024* tarixli sifarişiniz qeydə alındı. Sifariş Məbləğı *684 AZN* , Qalıq *0 AZN* . Hörmətlə  *AlumPro*</v>
      </c>
      <c r="AV140" s="187" t="str">
        <f>"Hörmətli *"&amp;Tablo7[[#This Row],[Müştəri]]&amp;"* , sizin *"&amp;G140&amp;"* tarixli  sifarişiniz hazırdır . Bizi seçdiyiniz üçün minnətdarıq. Hörmətlə  *AlumPro*."</f>
        <v>Hörmətli *Hikmet Qalib* , sizin *18,12,2024* tarixli  sifarişiniz hazırdır . Bizi seçdiyiniz üçün minnətdarıq. Hörmətlə  *AlumPro*.</v>
      </c>
      <c r="AW140" s="188" t="str">
        <f t="shared" si="76"/>
        <v>Hikmet</v>
      </c>
      <c r="AX140" s="189" t="str">
        <f t="shared" si="75"/>
        <v xml:space="preserve">Hikmet </v>
      </c>
    </row>
    <row r="141" spans="4:50">
      <c r="D141" s="178">
        <v>191</v>
      </c>
      <c r="E141" s="179" t="s">
        <v>492</v>
      </c>
      <c r="F141" s="179" t="s">
        <v>339</v>
      </c>
      <c r="G141" s="212" t="s">
        <v>174</v>
      </c>
      <c r="H141" s="179" t="s">
        <v>493</v>
      </c>
      <c r="I141" s="179" t="s">
        <v>494</v>
      </c>
      <c r="J141" s="179"/>
      <c r="K141" s="179" t="s">
        <v>183</v>
      </c>
      <c r="L141" s="179"/>
      <c r="M141" s="179" t="str">
        <f>_xlfn.XLOOKUP(Tablo7[[#This Row],[Yan Profili]],Anbar!$J$3:$J$1000,Anbar!$H$3:$H$1000,"Tapilmadi")</f>
        <v>Tapilmadi</v>
      </c>
      <c r="N141" s="179">
        <v>14</v>
      </c>
      <c r="O141" s="179">
        <v>322</v>
      </c>
      <c r="P141" s="179" t="s">
        <v>184</v>
      </c>
      <c r="Q141" s="179" t="str">
        <f>_xlfn.XLOOKUP(Tablo7[[#This Row],[Qulp növü]],Anbar!$J$3:$J$1000,Anbar!$H$3:$H$1000,"Tapilmadi")</f>
        <v>Tapilmadi</v>
      </c>
      <c r="R141" s="179">
        <v>10</v>
      </c>
      <c r="S141" s="180">
        <v>260</v>
      </c>
      <c r="T141" s="181"/>
      <c r="U141" s="179" t="str">
        <f>_xlfn.XLOOKUP(Tablo7[[#This Row],[Petlə]],Anbar!$J$3:$J$1000,Anbar!$H$3:$H$1000,"Tapilmadi")</f>
        <v>Tapilmadi</v>
      </c>
      <c r="V141" s="179">
        <v>0</v>
      </c>
      <c r="W141" s="180">
        <v>0</v>
      </c>
      <c r="X141" s="269">
        <v>53</v>
      </c>
      <c r="Y141" s="179" t="s">
        <v>199</v>
      </c>
      <c r="Z141" s="182"/>
      <c r="AA141" s="180">
        <v>385</v>
      </c>
      <c r="AB141" s="180"/>
      <c r="AC141" s="179" t="str">
        <f>_xlfn.XLOOKUP(Tablo7[[#This Row],[Bağlantı]],Anbar!$J$3:$J$1000,Anbar!$H$3:$H$1000,"Tapilmadi")</f>
        <v>Tapilmadi</v>
      </c>
      <c r="AD141" s="179"/>
      <c r="AE141" s="180">
        <v>40</v>
      </c>
      <c r="AF141" s="180"/>
      <c r="AG141" s="179" t="str">
        <f>_xlfn.XLOOKUP(Tablo7[[#This Row],[Mexanizm]],Anbar!$J$3:$J$1000,Anbar!$H$3:$H$1000,"Tapilmadi")</f>
        <v>Tapilmadi</v>
      </c>
      <c r="AH141" s="179">
        <v>1</v>
      </c>
      <c r="AI141" s="180">
        <v>0</v>
      </c>
      <c r="AJ141" s="180">
        <v>40</v>
      </c>
      <c r="AK141" s="180">
        <v>150</v>
      </c>
      <c r="AL141" s="180">
        <v>0</v>
      </c>
      <c r="AM141" s="180">
        <v>1250</v>
      </c>
      <c r="AN141" s="180"/>
      <c r="AO141" s="180">
        <v>1250</v>
      </c>
      <c r="AP141" s="194">
        <f>Tablo7[[#This Row],[Ümumi məbləğ]]-Tablo7[[#This Row],[Ödəniş]]-Tablo7[[#This Row],[Endirim]]</f>
        <v>0</v>
      </c>
      <c r="AQ141" s="183" t="str">
        <f t="shared" si="73"/>
        <v>Mesaj</v>
      </c>
      <c r="AR141" s="183" t="str">
        <f t="shared" si="74"/>
        <v>Mesaj</v>
      </c>
      <c r="AS141" s="184" t="str">
        <f>IF(ISNA(VLOOKUP(Tablo7[[#This Row],[Sifariş kodu]],'Kəsim ve təhvil'!$E$5:$E1139,1,0)),"Qəbul edilməyib","Qəbul edilib")</f>
        <v>Qəbul edilməyib</v>
      </c>
      <c r="AT141" s="185" t="str">
        <f>IF(ISNA(VLOOKUP(Tablo7[[#This Row],[Sifariş kodu]],'Kəsim ve təhvil'!$H$5:$H1139,1,0)),"Anbardadır","Təhvil verilib")</f>
        <v>Anbardadır</v>
      </c>
      <c r="AU141" s="186" t="str">
        <f>"Hörmətli *"&amp;Tablo7[[#This Row],[Müştəri]]&amp;"*  ,Sizin *"&amp;G141&amp;"* tarixli sifarişiniz qeydə alındı. Sifariş Məbləğı *"&amp;AM141&amp;" AZN* , Qalıq *"&amp;AP141&amp;" AZN* . Hörmətlə  *AlumPro*"</f>
        <v>Hörmətli *Geray Memmedov*  ,Sizin *18,12,2024* tarixli sifarişiniz qeydə alındı. Sifariş Məbləğı *1250 AZN* , Qalıq *0 AZN* . Hörmətlə  *AlumPro*</v>
      </c>
      <c r="AV141" s="187" t="str">
        <f>"Hörmətli *"&amp;Tablo7[[#This Row],[Müştəri]]&amp;"* , sizin *"&amp;G141&amp;"* tarixli  sifarişiniz hazırdır . Bizi seçdiyiniz üçün minnətdarıq. Hörmətlə  *AlumPro*."</f>
        <v>Hörmətli *Geray Memmedov* , sizin *18,12,2024* tarixli  sifarişiniz hazırdır . Bizi seçdiyiniz üçün minnətdarıq. Hörmətlə  *AlumPro*.</v>
      </c>
      <c r="AW141" s="188" t="str">
        <f t="shared" si="76"/>
        <v>Geray</v>
      </c>
      <c r="AX141" s="189" t="str">
        <f t="shared" si="75"/>
        <v xml:space="preserve">Geray </v>
      </c>
    </row>
    <row r="142" spans="4:50">
      <c r="D142" s="178">
        <v>190</v>
      </c>
      <c r="E142" s="179" t="s">
        <v>495</v>
      </c>
      <c r="F142" s="179" t="s">
        <v>339</v>
      </c>
      <c r="G142" s="212" t="s">
        <v>174</v>
      </c>
      <c r="H142" s="179" t="s">
        <v>438</v>
      </c>
      <c r="I142" s="179">
        <v>0</v>
      </c>
      <c r="J142" s="179"/>
      <c r="K142" s="179" t="s">
        <v>183</v>
      </c>
      <c r="L142" s="179"/>
      <c r="M142" s="179" t="str">
        <f>_xlfn.XLOOKUP(Tablo7[[#This Row],[Yan Profili]],Anbar!$J$3:$J$1000,Anbar!$H$3:$H$1000,"Tapilmadi")</f>
        <v>Tapilmadi</v>
      </c>
      <c r="N142" s="179">
        <v>17</v>
      </c>
      <c r="O142" s="179">
        <v>391</v>
      </c>
      <c r="P142" s="179" t="s">
        <v>184</v>
      </c>
      <c r="Q142" s="179" t="str">
        <f>_xlfn.XLOOKUP(Tablo7[[#This Row],[Qulp növü]],Anbar!$J$3:$J$1000,Anbar!$H$3:$H$1000,"Tapilmadi")</f>
        <v>Tapilmadi</v>
      </c>
      <c r="R142" s="179">
        <v>12</v>
      </c>
      <c r="S142" s="180">
        <v>312</v>
      </c>
      <c r="T142" s="181"/>
      <c r="U142" s="179" t="str">
        <f>_xlfn.XLOOKUP(Tablo7[[#This Row],[Petlə]],Anbar!$J$3:$J$1000,Anbar!$H$3:$H$1000,"Tapilmadi")</f>
        <v>Tapilmadi</v>
      </c>
      <c r="V142" s="179">
        <v>0</v>
      </c>
      <c r="W142" s="180">
        <v>0</v>
      </c>
      <c r="X142" s="269">
        <v>87</v>
      </c>
      <c r="Y142" s="179" t="s">
        <v>36</v>
      </c>
      <c r="Z142" s="182"/>
      <c r="AA142" s="180">
        <v>473</v>
      </c>
      <c r="AB142" s="180"/>
      <c r="AC142" s="179" t="str">
        <f>_xlfn.XLOOKUP(Tablo7[[#This Row],[Bağlantı]],Anbar!$J$3:$J$1000,Anbar!$H$3:$H$1000,"Tapilmadi")</f>
        <v>Tapilmadi</v>
      </c>
      <c r="AD142" s="179"/>
      <c r="AE142" s="180">
        <v>48</v>
      </c>
      <c r="AF142" s="180"/>
      <c r="AG142" s="179" t="str">
        <f>_xlfn.XLOOKUP(Tablo7[[#This Row],[Mexanizm]],Anbar!$J$3:$J$1000,Anbar!$H$3:$H$1000,"Tapilmadi")</f>
        <v>Tapilmadi</v>
      </c>
      <c r="AH142" s="179">
        <v>1</v>
      </c>
      <c r="AI142" s="180">
        <v>0</v>
      </c>
      <c r="AJ142" s="180">
        <v>60</v>
      </c>
      <c r="AK142" s="180">
        <v>180</v>
      </c>
      <c r="AL142" s="180">
        <v>0</v>
      </c>
      <c r="AM142" s="180">
        <v>1551</v>
      </c>
      <c r="AN142" s="180"/>
      <c r="AO142" s="180">
        <v>1551</v>
      </c>
      <c r="AP142" s="194">
        <f>Tablo7[[#This Row],[Ümumi məbləğ]]-Tablo7[[#This Row],[Ödəniş]]-Tablo7[[#This Row],[Endirim]]</f>
        <v>0</v>
      </c>
      <c r="AQ142" s="183" t="str">
        <f t="shared" si="73"/>
        <v>Mesaj</v>
      </c>
      <c r="AR142" s="183" t="str">
        <f t="shared" si="74"/>
        <v>Mesaj</v>
      </c>
      <c r="AS142" s="184" t="str">
        <f>IF(ISNA(VLOOKUP(Tablo7[[#This Row],[Sifariş kodu]],'Kəsim ve təhvil'!$E$5:$E1140,1,0)),"Qəbul edilməyib","Qəbul edilib")</f>
        <v>Qəbul edilməyib</v>
      </c>
      <c r="AT142" s="185" t="str">
        <f>IF(ISNA(VLOOKUP(Tablo7[[#This Row],[Sifariş kodu]],'Kəsim ve təhvil'!$H$5:$H1140,1,0)),"Anbardadır","Təhvil verilib")</f>
        <v>Anbardadır</v>
      </c>
      <c r="AU142" s="186" t="str">
        <f>"Hörmətli *"&amp;Tablo7[[#This Row],[Müştəri]]&amp;"*  ,Sizin *"&amp;G142&amp;"* tarixli sifarişiniz qeydə alındı. Sifariş Məbləğı *"&amp;AM142&amp;" AZN* , Qalıq *"&amp;AP142&amp;" AZN* . Hörmətlə  *AlumPro*"</f>
        <v>Hörmətli *Emin Badamdar*  ,Sizin *18,12,2024* tarixli sifarişiniz qeydə alındı. Sifariş Məbləğı *1551 AZN* , Qalıq *0 AZN* . Hörmətlə  *AlumPro*</v>
      </c>
      <c r="AV142" s="187" t="str">
        <f>"Hörmətli *"&amp;Tablo7[[#This Row],[Müştəri]]&amp;"* , sizin *"&amp;G142&amp;"* tarixli  sifarişiniz hazırdır . Bizi seçdiyiniz üçün minnətdarıq. Hörmətlə  *AlumPro*."</f>
        <v>Hörmətli *Emin Badamdar* , sizin *18,12,2024* tarixli  sifarişiniz hazırdır . Bizi seçdiyiniz üçün minnətdarıq. Hörmətlə  *AlumPro*.</v>
      </c>
      <c r="AW142" s="188" t="str">
        <f t="shared" si="76"/>
        <v>Emin</v>
      </c>
      <c r="AX142" s="189" t="str">
        <f t="shared" si="75"/>
        <v xml:space="preserve">Emin </v>
      </c>
    </row>
    <row r="143" spans="4:50">
      <c r="D143" s="178">
        <v>189</v>
      </c>
      <c r="E143" s="179" t="s">
        <v>496</v>
      </c>
      <c r="F143" s="179" t="s">
        <v>339</v>
      </c>
      <c r="G143" s="212" t="s">
        <v>497</v>
      </c>
      <c r="H143" s="179" t="s">
        <v>127</v>
      </c>
      <c r="I143" s="179" t="s">
        <v>128</v>
      </c>
      <c r="J143" s="179"/>
      <c r="K143" s="179" t="s">
        <v>194</v>
      </c>
      <c r="L143" s="179"/>
      <c r="M143" s="179" t="str">
        <f>_xlfn.XLOOKUP(Tablo7[[#This Row],[Yan Profili]],Anbar!$J$3:$J$1000,Anbar!$H$3:$H$1000,"Tapilmadi")</f>
        <v>Tapilmadi</v>
      </c>
      <c r="N143" s="179">
        <v>4</v>
      </c>
      <c r="O143" s="179">
        <v>92</v>
      </c>
      <c r="P143" s="179" t="s">
        <v>184</v>
      </c>
      <c r="Q143" s="179" t="str">
        <f>_xlfn.XLOOKUP(Tablo7[[#This Row],[Qulp növü]],Anbar!$J$3:$J$1000,Anbar!$H$3:$H$1000,"Tapilmadi")</f>
        <v>Tapilmadi</v>
      </c>
      <c r="R143" s="179">
        <v>4</v>
      </c>
      <c r="S143" s="180">
        <v>104</v>
      </c>
      <c r="T143" s="181" t="s">
        <v>196</v>
      </c>
      <c r="U143" s="179" t="str">
        <f>_xlfn.XLOOKUP(Tablo7[[#This Row],[Petlə]],Anbar!$J$3:$J$1000,Anbar!$H$3:$H$1000,"Tapilmadi")</f>
        <v>Tapilmadi</v>
      </c>
      <c r="V143" s="179">
        <v>8</v>
      </c>
      <c r="W143" s="180">
        <v>32</v>
      </c>
      <c r="X143" s="269">
        <v>0</v>
      </c>
      <c r="Y143" s="179" t="s">
        <v>199</v>
      </c>
      <c r="Z143" s="182"/>
      <c r="AA143" s="180">
        <v>64</v>
      </c>
      <c r="AB143" s="180"/>
      <c r="AC143" s="179" t="str">
        <f>_xlfn.XLOOKUP(Tablo7[[#This Row],[Bağlantı]],Anbar!$J$3:$J$1000,Anbar!$H$3:$H$1000,"Tapilmadi")</f>
        <v>Tapilmadi</v>
      </c>
      <c r="AD143" s="179"/>
      <c r="AE143" s="180">
        <v>32</v>
      </c>
      <c r="AF143" s="180"/>
      <c r="AG143" s="179" t="str">
        <f>_xlfn.XLOOKUP(Tablo7[[#This Row],[Mexanizm]],Anbar!$J$3:$J$1000,Anbar!$H$3:$H$1000,"Tapilmadi")</f>
        <v>Tapilmadi</v>
      </c>
      <c r="AH143" s="179">
        <v>1</v>
      </c>
      <c r="AI143" s="180">
        <v>0</v>
      </c>
      <c r="AJ143" s="180">
        <v>16</v>
      </c>
      <c r="AK143" s="180">
        <v>60</v>
      </c>
      <c r="AL143" s="180">
        <v>0</v>
      </c>
      <c r="AM143" s="180">
        <v>400</v>
      </c>
      <c r="AN143" s="180"/>
      <c r="AO143" s="180">
        <v>400</v>
      </c>
      <c r="AP143" s="194">
        <f>Tablo7[[#This Row],[Ümumi məbləğ]]-Tablo7[[#This Row],[Ödəniş]]-Tablo7[[#This Row],[Endirim]]</f>
        <v>0</v>
      </c>
      <c r="AQ143" s="183" t="str">
        <f t="shared" si="73"/>
        <v>Mesaj</v>
      </c>
      <c r="AR143" s="183" t="str">
        <f t="shared" si="74"/>
        <v>Mesaj</v>
      </c>
      <c r="AS143" s="184" t="str">
        <f>IF(ISNA(VLOOKUP(Tablo7[[#This Row],[Sifariş kodu]],'Kəsim ve təhvil'!$E$5:$E1141,1,0)),"Qəbul edilməyib","Qəbul edilib")</f>
        <v>Qəbul edilməyib</v>
      </c>
      <c r="AT143" s="185" t="str">
        <f>IF(ISNA(VLOOKUP(Tablo7[[#This Row],[Sifariş kodu]],'Kəsim ve təhvil'!$H$5:$H1141,1,0)),"Anbardadır","Təhvil verilib")</f>
        <v>Anbardadır</v>
      </c>
      <c r="AU143" s="186" t="str">
        <f>"Hörmətli *"&amp;Tablo7[[#This Row],[Müştəri]]&amp;"*  ,Sizin *"&amp;G143&amp;"* tarixli sifarişiniz qeydə alındı. Sifariş Məbləğı *"&amp;AM143&amp;" AZN* , Qalıq *"&amp;AP143&amp;" AZN* . Hörmətlə  *AlumPro*"</f>
        <v>Hörmətli *Ehed Qorizont*  ,Sizin *17,12,2024* tarixli sifarişiniz qeydə alındı. Sifariş Məbləğı *400 AZN* , Qalıq *0 AZN* . Hörmətlə  *AlumPro*</v>
      </c>
      <c r="AV143" s="187" t="str">
        <f>"Hörmətli *"&amp;Tablo7[[#This Row],[Müştəri]]&amp;"* , sizin *"&amp;G143&amp;"* tarixli  sifarişiniz hazırdır . Bizi seçdiyiniz üçün minnətdarıq. Hörmətlə  *AlumPro*."</f>
        <v>Hörmətli *Ehed Qorizont* , sizin *17,12,2024* tarixli  sifarişiniz hazırdır . Bizi seçdiyiniz üçün minnətdarıq. Hörmətlə  *AlumPro*.</v>
      </c>
      <c r="AW143" s="188" t="str">
        <f t="shared" si="76"/>
        <v>Ehed</v>
      </c>
      <c r="AX143" s="189" t="str">
        <f t="shared" si="75"/>
        <v xml:space="preserve">Ehed </v>
      </c>
    </row>
    <row r="144" spans="4:50">
      <c r="D144" s="178">
        <v>188</v>
      </c>
      <c r="E144" s="179" t="s">
        <v>498</v>
      </c>
      <c r="F144" s="179" t="s">
        <v>339</v>
      </c>
      <c r="G144" s="212" t="s">
        <v>497</v>
      </c>
      <c r="H144" s="179" t="s">
        <v>499</v>
      </c>
      <c r="I144" s="179">
        <v>0</v>
      </c>
      <c r="J144" s="179" t="s">
        <v>500</v>
      </c>
      <c r="K144" s="179" t="s">
        <v>194</v>
      </c>
      <c r="L144" s="179"/>
      <c r="M144" s="179" t="str">
        <f>_xlfn.XLOOKUP(Tablo7[[#This Row],[Yan Profili]],Anbar!$J$3:$J$1000,Anbar!$H$3:$H$1000,"Tapilmadi")</f>
        <v>Tapilmadi</v>
      </c>
      <c r="N144" s="179">
        <v>4</v>
      </c>
      <c r="O144" s="179">
        <v>92</v>
      </c>
      <c r="P144" s="179" t="s">
        <v>195</v>
      </c>
      <c r="Q144" s="179" t="str">
        <f>_xlfn.XLOOKUP(Tablo7[[#This Row],[Qulp növü]],Anbar!$J$3:$J$1000,Anbar!$H$3:$H$1000,"Tapilmadi")</f>
        <v>Tapilmadi</v>
      </c>
      <c r="R144" s="179">
        <v>0</v>
      </c>
      <c r="S144" s="180">
        <v>0</v>
      </c>
      <c r="T144" s="181" t="s">
        <v>196</v>
      </c>
      <c r="U144" s="179" t="str">
        <f>_xlfn.XLOOKUP(Tablo7[[#This Row],[Petlə]],Anbar!$J$3:$J$1000,Anbar!$H$3:$H$1000,"Tapilmadi")</f>
        <v>Tapilmadi</v>
      </c>
      <c r="V144" s="179">
        <v>6</v>
      </c>
      <c r="W144" s="180">
        <v>24</v>
      </c>
      <c r="X144" s="269">
        <v>0</v>
      </c>
      <c r="Y144" s="179" t="s">
        <v>419</v>
      </c>
      <c r="Z144" s="182"/>
      <c r="AA144" s="180">
        <v>378</v>
      </c>
      <c r="AB144" s="180"/>
      <c r="AC144" s="179" t="str">
        <f>_xlfn.XLOOKUP(Tablo7[[#This Row],[Bağlantı]],Anbar!$J$3:$J$1000,Anbar!$H$3:$H$1000,"Tapilmadi")</f>
        <v>Tapilmadi</v>
      </c>
      <c r="AD144" s="179"/>
      <c r="AE144" s="180">
        <v>16</v>
      </c>
      <c r="AF144" s="180"/>
      <c r="AG144" s="179" t="str">
        <f>_xlfn.XLOOKUP(Tablo7[[#This Row],[Mexanizm]],Anbar!$J$3:$J$1000,Anbar!$H$3:$H$1000,"Tapilmadi")</f>
        <v>Tapilmadi</v>
      </c>
      <c r="AH144" s="179">
        <v>1</v>
      </c>
      <c r="AI144" s="180">
        <v>0</v>
      </c>
      <c r="AJ144" s="180">
        <v>12</v>
      </c>
      <c r="AK144" s="180">
        <v>30</v>
      </c>
      <c r="AL144" s="180">
        <v>0</v>
      </c>
      <c r="AM144" s="180">
        <v>552</v>
      </c>
      <c r="AN144" s="180"/>
      <c r="AO144" s="180">
        <v>552</v>
      </c>
      <c r="AP144" s="194">
        <f>Tablo7[[#This Row],[Ümumi məbləğ]]-Tablo7[[#This Row],[Ödəniş]]-Tablo7[[#This Row],[Endirim]]</f>
        <v>0</v>
      </c>
      <c r="AQ144" s="183" t="str">
        <f t="shared" si="73"/>
        <v>Mesaj</v>
      </c>
      <c r="AR144" s="183" t="str">
        <f t="shared" si="74"/>
        <v>Mesaj</v>
      </c>
      <c r="AS144" s="184" t="str">
        <f>IF(ISNA(VLOOKUP(Tablo7[[#This Row],[Sifariş kodu]],'Kəsim ve təhvil'!$E$5:$E1142,1,0)),"Qəbul edilməyib","Qəbul edilib")</f>
        <v>Qəbul edilməyib</v>
      </c>
      <c r="AT144" s="185" t="str">
        <f>IF(ISNA(VLOOKUP(Tablo7[[#This Row],[Sifariş kodu]],'Kəsim ve təhvil'!$H$5:$H1142,1,0)),"Anbardadır","Təhvil verilib")</f>
        <v>Anbardadır</v>
      </c>
      <c r="AU144" s="186" t="str">
        <f>"Hörmətli *"&amp;Tablo7[[#This Row],[Müştəri]]&amp;"*  ,Sizin *"&amp;G144&amp;"* tarixli sifarişiniz qeydə alındı. Sifariş Məbləğı *"&amp;AM144&amp;" AZN* , Qalıq *"&amp;AP144&amp;" AZN* . Hörmətlə  *AlumPro*"</f>
        <v>Hörmətli *Elsen Eldizayn*  ,Sizin *17,12,2024* tarixli sifarişiniz qeydə alındı. Sifariş Məbləğı *552 AZN* , Qalıq *0 AZN* . Hörmətlə  *AlumPro*</v>
      </c>
      <c r="AV144" s="187" t="str">
        <f>"Hörmətli *"&amp;Tablo7[[#This Row],[Müştəri]]&amp;"* , sizin *"&amp;G144&amp;"* tarixli  sifarişiniz hazırdır . Bizi seçdiyiniz üçün minnətdarıq. Hörmətlə  *AlumPro*."</f>
        <v>Hörmətli *Elsen Eldizayn* , sizin *17,12,2024* tarixli  sifarişiniz hazırdır . Bizi seçdiyiniz üçün minnətdarıq. Hörmətlə  *AlumPro*.</v>
      </c>
      <c r="AW144" s="188" t="str">
        <f t="shared" si="76"/>
        <v>Elsen</v>
      </c>
      <c r="AX144" s="189" t="str">
        <f t="shared" si="75"/>
        <v xml:space="preserve">Elsen </v>
      </c>
    </row>
    <row r="145" spans="4:50">
      <c r="D145" s="178">
        <v>187</v>
      </c>
      <c r="E145" s="179" t="s">
        <v>501</v>
      </c>
      <c r="F145" s="179" t="s">
        <v>339</v>
      </c>
      <c r="G145" s="212" t="s">
        <v>502</v>
      </c>
      <c r="H145" s="179" t="s">
        <v>503</v>
      </c>
      <c r="I145" s="179" t="s">
        <v>504</v>
      </c>
      <c r="J145" s="179"/>
      <c r="K145" s="179" t="s">
        <v>194</v>
      </c>
      <c r="L145" s="179"/>
      <c r="M145" s="179" t="str">
        <f>_xlfn.XLOOKUP(Tablo7[[#This Row],[Yan Profili]],Anbar!$J$3:$J$1000,Anbar!$H$3:$H$1000,"Tapilmadi")</f>
        <v>Tapilmadi</v>
      </c>
      <c r="N145" s="179">
        <v>2</v>
      </c>
      <c r="O145" s="179">
        <v>46</v>
      </c>
      <c r="P145" s="179" t="s">
        <v>195</v>
      </c>
      <c r="Q145" s="179" t="str">
        <f>_xlfn.XLOOKUP(Tablo7[[#This Row],[Qulp növü]],Anbar!$J$3:$J$1000,Anbar!$H$3:$H$1000,"Tapilmadi")</f>
        <v>Tapilmadi</v>
      </c>
      <c r="R145" s="179">
        <v>0</v>
      </c>
      <c r="S145" s="180">
        <v>0</v>
      </c>
      <c r="T145" s="181" t="s">
        <v>196</v>
      </c>
      <c r="U145" s="179" t="str">
        <f>_xlfn.XLOOKUP(Tablo7[[#This Row],[Petlə]],Anbar!$J$3:$J$1000,Anbar!$H$3:$H$1000,"Tapilmadi")</f>
        <v>Tapilmadi</v>
      </c>
      <c r="V145" s="179">
        <v>4</v>
      </c>
      <c r="W145" s="180">
        <v>16</v>
      </c>
      <c r="X145" s="269">
        <v>0</v>
      </c>
      <c r="Y145" s="179" t="s">
        <v>505</v>
      </c>
      <c r="Z145" s="182"/>
      <c r="AA145" s="180">
        <v>68</v>
      </c>
      <c r="AB145" s="180"/>
      <c r="AC145" s="179" t="str">
        <f>_xlfn.XLOOKUP(Tablo7[[#This Row],[Bağlantı]],Anbar!$J$3:$J$1000,Anbar!$H$3:$H$1000,"Tapilmadi")</f>
        <v>Tapilmadi</v>
      </c>
      <c r="AD145" s="179"/>
      <c r="AE145" s="180">
        <v>8</v>
      </c>
      <c r="AF145" s="180"/>
      <c r="AG145" s="179" t="str">
        <f>_xlfn.XLOOKUP(Tablo7[[#This Row],[Mexanizm]],Anbar!$J$3:$J$1000,Anbar!$H$3:$H$1000,"Tapilmadi")</f>
        <v>Tapilmadi</v>
      </c>
      <c r="AH145" s="179">
        <v>1</v>
      </c>
      <c r="AI145" s="180">
        <v>0</v>
      </c>
      <c r="AJ145" s="180">
        <v>8</v>
      </c>
      <c r="AK145" s="180">
        <v>15</v>
      </c>
      <c r="AL145" s="180">
        <v>0</v>
      </c>
      <c r="AM145" s="180">
        <v>161</v>
      </c>
      <c r="AN145" s="180"/>
      <c r="AO145" s="180">
        <v>161</v>
      </c>
      <c r="AP145" s="194">
        <f>Tablo7[[#This Row],[Ümumi məbləğ]]-Tablo7[[#This Row],[Ödəniş]]-Tablo7[[#This Row],[Endirim]]</f>
        <v>0</v>
      </c>
      <c r="AQ145" s="183" t="str">
        <f t="shared" si="73"/>
        <v>Mesaj</v>
      </c>
      <c r="AR145" s="183" t="str">
        <f t="shared" si="74"/>
        <v>Mesaj</v>
      </c>
      <c r="AS145" s="184" t="str">
        <f>IF(ISNA(VLOOKUP(Tablo7[[#This Row],[Sifariş kodu]],'Kəsim ve təhvil'!$E$5:$E1143,1,0)),"Qəbul edilməyib","Qəbul edilib")</f>
        <v>Qəbul edilməyib</v>
      </c>
      <c r="AT145" s="185" t="str">
        <f>IF(ISNA(VLOOKUP(Tablo7[[#This Row],[Sifariş kodu]],'Kəsim ve təhvil'!$H$5:$H1143,1,0)),"Anbardadır","Təhvil verilib")</f>
        <v>Anbardadır</v>
      </c>
      <c r="AU145" s="186" t="str">
        <f>"Hörmətli *"&amp;Tablo7[[#This Row],[Müştəri]]&amp;"*  ,Sizin *"&amp;G145&amp;"* tarixli sifarişiniz qeydə alındı. Sifariş Məbləğı *"&amp;AM145&amp;" AZN* , Qalıq *"&amp;AP145&amp;" AZN* . Hörmətlə  *AlumPro*"</f>
        <v>Hörmətli *Qadir Ceferov*  ,Sizin *16,12,2024* tarixli sifarişiniz qeydə alındı. Sifariş Məbləğı *161 AZN* , Qalıq *0 AZN* . Hörmətlə  *AlumPro*</v>
      </c>
      <c r="AV145" s="187" t="str">
        <f>"Hörmətli *"&amp;Tablo7[[#This Row],[Müştəri]]&amp;"* , sizin *"&amp;G145&amp;"* tarixli  sifarişiniz hazırdır . Bizi seçdiyiniz üçün minnətdarıq. Hörmətlə  *AlumPro*."</f>
        <v>Hörmətli *Qadir Ceferov* , sizin *16,12,2024* tarixli  sifarişiniz hazırdır . Bizi seçdiyiniz üçün minnətdarıq. Hörmətlə  *AlumPro*.</v>
      </c>
      <c r="AW145" s="188" t="str">
        <f t="shared" si="76"/>
        <v>Qadir</v>
      </c>
      <c r="AX145" s="189" t="str">
        <f t="shared" si="75"/>
        <v xml:space="preserve">Qadir </v>
      </c>
    </row>
    <row r="146" spans="4:50">
      <c r="D146" s="178">
        <v>186</v>
      </c>
      <c r="E146" s="179" t="s">
        <v>506</v>
      </c>
      <c r="F146" s="179" t="s">
        <v>339</v>
      </c>
      <c r="G146" s="212" t="s">
        <v>502</v>
      </c>
      <c r="H146" s="179" t="s">
        <v>281</v>
      </c>
      <c r="I146" s="179" t="s">
        <v>282</v>
      </c>
      <c r="J146" s="179"/>
      <c r="K146" s="179" t="s">
        <v>183</v>
      </c>
      <c r="L146" s="179"/>
      <c r="M146" s="179">
        <f>_xlfn.XLOOKUP(Tablo7[[#This Row],[Yan Profili]],Anbar!$J$3:$J$1000,Anbar!$H$3:$H$1000,"Tapilmadi")</f>
        <v>0</v>
      </c>
      <c r="N146" s="179">
        <v>5</v>
      </c>
      <c r="O146" s="179">
        <v>115</v>
      </c>
      <c r="P146" s="179" t="s">
        <v>184</v>
      </c>
      <c r="Q146" s="179" t="str">
        <f>_xlfn.XLOOKUP(Tablo7[[#This Row],[Qulp növü]],Anbar!$J$3:$J$1000,Anbar!$H$3:$H$1000,"Tapilmadi")</f>
        <v>Tapilmadi</v>
      </c>
      <c r="R146" s="179">
        <v>4</v>
      </c>
      <c r="S146" s="180">
        <v>104</v>
      </c>
      <c r="T146" s="181"/>
      <c r="U146" s="179" t="str">
        <f>_xlfn.XLOOKUP(Tablo7[[#This Row],[Petlə]],Anbar!$J$3:$J$1000,Anbar!$H$3:$H$1000,"Tapilmadi")</f>
        <v>Tapilmadi</v>
      </c>
      <c r="V146" s="179">
        <v>0</v>
      </c>
      <c r="W146" s="180">
        <v>0</v>
      </c>
      <c r="X146" s="269">
        <v>27</v>
      </c>
      <c r="Y146" s="179" t="s">
        <v>36</v>
      </c>
      <c r="Z146" s="182"/>
      <c r="AA146" s="180">
        <v>163</v>
      </c>
      <c r="AB146" s="180"/>
      <c r="AC146" s="179" t="str">
        <f>_xlfn.XLOOKUP(Tablo7[[#This Row],[Bağlantı]],Anbar!$J$3:$J$1000,Anbar!$H$3:$H$1000,"Tapilmadi")</f>
        <v>Tapilmadi</v>
      </c>
      <c r="AD146" s="179"/>
      <c r="AE146" s="180">
        <v>16</v>
      </c>
      <c r="AF146" s="180"/>
      <c r="AG146" s="179" t="str">
        <f>_xlfn.XLOOKUP(Tablo7[[#This Row],[Mexanizm]],Anbar!$J$3:$J$1000,Anbar!$H$3:$H$1000,"Tapilmadi")</f>
        <v>Tapilmadi</v>
      </c>
      <c r="AH146" s="179">
        <v>1</v>
      </c>
      <c r="AI146" s="180">
        <v>0</v>
      </c>
      <c r="AJ146" s="180">
        <v>20</v>
      </c>
      <c r="AK146" s="180">
        <v>60</v>
      </c>
      <c r="AL146" s="180">
        <v>0</v>
      </c>
      <c r="AM146" s="180">
        <v>505</v>
      </c>
      <c r="AN146" s="180"/>
      <c r="AO146" s="180">
        <v>505</v>
      </c>
      <c r="AP146" s="194">
        <f>Tablo7[[#This Row],[Ümumi məbləğ]]-Tablo7[[#This Row],[Ödəniş]]-Tablo7[[#This Row],[Endirim]]</f>
        <v>0</v>
      </c>
      <c r="AQ146" s="183" t="str">
        <f t="shared" si="73"/>
        <v>Mesaj</v>
      </c>
      <c r="AR146" s="183" t="str">
        <f t="shared" si="74"/>
        <v>Mesaj</v>
      </c>
      <c r="AS146" s="184" t="str">
        <f>IF(ISNA(VLOOKUP(Tablo7[[#This Row],[Sifariş kodu]],'Kəsim ve təhvil'!$E$5:$E1144,1,0)),"Qəbul edilməyib","Qəbul edilib")</f>
        <v>Qəbul edilməyib</v>
      </c>
      <c r="AT146" s="185" t="str">
        <f>IF(ISNA(VLOOKUP(Tablo7[[#This Row],[Sifariş kodu]],'Kəsim ve təhvil'!$H$5:$H1144,1,0)),"Anbardadır","Təhvil verilib")</f>
        <v>Anbardadır</v>
      </c>
      <c r="AU146" s="186" t="str">
        <f>"Hörmətli *"&amp;Tablo7[[#This Row],[Müştəri]]&amp;"*  ,Sizin *"&amp;G146&amp;"* tarixli sifarişiniz qeydə alındı. Sifariş Məbləğı *"&amp;AM146&amp;" AZN* , Qalıq *"&amp;AP146&amp;" AZN* . Hörmətlə  *AlumPro*"</f>
        <v>Hörmətli *Muxtar Fierro*  ,Sizin *16,12,2024* tarixli sifarişiniz qeydə alındı. Sifariş Məbləğı *505 AZN* , Qalıq *0 AZN* . Hörmətlə  *AlumPro*</v>
      </c>
      <c r="AV146" s="187" t="str">
        <f>"Hörmətli *"&amp;Tablo7[[#This Row],[Müştəri]]&amp;"* , sizin *"&amp;G146&amp;"* tarixli  sifarişiniz hazırdır . Bizi seçdiyiniz üçün minnətdarıq. Hörmətlə  *AlumPro*."</f>
        <v>Hörmətli *Muxtar Fierro* , sizin *16,12,2024* tarixli  sifarişiniz hazırdır . Bizi seçdiyiniz üçün minnətdarıq. Hörmətlə  *AlumPro*.</v>
      </c>
      <c r="AW146" s="188" t="str">
        <f t="shared" si="76"/>
        <v>Muxtar</v>
      </c>
      <c r="AX146" s="189" t="str">
        <f t="shared" si="75"/>
        <v xml:space="preserve">Muxtar </v>
      </c>
    </row>
    <row r="147" spans="4:50">
      <c r="D147" s="178">
        <v>185</v>
      </c>
      <c r="E147" s="179" t="s">
        <v>507</v>
      </c>
      <c r="F147" s="179" t="s">
        <v>339</v>
      </c>
      <c r="G147" s="212" t="s">
        <v>502</v>
      </c>
      <c r="H147" s="179" t="s">
        <v>508</v>
      </c>
      <c r="I147" s="179">
        <v>0</v>
      </c>
      <c r="J147" s="179"/>
      <c r="K147" s="179" t="s">
        <v>183</v>
      </c>
      <c r="L147" s="179"/>
      <c r="M147" s="179" t="str">
        <f>_xlfn.XLOOKUP(Tablo7[[#This Row],[Yan Profili]],Anbar!$J$3:$J$1000,Anbar!$H$3:$H$1000,"Tapilmadi")</f>
        <v>Tapilmadi</v>
      </c>
      <c r="N147" s="179">
        <v>4</v>
      </c>
      <c r="O147" s="179">
        <v>92</v>
      </c>
      <c r="P147" s="179" t="s">
        <v>184</v>
      </c>
      <c r="Q147" s="179" t="str">
        <f>_xlfn.XLOOKUP(Tablo7[[#This Row],[Qulp növü]],Anbar!$J$3:$J$1000,Anbar!$H$3:$H$1000,"Tapilmadi")</f>
        <v>Tapilmadi</v>
      </c>
      <c r="R147" s="179">
        <v>3</v>
      </c>
      <c r="S147" s="180">
        <v>75</v>
      </c>
      <c r="T147" s="181"/>
      <c r="U147" s="179" t="str">
        <f>_xlfn.XLOOKUP(Tablo7[[#This Row],[Petlə]],Anbar!$J$3:$J$1000,Anbar!$H$3:$H$1000,"Tapilmadi")</f>
        <v>Tapilmadi</v>
      </c>
      <c r="V147" s="179">
        <v>0</v>
      </c>
      <c r="W147" s="180">
        <v>0</v>
      </c>
      <c r="X147" s="269">
        <v>21</v>
      </c>
      <c r="Y147" s="179" t="s">
        <v>36</v>
      </c>
      <c r="Z147" s="182"/>
      <c r="AA147" s="180">
        <v>63</v>
      </c>
      <c r="AB147" s="180"/>
      <c r="AC147" s="179" t="str">
        <f>_xlfn.XLOOKUP(Tablo7[[#This Row],[Bağlantı]],Anbar!$J$3:$J$1000,Anbar!$H$3:$H$1000,"Tapilmadi")</f>
        <v>Tapilmadi</v>
      </c>
      <c r="AD147" s="179"/>
      <c r="AE147" s="180">
        <v>12</v>
      </c>
      <c r="AF147" s="180"/>
      <c r="AG147" s="179" t="str">
        <f>_xlfn.XLOOKUP(Tablo7[[#This Row],[Mexanizm]],Anbar!$J$3:$J$1000,Anbar!$H$3:$H$1000,"Tapilmadi")</f>
        <v>Tapilmadi</v>
      </c>
      <c r="AH147" s="179">
        <v>1</v>
      </c>
      <c r="AI147" s="180">
        <v>0</v>
      </c>
      <c r="AJ147" s="180">
        <v>12</v>
      </c>
      <c r="AK147" s="180">
        <v>45</v>
      </c>
      <c r="AL147" s="180">
        <v>0</v>
      </c>
      <c r="AM147" s="180">
        <v>320</v>
      </c>
      <c r="AN147" s="180"/>
      <c r="AO147" s="180">
        <v>320</v>
      </c>
      <c r="AP147" s="194">
        <f>Tablo7[[#This Row],[Ümumi məbləğ]]-Tablo7[[#This Row],[Ödəniş]]-Tablo7[[#This Row],[Endirim]]</f>
        <v>0</v>
      </c>
      <c r="AQ147" s="183" t="str">
        <f t="shared" si="73"/>
        <v>Mesaj</v>
      </c>
      <c r="AR147" s="183" t="str">
        <f t="shared" si="74"/>
        <v>Mesaj</v>
      </c>
      <c r="AS147" s="184" t="str">
        <f>IF(ISNA(VLOOKUP(Tablo7[[#This Row],[Sifariş kodu]],'Kəsim ve təhvil'!$E$5:$E1145,1,0)),"Qəbul edilməyib","Qəbul edilib")</f>
        <v>Qəbul edilməyib</v>
      </c>
      <c r="AT147" s="185" t="str">
        <f>IF(ISNA(VLOOKUP(Tablo7[[#This Row],[Sifariş kodu]],'Kəsim ve təhvil'!$H$5:$H1145,1,0)),"Anbardadır","Təhvil verilib")</f>
        <v>Anbardadır</v>
      </c>
      <c r="AU147" s="186" t="str">
        <f>"Hörmətli *"&amp;Tablo7[[#This Row],[Müştəri]]&amp;"*  ,Sizin *"&amp;G147&amp;"* tarixli sifarişiniz qeydə alındı. Sifariş Məbləğı *"&amp;AM147&amp;" AZN* , Qalıq *"&amp;AP147&amp;" AZN* . Hörmətlə  *AlumPro*"</f>
        <v>Hörmətli *Tural Punhan*  ,Sizin *16,12,2024* tarixli sifarişiniz qeydə alındı. Sifariş Məbləğı *320 AZN* , Qalıq *0 AZN* . Hörmətlə  *AlumPro*</v>
      </c>
      <c r="AV147" s="187" t="str">
        <f>"Hörmətli *"&amp;Tablo7[[#This Row],[Müştəri]]&amp;"* , sizin *"&amp;G147&amp;"* tarixli  sifarişiniz hazırdır . Bizi seçdiyiniz üçün minnətdarıq. Hörmətlə  *AlumPro*."</f>
        <v>Hörmətli *Tural Punhan* , sizin *16,12,2024* tarixli  sifarişiniz hazırdır . Bizi seçdiyiniz üçün minnətdarıq. Hörmətlə  *AlumPro*.</v>
      </c>
      <c r="AW147" s="188" t="str">
        <f t="shared" si="76"/>
        <v>Tural</v>
      </c>
      <c r="AX147" s="189" t="str">
        <f t="shared" si="75"/>
        <v xml:space="preserve">Tural </v>
      </c>
    </row>
    <row r="148" spans="4:50">
      <c r="D148" s="178">
        <v>184</v>
      </c>
      <c r="E148" s="179" t="s">
        <v>509</v>
      </c>
      <c r="F148" s="179" t="s">
        <v>339</v>
      </c>
      <c r="G148" s="212" t="s">
        <v>502</v>
      </c>
      <c r="H148" s="179" t="s">
        <v>158</v>
      </c>
      <c r="I148" s="179" t="s">
        <v>159</v>
      </c>
      <c r="J148" s="179"/>
      <c r="K148" s="179" t="s">
        <v>183</v>
      </c>
      <c r="L148" s="179"/>
      <c r="M148" s="179" t="str">
        <f>_xlfn.XLOOKUP(Tablo7[[#This Row],[Yan Profili]],Anbar!$J$3:$J$1000,Anbar!$H$3:$H$1000,"Tapilmadi")</f>
        <v>Tapilmadi</v>
      </c>
      <c r="N148" s="179">
        <v>6</v>
      </c>
      <c r="O148" s="179">
        <v>138</v>
      </c>
      <c r="P148" s="179" t="s">
        <v>184</v>
      </c>
      <c r="Q148" s="179" t="str">
        <f>_xlfn.XLOOKUP(Tablo7[[#This Row],[Qulp növü]],Anbar!$J$3:$J$1000,Anbar!$H$3:$H$1000,"Tapilmadi")</f>
        <v>Tapilmadi</v>
      </c>
      <c r="R148" s="179">
        <v>4</v>
      </c>
      <c r="S148" s="180">
        <v>104</v>
      </c>
      <c r="T148" s="181"/>
      <c r="U148" s="179" t="str">
        <f>_xlfn.XLOOKUP(Tablo7[[#This Row],[Petlə]],Anbar!$J$3:$J$1000,Anbar!$H$3:$H$1000,"Tapilmadi")</f>
        <v>Tapilmadi</v>
      </c>
      <c r="V148" s="179">
        <v>0</v>
      </c>
      <c r="W148" s="180">
        <v>0</v>
      </c>
      <c r="X148" s="269">
        <v>30</v>
      </c>
      <c r="Y148" s="179" t="s">
        <v>36</v>
      </c>
      <c r="Z148" s="182"/>
      <c r="AA148" s="180">
        <v>127</v>
      </c>
      <c r="AB148" s="180"/>
      <c r="AC148" s="179" t="str">
        <f>_xlfn.XLOOKUP(Tablo7[[#This Row],[Bağlantı]],Anbar!$J$3:$J$1000,Anbar!$H$3:$H$1000,"Tapilmadi")</f>
        <v>Tapilmadi</v>
      </c>
      <c r="AD148" s="179"/>
      <c r="AE148" s="180">
        <v>16</v>
      </c>
      <c r="AF148" s="180"/>
      <c r="AG148" s="179" t="str">
        <f>_xlfn.XLOOKUP(Tablo7[[#This Row],[Mexanizm]],Anbar!$J$3:$J$1000,Anbar!$H$3:$H$1000,"Tapilmadi")</f>
        <v>Tapilmadi</v>
      </c>
      <c r="AH148" s="179">
        <v>1</v>
      </c>
      <c r="AI148" s="180">
        <v>0</v>
      </c>
      <c r="AJ148" s="180">
        <v>16</v>
      </c>
      <c r="AK148" s="180">
        <v>60</v>
      </c>
      <c r="AL148" s="180">
        <v>0</v>
      </c>
      <c r="AM148" s="180">
        <v>491</v>
      </c>
      <c r="AN148" s="180"/>
      <c r="AO148" s="180">
        <v>0</v>
      </c>
      <c r="AP148" s="194">
        <f>Tablo7[[#This Row],[Ümumi məbləğ]]-Tablo7[[#This Row],[Ödəniş]]-Tablo7[[#This Row],[Endirim]]</f>
        <v>491</v>
      </c>
      <c r="AQ148" s="183" t="str">
        <f t="shared" si="73"/>
        <v>Mesaj</v>
      </c>
      <c r="AR148" s="183" t="str">
        <f t="shared" si="74"/>
        <v>Mesaj</v>
      </c>
      <c r="AS148" s="184" t="str">
        <f>IF(ISNA(VLOOKUP(Tablo7[[#This Row],[Sifariş kodu]],'Kəsim ve təhvil'!$E$5:$E1146,1,0)),"Qəbul edilməyib","Qəbul edilib")</f>
        <v>Qəbul edilməyib</v>
      </c>
      <c r="AT148" s="185" t="str">
        <f>IF(ISNA(VLOOKUP(Tablo7[[#This Row],[Sifariş kodu]],'Kəsim ve təhvil'!$H$5:$H1146,1,0)),"Anbardadır","Təhvil verilib")</f>
        <v>Anbardadır</v>
      </c>
      <c r="AU148" s="186" t="str">
        <f>"Hörmətli *"&amp;Tablo7[[#This Row],[Müştəri]]&amp;"*  ,Sizin *"&amp;G148&amp;"* tarixli sifarişiniz qeydə alındı. Sifariş Məbləğı *"&amp;AM148&amp;" AZN* , Qalıq *"&amp;AP148&amp;" AZN* . Hörmətlə  *AlumPro*"</f>
        <v>Hörmətli *My Concept*  ,Sizin *16,12,2024* tarixli sifarişiniz qeydə alındı. Sifariş Məbləğı *491 AZN* , Qalıq *491 AZN* . Hörmətlə  *AlumPro*</v>
      </c>
      <c r="AV148" s="187" t="str">
        <f>"Hörmətli *"&amp;Tablo7[[#This Row],[Müştəri]]&amp;"* , sizin *"&amp;G148&amp;"* tarixli  sifarişiniz hazırdır . Bizi seçdiyiniz üçün minnətdarıq. Hörmətlə  *AlumPro*."</f>
        <v>Hörmətli *My Concept* , sizin *16,12,2024* tarixli  sifarişiniz hazırdır . Bizi seçdiyiniz üçün minnətdarıq. Hörmətlə  *AlumPro*.</v>
      </c>
      <c r="AW148" s="188" t="str">
        <f t="shared" si="76"/>
        <v>My</v>
      </c>
      <c r="AX148" s="189" t="str">
        <f t="shared" si="75"/>
        <v xml:space="preserve">My </v>
      </c>
    </row>
    <row r="149" spans="4:50">
      <c r="D149" s="178">
        <v>183</v>
      </c>
      <c r="E149" s="179" t="s">
        <v>510</v>
      </c>
      <c r="F149" s="179" t="s">
        <v>339</v>
      </c>
      <c r="G149" s="212" t="s">
        <v>502</v>
      </c>
      <c r="H149" s="179" t="s">
        <v>511</v>
      </c>
      <c r="I149" s="179" t="s">
        <v>512</v>
      </c>
      <c r="J149" s="179"/>
      <c r="K149" s="179" t="s">
        <v>226</v>
      </c>
      <c r="L149" s="179"/>
      <c r="M149" s="179" t="str">
        <f>_xlfn.XLOOKUP(Tablo7[[#This Row],[Yan Profili]],Anbar!$J$3:$J$1000,Anbar!$H$3:$H$1000,"Tapilmadi")</f>
        <v>Tapilmadi</v>
      </c>
      <c r="N149" s="179">
        <v>2</v>
      </c>
      <c r="O149" s="179">
        <v>46</v>
      </c>
      <c r="P149" s="179" t="s">
        <v>184</v>
      </c>
      <c r="Q149" s="179" t="str">
        <f>_xlfn.XLOOKUP(Tablo7[[#This Row],[Qulp növü]],Anbar!$J$3:$J$1000,Anbar!$H$3:$H$1000,"Tapilmadi")</f>
        <v>Tapilmadi</v>
      </c>
      <c r="R149" s="179">
        <v>2</v>
      </c>
      <c r="S149" s="180">
        <v>52</v>
      </c>
      <c r="T149" s="181" t="s">
        <v>196</v>
      </c>
      <c r="U149" s="179" t="str">
        <f>_xlfn.XLOOKUP(Tablo7[[#This Row],[Petlə]],Anbar!$J$3:$J$1000,Anbar!$H$3:$H$1000,"Tapilmadi")</f>
        <v>Tapilmadi</v>
      </c>
      <c r="V149" s="179">
        <v>8</v>
      </c>
      <c r="W149" s="180">
        <v>32</v>
      </c>
      <c r="X149" s="269">
        <v>0</v>
      </c>
      <c r="Y149" s="179" t="s">
        <v>387</v>
      </c>
      <c r="Z149" s="182"/>
      <c r="AA149" s="180">
        <v>31</v>
      </c>
      <c r="AB149" s="180"/>
      <c r="AC149" s="179" t="str">
        <f>_xlfn.XLOOKUP(Tablo7[[#This Row],[Bağlantı]],Anbar!$J$3:$J$1000,Anbar!$H$3:$H$1000,"Tapilmadi")</f>
        <v>Tapilmadi</v>
      </c>
      <c r="AD149" s="179"/>
      <c r="AE149" s="180">
        <v>16</v>
      </c>
      <c r="AF149" s="180"/>
      <c r="AG149" s="179" t="str">
        <f>_xlfn.XLOOKUP(Tablo7[[#This Row],[Mexanizm]],Anbar!$J$3:$J$1000,Anbar!$H$3:$H$1000,"Tapilmadi")</f>
        <v>Tapilmadi</v>
      </c>
      <c r="AH149" s="179">
        <v>1</v>
      </c>
      <c r="AI149" s="180">
        <v>0</v>
      </c>
      <c r="AJ149" s="180">
        <v>16</v>
      </c>
      <c r="AK149" s="180">
        <v>30</v>
      </c>
      <c r="AL149" s="180">
        <v>0</v>
      </c>
      <c r="AM149" s="180">
        <v>223</v>
      </c>
      <c r="AN149" s="180"/>
      <c r="AO149" s="180">
        <v>223</v>
      </c>
      <c r="AP149" s="194">
        <f>Tablo7[[#This Row],[Ümumi məbləğ]]-Tablo7[[#This Row],[Ödəniş]]-Tablo7[[#This Row],[Endirim]]</f>
        <v>0</v>
      </c>
      <c r="AQ149" s="183" t="str">
        <f t="shared" si="73"/>
        <v>Mesaj</v>
      </c>
      <c r="AR149" s="183" t="str">
        <f t="shared" si="74"/>
        <v>Mesaj</v>
      </c>
      <c r="AS149" s="184" t="str">
        <f>IF(ISNA(VLOOKUP(Tablo7[[#This Row],[Sifariş kodu]],'Kəsim ve təhvil'!$E$5:$E1147,1,0)),"Qəbul edilməyib","Qəbul edilib")</f>
        <v>Qəbul edilməyib</v>
      </c>
      <c r="AT149" s="185" t="str">
        <f>IF(ISNA(VLOOKUP(Tablo7[[#This Row],[Sifariş kodu]],'Kəsim ve təhvil'!$H$5:$H1147,1,0)),"Anbardadır","Təhvil verilib")</f>
        <v>Anbardadır</v>
      </c>
      <c r="AU149" s="186" t="str">
        <f>"Hörmətli *"&amp;Tablo7[[#This Row],[Müştəri]]&amp;"*  ,Sizin *"&amp;G149&amp;"* tarixli sifarişiniz qeydə alındı. Sifariş Məbləğı *"&amp;AM149&amp;" AZN* , Qalıq *"&amp;AP149&amp;" AZN* . Hörmətlə  *AlumPro*"</f>
        <v>Hörmətli *Ebulfez Qasımzade*  ,Sizin *16,12,2024* tarixli sifarişiniz qeydə alındı. Sifariş Məbləğı *223 AZN* , Qalıq *0 AZN* . Hörmətlə  *AlumPro*</v>
      </c>
      <c r="AV149" s="187" t="str">
        <f>"Hörmətli *"&amp;Tablo7[[#This Row],[Müştəri]]&amp;"* , sizin *"&amp;G149&amp;"* tarixli  sifarişiniz hazırdır . Bizi seçdiyiniz üçün minnətdarıq. Hörmətlə  *AlumPro*."</f>
        <v>Hörmətli *Ebulfez Qasımzade* , sizin *16,12,2024* tarixli  sifarişiniz hazırdır . Bizi seçdiyiniz üçün minnətdarıq. Hörmətlə  *AlumPro*.</v>
      </c>
      <c r="AW149" s="188" t="str">
        <f t="shared" si="76"/>
        <v>Ebulfez</v>
      </c>
      <c r="AX149" s="189" t="str">
        <f t="shared" si="75"/>
        <v xml:space="preserve">Ebulfez </v>
      </c>
    </row>
    <row r="150" spans="4:50">
      <c r="D150" s="178">
        <v>182</v>
      </c>
      <c r="E150" s="179" t="s">
        <v>513</v>
      </c>
      <c r="F150" s="179" t="s">
        <v>339</v>
      </c>
      <c r="G150" s="212" t="s">
        <v>502</v>
      </c>
      <c r="H150" s="179" t="s">
        <v>514</v>
      </c>
      <c r="I150" s="179">
        <v>0</v>
      </c>
      <c r="J150" s="179"/>
      <c r="K150" s="179" t="s">
        <v>189</v>
      </c>
      <c r="L150" s="179"/>
      <c r="M150" s="179" t="str">
        <f>_xlfn.XLOOKUP(Tablo7[[#This Row],[Yan Profili]],Anbar!$J$3:$J$1000,Anbar!$H$3:$H$1000,"Tapilmadi")</f>
        <v>Tapilmadi</v>
      </c>
      <c r="N150" s="179">
        <v>8</v>
      </c>
      <c r="O150" s="179">
        <v>184</v>
      </c>
      <c r="P150" s="179" t="s">
        <v>184</v>
      </c>
      <c r="Q150" s="179" t="str">
        <f>_xlfn.XLOOKUP(Tablo7[[#This Row],[Qulp növü]],Anbar!$J$3:$J$1000,Anbar!$H$3:$H$1000,"Tapilmadi")</f>
        <v>Tapilmadi</v>
      </c>
      <c r="R150" s="179">
        <v>4</v>
      </c>
      <c r="S150" s="180">
        <v>104</v>
      </c>
      <c r="T150" s="181"/>
      <c r="U150" s="179" t="str">
        <f>_xlfn.XLOOKUP(Tablo7[[#This Row],[Petlə]],Anbar!$J$3:$J$1000,Anbar!$H$3:$H$1000,"Tapilmadi")</f>
        <v>Tapilmadi</v>
      </c>
      <c r="V150" s="179">
        <v>0</v>
      </c>
      <c r="W150" s="180">
        <v>0</v>
      </c>
      <c r="X150" s="269">
        <v>0</v>
      </c>
      <c r="Y150" s="179" t="s">
        <v>199</v>
      </c>
      <c r="Z150" s="182"/>
      <c r="AA150" s="180">
        <v>125</v>
      </c>
      <c r="AB150" s="180"/>
      <c r="AC150" s="179" t="str">
        <f>_xlfn.XLOOKUP(Tablo7[[#This Row],[Bağlantı]],Anbar!$J$3:$J$1000,Anbar!$H$3:$H$1000,"Tapilmadi")</f>
        <v>Tapilmadi</v>
      </c>
      <c r="AD150" s="179"/>
      <c r="AE150" s="180">
        <v>16</v>
      </c>
      <c r="AF150" s="180"/>
      <c r="AG150" s="179" t="str">
        <f>_xlfn.XLOOKUP(Tablo7[[#This Row],[Mexanizm]],Anbar!$J$3:$J$1000,Anbar!$H$3:$H$1000,"Tapilmadi")</f>
        <v>Tapilmadi</v>
      </c>
      <c r="AH150" s="179">
        <v>1</v>
      </c>
      <c r="AI150" s="180">
        <v>0</v>
      </c>
      <c r="AJ150" s="180">
        <v>16</v>
      </c>
      <c r="AK150" s="180">
        <v>80</v>
      </c>
      <c r="AL150" s="180">
        <v>175</v>
      </c>
      <c r="AM150" s="180">
        <v>700</v>
      </c>
      <c r="AN150" s="180"/>
      <c r="AO150" s="180">
        <v>700</v>
      </c>
      <c r="AP150" s="194">
        <f>Tablo7[[#This Row],[Ümumi məbləğ]]-Tablo7[[#This Row],[Ödəniş]]-Tablo7[[#This Row],[Endirim]]</f>
        <v>0</v>
      </c>
      <c r="AQ150" s="183" t="str">
        <f t="shared" si="73"/>
        <v>Mesaj</v>
      </c>
      <c r="AR150" s="183" t="str">
        <f t="shared" si="74"/>
        <v>Mesaj</v>
      </c>
      <c r="AS150" s="184" t="str">
        <f>IF(ISNA(VLOOKUP(Tablo7[[#This Row],[Sifariş kodu]],'Kəsim ve təhvil'!$E$5:$E1148,1,0)),"Qəbul edilməyib","Qəbul edilib")</f>
        <v>Qəbul edilməyib</v>
      </c>
      <c r="AT150" s="185" t="str">
        <f>IF(ISNA(VLOOKUP(Tablo7[[#This Row],[Sifariş kodu]],'Kəsim ve təhvil'!$H$5:$H1148,1,0)),"Anbardadır","Təhvil verilib")</f>
        <v>Anbardadır</v>
      </c>
      <c r="AU150" s="186" t="str">
        <f>"Hörmətli *"&amp;Tablo7[[#This Row],[Müştəri]]&amp;"*  ,Sizin *"&amp;G150&amp;"* tarixli sifarişiniz qeydə alındı. Sifariş Məbləğı *"&amp;AM150&amp;" AZN* , Qalıq *"&amp;AP150&amp;" AZN* . Hörmətlə  *AlumPro*"</f>
        <v>Hörmətli *Ceyhun Kaktus*  ,Sizin *16,12,2024* tarixli sifarişiniz qeydə alındı. Sifariş Məbləğı *700 AZN* , Qalıq *0 AZN* . Hörmətlə  *AlumPro*</v>
      </c>
      <c r="AV150" s="187" t="str">
        <f>"Hörmətli *"&amp;Tablo7[[#This Row],[Müştəri]]&amp;"* , sizin *"&amp;G150&amp;"* tarixli  sifarişiniz hazırdır . Bizi seçdiyiniz üçün minnətdarıq. Hörmətlə  *AlumPro*."</f>
        <v>Hörmətli *Ceyhun Kaktus* , sizin *16,12,2024* tarixli  sifarişiniz hazırdır . Bizi seçdiyiniz üçün minnətdarıq. Hörmətlə  *AlumPro*.</v>
      </c>
      <c r="AW150" s="188" t="str">
        <f t="shared" si="76"/>
        <v>Ceyhun</v>
      </c>
      <c r="AX150" s="189" t="str">
        <f t="shared" si="75"/>
        <v xml:space="preserve">Ceyhun </v>
      </c>
    </row>
    <row r="151" spans="4:50">
      <c r="D151" s="178">
        <v>181</v>
      </c>
      <c r="E151" s="179" t="s">
        <v>515</v>
      </c>
      <c r="F151" s="179" t="s">
        <v>339</v>
      </c>
      <c r="G151" s="212" t="s">
        <v>502</v>
      </c>
      <c r="H151" s="179" t="s">
        <v>155</v>
      </c>
      <c r="I151" s="179">
        <v>0</v>
      </c>
      <c r="J151" s="179"/>
      <c r="K151" s="179" t="s">
        <v>189</v>
      </c>
      <c r="L151" s="179"/>
      <c r="M151" s="179" t="str">
        <f>_xlfn.XLOOKUP(Tablo7[[#This Row],[Yan Profili]],Anbar!$J$3:$J$1000,Anbar!$H$3:$H$1000,"Tapilmadi")</f>
        <v>Tapilmadi</v>
      </c>
      <c r="N151" s="179">
        <v>3</v>
      </c>
      <c r="O151" s="179">
        <v>69</v>
      </c>
      <c r="P151" s="179" t="s">
        <v>184</v>
      </c>
      <c r="Q151" s="179" t="str">
        <f>_xlfn.XLOOKUP(Tablo7[[#This Row],[Qulp növü]],Anbar!$J$3:$J$1000,Anbar!$H$3:$H$1000,"Tapilmadi")</f>
        <v>Tapilmadi</v>
      </c>
      <c r="R151" s="179">
        <v>2</v>
      </c>
      <c r="S151" s="180">
        <v>52</v>
      </c>
      <c r="T151" s="181"/>
      <c r="U151" s="179" t="str">
        <f>_xlfn.XLOOKUP(Tablo7[[#This Row],[Petlə]],Anbar!$J$3:$J$1000,Anbar!$H$3:$H$1000,"Tapilmadi")</f>
        <v>Tapilmadi</v>
      </c>
      <c r="V151" s="179">
        <v>0</v>
      </c>
      <c r="W151" s="180">
        <v>0</v>
      </c>
      <c r="X151" s="269">
        <v>0</v>
      </c>
      <c r="Y151" s="179"/>
      <c r="Z151" s="182"/>
      <c r="AA151" s="180">
        <v>0</v>
      </c>
      <c r="AB151" s="180"/>
      <c r="AC151" s="179" t="str">
        <f>_xlfn.XLOOKUP(Tablo7[[#This Row],[Bağlantı]],Anbar!$J$3:$J$1000,Anbar!$H$3:$H$1000,"Tapilmadi")</f>
        <v>Tapilmadi</v>
      </c>
      <c r="AD151" s="179"/>
      <c r="AE151" s="180">
        <v>8</v>
      </c>
      <c r="AF151" s="180"/>
      <c r="AG151" s="179" t="str">
        <f>_xlfn.XLOOKUP(Tablo7[[#This Row],[Mexanizm]],Anbar!$J$3:$J$1000,Anbar!$H$3:$H$1000,"Tapilmadi")</f>
        <v>Tapilmadi</v>
      </c>
      <c r="AH151" s="179">
        <v>1</v>
      </c>
      <c r="AI151" s="180">
        <v>0</v>
      </c>
      <c r="AJ151" s="180">
        <v>8</v>
      </c>
      <c r="AK151" s="180">
        <v>30</v>
      </c>
      <c r="AL151" s="180">
        <v>0</v>
      </c>
      <c r="AM151" s="180">
        <v>167</v>
      </c>
      <c r="AN151" s="180"/>
      <c r="AO151" s="180">
        <v>167</v>
      </c>
      <c r="AP151" s="194">
        <f>Tablo7[[#This Row],[Ümumi məbləğ]]-Tablo7[[#This Row],[Ödəniş]]-Tablo7[[#This Row],[Endirim]]</f>
        <v>0</v>
      </c>
      <c r="AQ151" s="183" t="str">
        <f t="shared" si="73"/>
        <v>Mesaj</v>
      </c>
      <c r="AR151" s="183" t="str">
        <f t="shared" si="74"/>
        <v>Mesaj</v>
      </c>
      <c r="AS151" s="184" t="str">
        <f>IF(ISNA(VLOOKUP(Tablo7[[#This Row],[Sifariş kodu]],'Kəsim ve təhvil'!$E$5:$E1149,1,0)),"Qəbul edilməyib","Qəbul edilib")</f>
        <v>Qəbul edilməyib</v>
      </c>
      <c r="AT151" s="185" t="str">
        <f>IF(ISNA(VLOOKUP(Tablo7[[#This Row],[Sifariş kodu]],'Kəsim ve təhvil'!$H$5:$H1149,1,0)),"Anbardadır","Təhvil verilib")</f>
        <v>Anbardadır</v>
      </c>
      <c r="AU151" s="186" t="str">
        <f>"Hörmətli *"&amp;Tablo7[[#This Row],[Müştəri]]&amp;"*  ,Sizin *"&amp;G151&amp;"* tarixli sifarişiniz qeydə alındı. Sifariş Məbləğı *"&amp;AM151&amp;" AZN* , Qalıq *"&amp;AP151&amp;" AZN* . Hörmətlə  *AlumPro*"</f>
        <v>Hörmətli *Celal Alumpro*  ,Sizin *16,12,2024* tarixli sifarişiniz qeydə alındı. Sifariş Məbləğı *167 AZN* , Qalıq *0 AZN* . Hörmətlə  *AlumPro*</v>
      </c>
      <c r="AV151" s="187" t="str">
        <f>"Hörmətli *"&amp;Tablo7[[#This Row],[Müştəri]]&amp;"* , sizin *"&amp;G151&amp;"* tarixli  sifarişiniz hazırdır . Bizi seçdiyiniz üçün minnətdarıq. Hörmətlə  *AlumPro*."</f>
        <v>Hörmətli *Celal Alumpro* , sizin *16,12,2024* tarixli  sifarişiniz hazırdır . Bizi seçdiyiniz üçün minnətdarıq. Hörmətlə  *AlumPro*.</v>
      </c>
      <c r="AW151" s="188" t="str">
        <f t="shared" si="76"/>
        <v>Celal</v>
      </c>
      <c r="AX151" s="189" t="str">
        <f t="shared" si="75"/>
        <v xml:space="preserve">Celal </v>
      </c>
    </row>
    <row r="152" spans="4:50">
      <c r="D152" s="178">
        <v>180</v>
      </c>
      <c r="E152" s="179" t="s">
        <v>516</v>
      </c>
      <c r="F152" s="179" t="s">
        <v>339</v>
      </c>
      <c r="G152" s="212" t="s">
        <v>502</v>
      </c>
      <c r="H152" s="179" t="s">
        <v>517</v>
      </c>
      <c r="I152" s="179">
        <v>0</v>
      </c>
      <c r="J152" s="179"/>
      <c r="K152" s="179" t="s">
        <v>183</v>
      </c>
      <c r="L152" s="179"/>
      <c r="M152" s="179" t="str">
        <f>_xlfn.XLOOKUP(Tablo7[[#This Row],[Yan Profili]],Anbar!$J$3:$J$1000,Anbar!$H$3:$H$1000,"Tapilmadi")</f>
        <v>Tapilmadi</v>
      </c>
      <c r="N152" s="179">
        <v>3</v>
      </c>
      <c r="O152" s="179">
        <v>69</v>
      </c>
      <c r="P152" s="179" t="s">
        <v>184</v>
      </c>
      <c r="Q152" s="179" t="str">
        <f>_xlfn.XLOOKUP(Tablo7[[#This Row],[Qulp növü]],Anbar!$J$3:$J$1000,Anbar!$H$3:$H$1000,"Tapilmadi")</f>
        <v>Tapilmadi</v>
      </c>
      <c r="R152" s="179">
        <v>2</v>
      </c>
      <c r="S152" s="180">
        <v>52</v>
      </c>
      <c r="T152" s="181"/>
      <c r="U152" s="179" t="str">
        <f>_xlfn.XLOOKUP(Tablo7[[#This Row],[Petlə]],Anbar!$J$3:$J$1000,Anbar!$H$3:$H$1000,"Tapilmadi")</f>
        <v>Tapilmadi</v>
      </c>
      <c r="V152" s="179">
        <v>0</v>
      </c>
      <c r="W152" s="180">
        <v>0</v>
      </c>
      <c r="X152" s="269">
        <v>15</v>
      </c>
      <c r="Y152" s="179" t="s">
        <v>36</v>
      </c>
      <c r="Z152" s="182"/>
      <c r="AA152" s="180">
        <v>45</v>
      </c>
      <c r="AB152" s="180"/>
      <c r="AC152" s="179" t="str">
        <f>_xlfn.XLOOKUP(Tablo7[[#This Row],[Bağlantı]],Anbar!$J$3:$J$1000,Anbar!$H$3:$H$1000,"Tapilmadi")</f>
        <v>Tapilmadi</v>
      </c>
      <c r="AD152" s="179"/>
      <c r="AE152" s="180">
        <v>8</v>
      </c>
      <c r="AF152" s="180"/>
      <c r="AG152" s="179" t="str">
        <f>_xlfn.XLOOKUP(Tablo7[[#This Row],[Mexanizm]],Anbar!$J$3:$J$1000,Anbar!$H$3:$H$1000,"Tapilmadi")</f>
        <v>Tapilmadi</v>
      </c>
      <c r="AH152" s="179">
        <v>1</v>
      </c>
      <c r="AI152" s="180">
        <v>0</v>
      </c>
      <c r="AJ152" s="180">
        <v>10</v>
      </c>
      <c r="AK152" s="180">
        <v>30</v>
      </c>
      <c r="AL152" s="180">
        <v>0</v>
      </c>
      <c r="AM152" s="180">
        <v>229</v>
      </c>
      <c r="AN152" s="180"/>
      <c r="AO152" s="180">
        <v>230</v>
      </c>
      <c r="AP152" s="194">
        <f>Tablo7[[#This Row],[Ümumi məbləğ]]-Tablo7[[#This Row],[Ödəniş]]-Tablo7[[#This Row],[Endirim]]</f>
        <v>-1</v>
      </c>
      <c r="AQ152" s="183" t="str">
        <f t="shared" si="73"/>
        <v>Mesaj</v>
      </c>
      <c r="AR152" s="183" t="str">
        <f t="shared" si="74"/>
        <v>Mesaj</v>
      </c>
      <c r="AS152" s="184" t="str">
        <f>IF(ISNA(VLOOKUP(Tablo7[[#This Row],[Sifariş kodu]],'Kəsim ve təhvil'!$E$5:$E1150,1,0)),"Qəbul edilməyib","Qəbul edilib")</f>
        <v>Qəbul edilməyib</v>
      </c>
      <c r="AT152" s="185" t="str">
        <f>IF(ISNA(VLOOKUP(Tablo7[[#This Row],[Sifariş kodu]],'Kəsim ve təhvil'!$H$5:$H1150,1,0)),"Anbardadır","Təhvil verilib")</f>
        <v>Anbardadır</v>
      </c>
      <c r="AU152" s="186" t="str">
        <f>"Hörmətli *"&amp;Tablo7[[#This Row],[Müştəri]]&amp;"*  ,Sizin *"&amp;G152&amp;"* tarixli sifarişiniz qeydə alındı. Sifariş Məbləğı *"&amp;AM152&amp;" AZN* , Qalıq *"&amp;AP152&amp;" AZN* . Hörmətlə  *AlumPro*"</f>
        <v>Hörmətli *Xeyyam Insallahoglu*  ,Sizin *16,12,2024* tarixli sifarişiniz qeydə alındı. Sifariş Məbləğı *229 AZN* , Qalıq *-1 AZN* . Hörmətlə  *AlumPro*</v>
      </c>
      <c r="AV152" s="187" t="str">
        <f>"Hörmətli *"&amp;Tablo7[[#This Row],[Müştəri]]&amp;"* , sizin *"&amp;G152&amp;"* tarixli  sifarişiniz hazırdır . Bizi seçdiyiniz üçün minnətdarıq. Hörmətlə  *AlumPro*."</f>
        <v>Hörmətli *Xeyyam Insallahoglu* , sizin *16,12,2024* tarixli  sifarişiniz hazırdır . Bizi seçdiyiniz üçün minnətdarıq. Hörmətlə  *AlumPro*.</v>
      </c>
      <c r="AW152" s="188" t="str">
        <f t="shared" si="76"/>
        <v>Xeyyam</v>
      </c>
      <c r="AX152" s="189" t="str">
        <f t="shared" si="75"/>
        <v xml:space="preserve">Xeyyam </v>
      </c>
    </row>
    <row r="153" spans="4:50">
      <c r="D153" s="178">
        <v>179</v>
      </c>
      <c r="E153" s="179" t="s">
        <v>518</v>
      </c>
      <c r="F153" s="179" t="s">
        <v>339</v>
      </c>
      <c r="G153" s="212" t="s">
        <v>502</v>
      </c>
      <c r="H153" s="179" t="s">
        <v>192</v>
      </c>
      <c r="I153" s="179" t="s">
        <v>193</v>
      </c>
      <c r="J153" s="179"/>
      <c r="K153" s="179" t="s">
        <v>183</v>
      </c>
      <c r="L153" s="179"/>
      <c r="M153" s="179" t="str">
        <f>_xlfn.XLOOKUP(Tablo7[[#This Row],[Yan Profili]],Anbar!$J$3:$J$1000,Anbar!$H$3:$H$1000,"Tapilmadi")</f>
        <v>Tapilmadi</v>
      </c>
      <c r="N153" s="179">
        <v>5</v>
      </c>
      <c r="O153" s="179">
        <v>115</v>
      </c>
      <c r="P153" s="179" t="s">
        <v>184</v>
      </c>
      <c r="Q153" s="179" t="str">
        <f>_xlfn.XLOOKUP(Tablo7[[#This Row],[Qulp növü]],Anbar!$J$3:$J$1000,Anbar!$H$3:$H$1000,"Tapilmadi")</f>
        <v>Tapilmadi</v>
      </c>
      <c r="R153" s="179">
        <v>4</v>
      </c>
      <c r="S153" s="180">
        <v>104</v>
      </c>
      <c r="T153" s="181"/>
      <c r="U153" s="179" t="str">
        <f>_xlfn.XLOOKUP(Tablo7[[#This Row],[Petlə]],Anbar!$J$3:$J$1000,Anbar!$H$3:$H$1000,"Tapilmadi")</f>
        <v>Tapilmadi</v>
      </c>
      <c r="V153" s="179">
        <v>0</v>
      </c>
      <c r="W153" s="180">
        <v>0</v>
      </c>
      <c r="X153" s="269">
        <v>27</v>
      </c>
      <c r="Y153" s="179" t="s">
        <v>36</v>
      </c>
      <c r="Z153" s="182"/>
      <c r="AA153" s="180">
        <v>114</v>
      </c>
      <c r="AB153" s="180"/>
      <c r="AC153" s="179" t="str">
        <f>_xlfn.XLOOKUP(Tablo7[[#This Row],[Bağlantı]],Anbar!$J$3:$J$1000,Anbar!$H$3:$H$1000,"Tapilmadi")</f>
        <v>Tapilmadi</v>
      </c>
      <c r="AD153" s="179"/>
      <c r="AE153" s="180">
        <v>16</v>
      </c>
      <c r="AF153" s="180"/>
      <c r="AG153" s="179" t="str">
        <f>_xlfn.XLOOKUP(Tablo7[[#This Row],[Mexanizm]],Anbar!$J$3:$J$1000,Anbar!$H$3:$H$1000,"Tapilmadi")</f>
        <v>Tapilmadi</v>
      </c>
      <c r="AH153" s="179">
        <v>1</v>
      </c>
      <c r="AI153" s="180">
        <v>0</v>
      </c>
      <c r="AJ153" s="180">
        <v>16</v>
      </c>
      <c r="AK153" s="180">
        <v>60</v>
      </c>
      <c r="AL153" s="180">
        <v>0</v>
      </c>
      <c r="AM153" s="180">
        <v>452</v>
      </c>
      <c r="AN153" s="180">
        <v>2</v>
      </c>
      <c r="AO153" s="180">
        <v>450</v>
      </c>
      <c r="AP153" s="194">
        <f>Tablo7[[#This Row],[Ümumi məbləğ]]-Tablo7[[#This Row],[Ödəniş]]-Tablo7[[#This Row],[Endirim]]</f>
        <v>0</v>
      </c>
      <c r="AQ153" s="183" t="str">
        <f t="shared" si="73"/>
        <v>Mesaj</v>
      </c>
      <c r="AR153" s="183" t="str">
        <f t="shared" si="74"/>
        <v>Mesaj</v>
      </c>
      <c r="AS153" s="184" t="str">
        <f>IF(ISNA(VLOOKUP(Tablo7[[#This Row],[Sifariş kodu]],'Kəsim ve təhvil'!$E$5:$E1151,1,0)),"Qəbul edilməyib","Qəbul edilib")</f>
        <v>Qəbul edilməyib</v>
      </c>
      <c r="AT153" s="185" t="str">
        <f>IF(ISNA(VLOOKUP(Tablo7[[#This Row],[Sifariş kodu]],'Kəsim ve təhvil'!$H$5:$H1151,1,0)),"Anbardadır","Təhvil verilib")</f>
        <v>Anbardadır</v>
      </c>
      <c r="AU153" s="186" t="str">
        <f>"Hörmətli *"&amp;Tablo7[[#This Row],[Müştəri]]&amp;"*  ,Sizin *"&amp;G153&amp;"* tarixli sifarişiniz qeydə alındı. Sifariş Məbləğı *"&amp;AM153&amp;" AZN* , Qalıq *"&amp;AP153&amp;" AZN* . Hörmətlə  *AlumPro*"</f>
        <v>Hörmətli *Aksin Mahmudov*  ,Sizin *16,12,2024* tarixli sifarişiniz qeydə alındı. Sifariş Məbləğı *452 AZN* , Qalıq *0 AZN* . Hörmətlə  *AlumPro*</v>
      </c>
      <c r="AV153" s="187" t="str">
        <f>"Hörmətli *"&amp;Tablo7[[#This Row],[Müştəri]]&amp;"* , sizin *"&amp;G153&amp;"* tarixli  sifarişiniz hazırdır . Bizi seçdiyiniz üçün minnətdarıq. Hörmətlə  *AlumPro*."</f>
        <v>Hörmətli *Aksin Mahmudov* , sizin *16,12,2024* tarixli  sifarişiniz hazırdır . Bizi seçdiyiniz üçün minnətdarıq. Hörmətlə  *AlumPro*.</v>
      </c>
      <c r="AW153" s="188" t="str">
        <f t="shared" si="76"/>
        <v>Aksin</v>
      </c>
      <c r="AX153" s="189" t="str">
        <f t="shared" si="75"/>
        <v xml:space="preserve">Aksin </v>
      </c>
    </row>
    <row r="154" spans="4:50">
      <c r="D154" s="178">
        <v>178</v>
      </c>
      <c r="E154" s="179" t="s">
        <v>519</v>
      </c>
      <c r="F154" s="179" t="s">
        <v>339</v>
      </c>
      <c r="G154" s="212" t="s">
        <v>502</v>
      </c>
      <c r="H154" s="179" t="s">
        <v>520</v>
      </c>
      <c r="I154" s="179" t="s">
        <v>521</v>
      </c>
      <c r="J154" s="179"/>
      <c r="K154" s="179" t="s">
        <v>194</v>
      </c>
      <c r="L154" s="179"/>
      <c r="M154" s="179">
        <f>_xlfn.XLOOKUP(Tablo7[[#This Row],[Yan Profili]],Anbar!$J$3:$J$1000,Anbar!$H$3:$H$1000,"Tapilmadi")</f>
        <v>0</v>
      </c>
      <c r="N154" s="179">
        <v>2</v>
      </c>
      <c r="O154" s="179">
        <v>46</v>
      </c>
      <c r="P154" s="179" t="s">
        <v>184</v>
      </c>
      <c r="Q154" s="179" t="str">
        <f>_xlfn.XLOOKUP(Tablo7[[#This Row],[Qulp növü]],Anbar!$J$3:$J$1000,Anbar!$H$3:$H$1000,"Tapilmadi")</f>
        <v>Tapilmadi</v>
      </c>
      <c r="R154" s="179">
        <v>2</v>
      </c>
      <c r="S154" s="180">
        <v>52</v>
      </c>
      <c r="T154" s="181" t="s">
        <v>196</v>
      </c>
      <c r="U154" s="179" t="str">
        <f>_xlfn.XLOOKUP(Tablo7[[#This Row],[Petlə]],Anbar!$J$3:$J$1000,Anbar!$H$3:$H$1000,"Tapilmadi")</f>
        <v>Tapilmadi</v>
      </c>
      <c r="V154" s="179">
        <v>6</v>
      </c>
      <c r="W154" s="180">
        <v>24</v>
      </c>
      <c r="X154" s="269">
        <v>0</v>
      </c>
      <c r="Y154" s="179" t="s">
        <v>406</v>
      </c>
      <c r="Z154" s="182"/>
      <c r="AA154" s="180">
        <v>65</v>
      </c>
      <c r="AB154" s="180"/>
      <c r="AC154" s="179" t="str">
        <f>_xlfn.XLOOKUP(Tablo7[[#This Row],[Bağlantı]],Anbar!$J$3:$J$1000,Anbar!$H$3:$H$1000,"Tapilmadi")</f>
        <v>Tapilmadi</v>
      </c>
      <c r="AD154" s="179"/>
      <c r="AE154" s="180">
        <v>16</v>
      </c>
      <c r="AF154" s="180"/>
      <c r="AG154" s="179" t="str">
        <f>_xlfn.XLOOKUP(Tablo7[[#This Row],[Mexanizm]],Anbar!$J$3:$J$1000,Anbar!$H$3:$H$1000,"Tapilmadi")</f>
        <v>Tapilmadi</v>
      </c>
      <c r="AH154" s="179">
        <v>1</v>
      </c>
      <c r="AI154" s="180">
        <v>0</v>
      </c>
      <c r="AJ154" s="180">
        <v>12</v>
      </c>
      <c r="AK154" s="180">
        <v>30</v>
      </c>
      <c r="AL154" s="180">
        <v>0</v>
      </c>
      <c r="AM154" s="180">
        <v>245</v>
      </c>
      <c r="AN154" s="180"/>
      <c r="AO154" s="180">
        <v>245</v>
      </c>
      <c r="AP154" s="194">
        <f>Tablo7[[#This Row],[Ümumi məbləğ]]-Tablo7[[#This Row],[Ödəniş]]-Tablo7[[#This Row],[Endirim]]</f>
        <v>0</v>
      </c>
      <c r="AQ154" s="183" t="str">
        <f t="shared" si="73"/>
        <v>Mesaj</v>
      </c>
      <c r="AR154" s="183" t="str">
        <f t="shared" si="74"/>
        <v>Mesaj</v>
      </c>
      <c r="AS154" s="184" t="str">
        <f>IF(ISNA(VLOOKUP(Tablo7[[#This Row],[Sifariş kodu]],'Kəsim ve təhvil'!$E$5:$E1152,1,0)),"Qəbul edilməyib","Qəbul edilib")</f>
        <v>Qəbul edilməyib</v>
      </c>
      <c r="AT154" s="185" t="str">
        <f>IF(ISNA(VLOOKUP(Tablo7[[#This Row],[Sifariş kodu]],'Kəsim ve təhvil'!$H$5:$H1152,1,0)),"Anbardadır","Təhvil verilib")</f>
        <v>Anbardadır</v>
      </c>
      <c r="AU154" s="186" t="str">
        <f>"Hörmətli *"&amp;Tablo7[[#This Row],[Müştəri]]&amp;"*  ,Sizin *"&amp;G154&amp;"* tarixli sifarişiniz qeydə alındı. Sifariş Məbləğı *"&amp;AM154&amp;" AZN* , Qalıq *"&amp;AP154&amp;" AZN* . Hörmətlə  *AlumPro*"</f>
        <v>Hörmətli *Aksin Hesenov*  ,Sizin *16,12,2024* tarixli sifarişiniz qeydə alındı. Sifariş Məbləğı *245 AZN* , Qalıq *0 AZN* . Hörmətlə  *AlumPro*</v>
      </c>
      <c r="AV154" s="187" t="str">
        <f>"Hörmətli *"&amp;Tablo7[[#This Row],[Müştəri]]&amp;"* , sizin *"&amp;G154&amp;"* tarixli  sifarişiniz hazırdır . Bizi seçdiyiniz üçün minnətdarıq. Hörmətlə  *AlumPro*."</f>
        <v>Hörmətli *Aksin Hesenov* , sizin *16,12,2024* tarixli  sifarişiniz hazırdır . Bizi seçdiyiniz üçün minnətdarıq. Hörmətlə  *AlumPro*.</v>
      </c>
      <c r="AW154" s="188" t="str">
        <f t="shared" si="76"/>
        <v>Aksin</v>
      </c>
      <c r="AX154" s="189" t="str">
        <f t="shared" si="75"/>
        <v xml:space="preserve">Aksin </v>
      </c>
    </row>
    <row r="155" spans="4:50">
      <c r="D155" s="178">
        <v>177</v>
      </c>
      <c r="E155" s="179" t="s">
        <v>522</v>
      </c>
      <c r="F155" s="179" t="s">
        <v>339</v>
      </c>
      <c r="G155" s="212" t="s">
        <v>502</v>
      </c>
      <c r="H155" s="179" t="s">
        <v>239</v>
      </c>
      <c r="I155" s="179" t="s">
        <v>240</v>
      </c>
      <c r="J155" s="179"/>
      <c r="K155" s="179" t="s">
        <v>183</v>
      </c>
      <c r="L155" s="179"/>
      <c r="M155" s="179" t="str">
        <f>_xlfn.XLOOKUP(Tablo7[[#This Row],[Yan Profili]],Anbar!$J$3:$J$1000,Anbar!$H$3:$H$1000,"Tapilmadi")</f>
        <v>Tapilmadi</v>
      </c>
      <c r="N155" s="179">
        <v>2</v>
      </c>
      <c r="O155" s="179">
        <v>46</v>
      </c>
      <c r="P155" s="179" t="s">
        <v>195</v>
      </c>
      <c r="Q155" s="179" t="str">
        <f>_xlfn.XLOOKUP(Tablo7[[#This Row],[Qulp növü]],Anbar!$J$3:$J$1000,Anbar!$H$3:$H$1000,"Tapilmadi")</f>
        <v>Tapilmadi</v>
      </c>
      <c r="R155" s="179">
        <v>0</v>
      </c>
      <c r="S155" s="180">
        <v>0</v>
      </c>
      <c r="T155" s="181"/>
      <c r="U155" s="179" t="str">
        <f>_xlfn.XLOOKUP(Tablo7[[#This Row],[Petlə]],Anbar!$J$3:$J$1000,Anbar!$H$3:$H$1000,"Tapilmadi")</f>
        <v>Tapilmadi</v>
      </c>
      <c r="V155" s="179">
        <v>0</v>
      </c>
      <c r="W155" s="180">
        <v>0</v>
      </c>
      <c r="X155" s="269">
        <v>6</v>
      </c>
      <c r="Y155" s="179" t="s">
        <v>36</v>
      </c>
      <c r="Z155" s="182"/>
      <c r="AA155" s="180">
        <v>15</v>
      </c>
      <c r="AB155" s="180"/>
      <c r="AC155" s="179" t="str">
        <f>_xlfn.XLOOKUP(Tablo7[[#This Row],[Bağlantı]],Anbar!$J$3:$J$1000,Anbar!$H$3:$H$1000,"Tapilmadi")</f>
        <v>Tapilmadi</v>
      </c>
      <c r="AD155" s="179"/>
      <c r="AE155" s="180">
        <v>8</v>
      </c>
      <c r="AF155" s="180"/>
      <c r="AG155" s="179" t="str">
        <f>_xlfn.XLOOKUP(Tablo7[[#This Row],[Mexanizm]],Anbar!$J$3:$J$1000,Anbar!$H$3:$H$1000,"Tapilmadi")</f>
        <v>Tapilmadi</v>
      </c>
      <c r="AH155" s="179">
        <v>1</v>
      </c>
      <c r="AI155" s="180">
        <v>0</v>
      </c>
      <c r="AJ155" s="180">
        <v>4</v>
      </c>
      <c r="AK155" s="180">
        <v>20</v>
      </c>
      <c r="AL155" s="180">
        <v>0</v>
      </c>
      <c r="AM155" s="180">
        <v>99</v>
      </c>
      <c r="AN155" s="180"/>
      <c r="AO155" s="180">
        <v>100</v>
      </c>
      <c r="AP155" s="194">
        <f>Tablo7[[#This Row],[Ümumi məbləğ]]-Tablo7[[#This Row],[Ödəniş]]-Tablo7[[#This Row],[Endirim]]</f>
        <v>-1</v>
      </c>
      <c r="AQ155" s="183" t="str">
        <f t="shared" si="73"/>
        <v>Mesaj</v>
      </c>
      <c r="AR155" s="183" t="str">
        <f t="shared" si="74"/>
        <v>Mesaj</v>
      </c>
      <c r="AS155" s="184" t="str">
        <f>IF(ISNA(VLOOKUP(Tablo7[[#This Row],[Sifariş kodu]],'Kəsim ve təhvil'!$E$5:$E1153,1,0)),"Qəbul edilməyib","Qəbul edilib")</f>
        <v>Qəbul edilməyib</v>
      </c>
      <c r="AT155" s="185" t="str">
        <f>IF(ISNA(VLOOKUP(Tablo7[[#This Row],[Sifariş kodu]],'Kəsim ve təhvil'!$H$5:$H1153,1,0)),"Anbardadır","Təhvil verilib")</f>
        <v>Anbardadır</v>
      </c>
      <c r="AU155" s="186" t="str">
        <f>"Hörmətli *"&amp;Tablo7[[#This Row],[Müştəri]]&amp;"*  ,Sizin *"&amp;G155&amp;"* tarixli sifarişiniz qeydə alındı. Sifariş Məbləğı *"&amp;AM155&amp;" AZN* , Qalıq *"&amp;AP155&amp;" AZN* . Hörmətlə  *AlumPro*"</f>
        <v>Hörmətli *Mansur Aliyev*  ,Sizin *16,12,2024* tarixli sifarişiniz qeydə alındı. Sifariş Məbləğı *99 AZN* , Qalıq *-1 AZN* . Hörmətlə  *AlumPro*</v>
      </c>
      <c r="AV155" s="187" t="str">
        <f>"Hörmətli *"&amp;Tablo7[[#This Row],[Müştəri]]&amp;"* , sizin *"&amp;G155&amp;"* tarixli  sifarişiniz hazırdır . Bizi seçdiyiniz üçün minnətdarıq. Hörmətlə  *AlumPro*."</f>
        <v>Hörmətli *Mansur Aliyev* , sizin *16,12,2024* tarixli  sifarişiniz hazırdır . Bizi seçdiyiniz üçün minnətdarıq. Hörmətlə  *AlumPro*.</v>
      </c>
      <c r="AW155" s="188" t="str">
        <f t="shared" si="76"/>
        <v>Mansur</v>
      </c>
      <c r="AX155" s="189" t="str">
        <f t="shared" si="75"/>
        <v xml:space="preserve">Mansur </v>
      </c>
    </row>
    <row r="156" spans="4:50">
      <c r="D156" s="178">
        <v>176</v>
      </c>
      <c r="E156" s="179" t="s">
        <v>523</v>
      </c>
      <c r="F156" s="179" t="s">
        <v>339</v>
      </c>
      <c r="G156" s="212" t="s">
        <v>502</v>
      </c>
      <c r="H156" s="179" t="s">
        <v>239</v>
      </c>
      <c r="I156" s="179" t="s">
        <v>240</v>
      </c>
      <c r="J156" s="179"/>
      <c r="K156" s="179" t="s">
        <v>183</v>
      </c>
      <c r="L156" s="179"/>
      <c r="M156" s="179" t="str">
        <f>_xlfn.XLOOKUP(Tablo7[[#This Row],[Yan Profili]],Anbar!$J$3:$J$1000,Anbar!$H$3:$H$1000,"Tapilmadi")</f>
        <v>Tapilmadi</v>
      </c>
      <c r="N156" s="179">
        <v>2</v>
      </c>
      <c r="O156" s="179">
        <v>46</v>
      </c>
      <c r="P156" s="179" t="s">
        <v>195</v>
      </c>
      <c r="Q156" s="179" t="str">
        <f>_xlfn.XLOOKUP(Tablo7[[#This Row],[Qulp növü]],Anbar!$J$3:$J$1000,Anbar!$H$3:$H$1000,"Tapilmadi")</f>
        <v>Tapilmadi</v>
      </c>
      <c r="R156" s="179">
        <v>0</v>
      </c>
      <c r="S156" s="180">
        <v>0</v>
      </c>
      <c r="T156" s="181"/>
      <c r="U156" s="179" t="str">
        <f>_xlfn.XLOOKUP(Tablo7[[#This Row],[Petlə]],Anbar!$J$3:$J$1000,Anbar!$H$3:$H$1000,"Tapilmadi")</f>
        <v>Tapilmadi</v>
      </c>
      <c r="V156" s="179">
        <v>0</v>
      </c>
      <c r="W156" s="180">
        <v>0</v>
      </c>
      <c r="X156" s="269">
        <v>6</v>
      </c>
      <c r="Y156" s="179" t="s">
        <v>36</v>
      </c>
      <c r="Z156" s="182"/>
      <c r="AA156" s="180">
        <v>15</v>
      </c>
      <c r="AB156" s="180"/>
      <c r="AC156" s="179" t="str">
        <f>_xlfn.XLOOKUP(Tablo7[[#This Row],[Bağlantı]],Anbar!$J$3:$J$1000,Anbar!$H$3:$H$1000,"Tapilmadi")</f>
        <v>Tapilmadi</v>
      </c>
      <c r="AD156" s="179"/>
      <c r="AE156" s="180">
        <v>8</v>
      </c>
      <c r="AF156" s="180"/>
      <c r="AG156" s="179" t="str">
        <f>_xlfn.XLOOKUP(Tablo7[[#This Row],[Mexanizm]],Anbar!$J$3:$J$1000,Anbar!$H$3:$H$1000,"Tapilmadi")</f>
        <v>Tapilmadi</v>
      </c>
      <c r="AH156" s="179">
        <v>1</v>
      </c>
      <c r="AI156" s="180">
        <v>0</v>
      </c>
      <c r="AJ156" s="180">
        <v>4</v>
      </c>
      <c r="AK156" s="180">
        <v>20</v>
      </c>
      <c r="AL156" s="180">
        <v>0</v>
      </c>
      <c r="AM156" s="180">
        <v>99</v>
      </c>
      <c r="AN156" s="180"/>
      <c r="AO156" s="180">
        <v>100</v>
      </c>
      <c r="AP156" s="194">
        <f>Tablo7[[#This Row],[Ümumi məbləğ]]-Tablo7[[#This Row],[Ödəniş]]-Tablo7[[#This Row],[Endirim]]</f>
        <v>-1</v>
      </c>
      <c r="AQ156" s="183" t="str">
        <f t="shared" si="73"/>
        <v>Mesaj</v>
      </c>
      <c r="AR156" s="183" t="str">
        <f t="shared" si="74"/>
        <v>Mesaj</v>
      </c>
      <c r="AS156" s="184" t="str">
        <f>IF(ISNA(VLOOKUP(Tablo7[[#This Row],[Sifariş kodu]],'Kəsim ve təhvil'!$E$5:$E1154,1,0)),"Qəbul edilməyib","Qəbul edilib")</f>
        <v>Qəbul edilməyib</v>
      </c>
      <c r="AT156" s="185" t="str">
        <f>IF(ISNA(VLOOKUP(Tablo7[[#This Row],[Sifariş kodu]],'Kəsim ve təhvil'!$H$5:$H1154,1,0)),"Anbardadır","Təhvil verilib")</f>
        <v>Anbardadır</v>
      </c>
      <c r="AU156" s="186" t="str">
        <f>"Hörmətli *"&amp;Tablo7[[#This Row],[Müştəri]]&amp;"*  ,Sizin *"&amp;G156&amp;"* tarixli sifarişiniz qeydə alındı. Sifariş Məbləğı *"&amp;AM156&amp;" AZN* , Qalıq *"&amp;AP156&amp;" AZN* . Hörmətlə  *AlumPro*"</f>
        <v>Hörmətli *Mansur Aliyev*  ,Sizin *16,12,2024* tarixli sifarişiniz qeydə alındı. Sifariş Məbləğı *99 AZN* , Qalıq *-1 AZN* . Hörmətlə  *AlumPro*</v>
      </c>
      <c r="AV156" s="187" t="str">
        <f>"Hörmətli *"&amp;Tablo7[[#This Row],[Müştəri]]&amp;"* , sizin *"&amp;G156&amp;"* tarixli  sifarişiniz hazırdır . Bizi seçdiyiniz üçün minnətdarıq. Hörmətlə  *AlumPro*."</f>
        <v>Hörmətli *Mansur Aliyev* , sizin *16,12,2024* tarixli  sifarişiniz hazırdır . Bizi seçdiyiniz üçün minnətdarıq. Hörmətlə  *AlumPro*.</v>
      </c>
      <c r="AW156" s="188" t="str">
        <f t="shared" si="76"/>
        <v>Mansur</v>
      </c>
      <c r="AX156" s="189" t="str">
        <f t="shared" si="75"/>
        <v xml:space="preserve">Mansur </v>
      </c>
    </row>
    <row r="157" spans="4:50">
      <c r="D157" s="178">
        <v>175</v>
      </c>
      <c r="E157" s="179" t="s">
        <v>524</v>
      </c>
      <c r="F157" s="179" t="s">
        <v>339</v>
      </c>
      <c r="G157" s="212" t="s">
        <v>525</v>
      </c>
      <c r="H157" s="179" t="s">
        <v>526</v>
      </c>
      <c r="I157" s="179">
        <v>0</v>
      </c>
      <c r="J157" s="179"/>
      <c r="K157" s="179" t="s">
        <v>405</v>
      </c>
      <c r="L157" s="179"/>
      <c r="M157" s="179" t="str">
        <f>_xlfn.XLOOKUP(Tablo7[[#This Row],[Yan Profili]],Anbar!$J$3:$J$1000,Anbar!$H$3:$H$1000,"Tapilmadi")</f>
        <v>Tapilmadi</v>
      </c>
      <c r="N157" s="179">
        <v>3</v>
      </c>
      <c r="O157" s="179">
        <v>69</v>
      </c>
      <c r="P157" s="179" t="s">
        <v>184</v>
      </c>
      <c r="Q157" s="179" t="str">
        <f>_xlfn.XLOOKUP(Tablo7[[#This Row],[Qulp növü]],Anbar!$J$3:$J$1000,Anbar!$H$3:$H$1000,"Tapilmadi")</f>
        <v>Tapilmadi</v>
      </c>
      <c r="R157" s="179">
        <v>2</v>
      </c>
      <c r="S157" s="180">
        <v>52</v>
      </c>
      <c r="T157" s="181"/>
      <c r="U157" s="179" t="str">
        <f>_xlfn.XLOOKUP(Tablo7[[#This Row],[Petlə]],Anbar!$J$3:$J$1000,Anbar!$H$3:$H$1000,"Tapilmadi")</f>
        <v>Tapilmadi</v>
      </c>
      <c r="V157" s="179">
        <v>0</v>
      </c>
      <c r="W157" s="180">
        <v>0</v>
      </c>
      <c r="X157" s="269">
        <v>0</v>
      </c>
      <c r="Y157" s="179" t="s">
        <v>36</v>
      </c>
      <c r="Z157" s="182"/>
      <c r="AA157" s="180">
        <v>41</v>
      </c>
      <c r="AB157" s="180"/>
      <c r="AC157" s="179" t="str">
        <f>_xlfn.XLOOKUP(Tablo7[[#This Row],[Bağlantı]],Anbar!$J$3:$J$1000,Anbar!$H$3:$H$1000,"Tapilmadi")</f>
        <v>Tapilmadi</v>
      </c>
      <c r="AD157" s="179"/>
      <c r="AE157" s="180">
        <v>20</v>
      </c>
      <c r="AF157" s="180"/>
      <c r="AG157" s="179" t="str">
        <f>_xlfn.XLOOKUP(Tablo7[[#This Row],[Mexanizm]],Anbar!$J$3:$J$1000,Anbar!$H$3:$H$1000,"Tapilmadi")</f>
        <v>Tapilmadi</v>
      </c>
      <c r="AH157" s="179">
        <v>1</v>
      </c>
      <c r="AI157" s="180">
        <v>0</v>
      </c>
      <c r="AJ157" s="180">
        <v>10</v>
      </c>
      <c r="AK157" s="180">
        <v>50</v>
      </c>
      <c r="AL157" s="180">
        <v>0</v>
      </c>
      <c r="AM157" s="180">
        <v>242</v>
      </c>
      <c r="AN157" s="180">
        <v>2</v>
      </c>
      <c r="AO157" s="180">
        <v>240</v>
      </c>
      <c r="AP157" s="194">
        <f>Tablo7[[#This Row],[Ümumi məbləğ]]-Tablo7[[#This Row],[Ödəniş]]-Tablo7[[#This Row],[Endirim]]</f>
        <v>0</v>
      </c>
      <c r="AQ157" s="183" t="str">
        <f t="shared" si="73"/>
        <v>Mesaj</v>
      </c>
      <c r="AR157" s="183" t="str">
        <f t="shared" si="74"/>
        <v>Mesaj</v>
      </c>
      <c r="AS157" s="184" t="str">
        <f>IF(ISNA(VLOOKUP(Tablo7[[#This Row],[Sifariş kodu]],'Kəsim ve təhvil'!$E$5:$E1155,1,0)),"Qəbul edilməyib","Qəbul edilib")</f>
        <v>Qəbul edilməyib</v>
      </c>
      <c r="AT157" s="185" t="str">
        <f>IF(ISNA(VLOOKUP(Tablo7[[#This Row],[Sifariş kodu]],'Kəsim ve təhvil'!$H$5:$H1155,1,0)),"Anbardadır","Təhvil verilib")</f>
        <v>Anbardadır</v>
      </c>
      <c r="AU157" s="186" t="str">
        <f>"Hörmətli *"&amp;Tablo7[[#This Row],[Müştəri]]&amp;"*  ,Sizin *"&amp;G157&amp;"* tarixli sifarişiniz qeydə alındı. Sifariş Məbləğı *"&amp;AM157&amp;" AZN* , Qalıq *"&amp;AP157&amp;" AZN* . Hörmətlə  *AlumPro*"</f>
        <v>Hörmətli *Perviz Bine*  ,Sizin *14,12,2024* tarixli sifarişiniz qeydə alındı. Sifariş Məbləğı *242 AZN* , Qalıq *0 AZN* . Hörmətlə  *AlumPro*</v>
      </c>
      <c r="AV157" s="187" t="str">
        <f>"Hörmətli *"&amp;Tablo7[[#This Row],[Müştəri]]&amp;"* , sizin *"&amp;G157&amp;"* tarixli  sifarişiniz hazırdır . Bizi seçdiyiniz üçün minnətdarıq. Hörmətlə  *AlumPro*."</f>
        <v>Hörmətli *Perviz Bine* , sizin *14,12,2024* tarixli  sifarişiniz hazırdır . Bizi seçdiyiniz üçün minnətdarıq. Hörmətlə  *AlumPro*.</v>
      </c>
      <c r="AW157" s="188" t="str">
        <f t="shared" si="76"/>
        <v>Perviz</v>
      </c>
      <c r="AX157" s="189" t="str">
        <f t="shared" si="75"/>
        <v xml:space="preserve">Perviz </v>
      </c>
    </row>
    <row r="158" spans="4:50">
      <c r="D158" s="178">
        <v>174</v>
      </c>
      <c r="E158" s="179" t="s">
        <v>527</v>
      </c>
      <c r="F158" s="179" t="s">
        <v>339</v>
      </c>
      <c r="G158" s="212" t="s">
        <v>525</v>
      </c>
      <c r="H158" s="179" t="s">
        <v>528</v>
      </c>
      <c r="I158" s="179" t="s">
        <v>529</v>
      </c>
      <c r="J158" s="179"/>
      <c r="K158" s="179" t="s">
        <v>183</v>
      </c>
      <c r="L158" s="179"/>
      <c r="M158" s="179" t="str">
        <f>_xlfn.XLOOKUP(Tablo7[[#This Row],[Yan Profili]],Anbar!$J$3:$J$1000,Anbar!$H$3:$H$1000,"Tapilmadi")</f>
        <v>Tapilmadi</v>
      </c>
      <c r="N158" s="179">
        <v>15</v>
      </c>
      <c r="O158" s="179">
        <v>345</v>
      </c>
      <c r="P158" s="179" t="s">
        <v>184</v>
      </c>
      <c r="Q158" s="179" t="str">
        <f>_xlfn.XLOOKUP(Tablo7[[#This Row],[Qulp növü]],Anbar!$J$3:$J$1000,Anbar!$H$3:$H$1000,"Tapilmadi")</f>
        <v>Tapilmadi</v>
      </c>
      <c r="R158" s="179">
        <v>7</v>
      </c>
      <c r="S158" s="180">
        <v>182</v>
      </c>
      <c r="T158" s="181"/>
      <c r="U158" s="179" t="str">
        <f>_xlfn.XLOOKUP(Tablo7[[#This Row],[Petlə]],Anbar!$J$3:$J$1000,Anbar!$H$3:$H$1000,"Tapilmadi")</f>
        <v>Tapilmadi</v>
      </c>
      <c r="V158" s="179">
        <v>0</v>
      </c>
      <c r="W158" s="180">
        <v>0</v>
      </c>
      <c r="X158" s="269">
        <v>60</v>
      </c>
      <c r="Y158" s="179" t="s">
        <v>36</v>
      </c>
      <c r="Z158" s="182"/>
      <c r="AA158" s="180">
        <v>241</v>
      </c>
      <c r="AB158" s="180"/>
      <c r="AC158" s="179" t="str">
        <f>_xlfn.XLOOKUP(Tablo7[[#This Row],[Bağlantı]],Anbar!$J$3:$J$1000,Anbar!$H$3:$H$1000,"Tapilmadi")</f>
        <v>Tapilmadi</v>
      </c>
      <c r="AD158" s="179"/>
      <c r="AE158" s="180">
        <v>68</v>
      </c>
      <c r="AF158" s="180"/>
      <c r="AG158" s="179" t="str">
        <f>_xlfn.XLOOKUP(Tablo7[[#This Row],[Mexanizm]],Anbar!$J$3:$J$1000,Anbar!$H$3:$H$1000,"Tapilmadi")</f>
        <v>Tapilmadi</v>
      </c>
      <c r="AH158" s="179">
        <v>1</v>
      </c>
      <c r="AI158" s="180">
        <v>0</v>
      </c>
      <c r="AJ158" s="180">
        <v>40</v>
      </c>
      <c r="AK158" s="180">
        <v>265</v>
      </c>
      <c r="AL158" s="180">
        <v>0</v>
      </c>
      <c r="AM158" s="180">
        <v>1201</v>
      </c>
      <c r="AN158" s="180">
        <v>1</v>
      </c>
      <c r="AO158" s="180">
        <v>1200</v>
      </c>
      <c r="AP158" s="194">
        <f>Tablo7[[#This Row],[Ümumi məbləğ]]-Tablo7[[#This Row],[Ödəniş]]-Tablo7[[#This Row],[Endirim]]</f>
        <v>0</v>
      </c>
      <c r="AQ158" s="183" t="str">
        <f t="shared" si="73"/>
        <v>Mesaj</v>
      </c>
      <c r="AR158" s="183" t="str">
        <f t="shared" si="74"/>
        <v>Mesaj</v>
      </c>
      <c r="AS158" s="184" t="str">
        <f>IF(ISNA(VLOOKUP(Tablo7[[#This Row],[Sifariş kodu]],'Kəsim ve təhvil'!$E$5:$E1156,1,0)),"Qəbul edilməyib","Qəbul edilib")</f>
        <v>Qəbul edilməyib</v>
      </c>
      <c r="AT158" s="185" t="str">
        <f>IF(ISNA(VLOOKUP(Tablo7[[#This Row],[Sifariş kodu]],'Kəsim ve təhvil'!$H$5:$H1156,1,0)),"Anbardadır","Təhvil verilib")</f>
        <v>Anbardadır</v>
      </c>
      <c r="AU158" s="186" t="str">
        <f>"Hörmətli *"&amp;Tablo7[[#This Row],[Müştəri]]&amp;"*  ,Sizin *"&amp;G158&amp;"* tarixli sifarişiniz qeydə alındı. Sifariş Məbləğı *"&amp;AM158&amp;" AZN* , Qalıq *"&amp;AP158&amp;" AZN* . Hörmətlə  *AlumPro*"</f>
        <v>Hörmətli *Vuqar Abdullazade*  ,Sizin *14,12,2024* tarixli sifarişiniz qeydə alındı. Sifariş Məbləğı *1201 AZN* , Qalıq *0 AZN* . Hörmətlə  *AlumPro*</v>
      </c>
      <c r="AV158" s="187" t="str">
        <f>"Hörmətli *"&amp;Tablo7[[#This Row],[Müştəri]]&amp;"* , sizin *"&amp;G158&amp;"* tarixli  sifarişiniz hazırdır . Bizi seçdiyiniz üçün minnətdarıq. Hörmətlə  *AlumPro*."</f>
        <v>Hörmətli *Vuqar Abdullazade* , sizin *14,12,2024* tarixli  sifarişiniz hazırdır . Bizi seçdiyiniz üçün minnətdarıq. Hörmətlə  *AlumPro*.</v>
      </c>
      <c r="AW158" s="188" t="str">
        <f t="shared" si="76"/>
        <v>Vuqar</v>
      </c>
      <c r="AX158" s="189" t="str">
        <f t="shared" si="75"/>
        <v xml:space="preserve">Vuqar </v>
      </c>
    </row>
    <row r="159" spans="4:50">
      <c r="D159" s="178">
        <v>173</v>
      </c>
      <c r="E159" s="179" t="s">
        <v>530</v>
      </c>
      <c r="F159" s="179" t="s">
        <v>339</v>
      </c>
      <c r="G159" s="212" t="s">
        <v>531</v>
      </c>
      <c r="H159" s="179" t="s">
        <v>532</v>
      </c>
      <c r="I159" s="179" t="s">
        <v>533</v>
      </c>
      <c r="J159" s="179"/>
      <c r="K159" s="179" t="s">
        <v>405</v>
      </c>
      <c r="L159" s="179"/>
      <c r="M159" s="179" t="str">
        <f>_xlfn.XLOOKUP(Tablo7[[#This Row],[Yan Profili]],Anbar!$J$3:$J$1000,Anbar!$H$3:$H$1000,"Tapilmadi")</f>
        <v>Tapilmadi</v>
      </c>
      <c r="N159" s="179">
        <v>19</v>
      </c>
      <c r="O159" s="179">
        <v>437</v>
      </c>
      <c r="P159" s="179" t="s">
        <v>184</v>
      </c>
      <c r="Q159" s="179" t="str">
        <f>_xlfn.XLOOKUP(Tablo7[[#This Row],[Qulp növü]],Anbar!$J$3:$J$1000,Anbar!$H$3:$H$1000,"Tapilmadi")</f>
        <v>Tapilmadi</v>
      </c>
      <c r="R159" s="179">
        <v>16</v>
      </c>
      <c r="S159" s="180">
        <v>416</v>
      </c>
      <c r="T159" s="181"/>
      <c r="U159" s="179" t="str">
        <f>_xlfn.XLOOKUP(Tablo7[[#This Row],[Petlə]],Anbar!$J$3:$J$1000,Anbar!$H$3:$H$1000,"Tapilmadi")</f>
        <v>Tapilmadi</v>
      </c>
      <c r="V159" s="179">
        <v>0</v>
      </c>
      <c r="W159" s="180">
        <v>0</v>
      </c>
      <c r="X159" s="269">
        <v>30</v>
      </c>
      <c r="Y159" s="179" t="s">
        <v>199</v>
      </c>
      <c r="Z159" s="182"/>
      <c r="AA159" s="180">
        <v>339</v>
      </c>
      <c r="AB159" s="180"/>
      <c r="AC159" s="179" t="str">
        <f>_xlfn.XLOOKUP(Tablo7[[#This Row],[Bağlantı]],Anbar!$J$3:$J$1000,Anbar!$H$3:$H$1000,"Tapilmadi")</f>
        <v>Tapilmadi</v>
      </c>
      <c r="AD159" s="179"/>
      <c r="AE159" s="180">
        <v>64</v>
      </c>
      <c r="AF159" s="180"/>
      <c r="AG159" s="179" t="str">
        <f>_xlfn.XLOOKUP(Tablo7[[#This Row],[Mexanizm]],Anbar!$J$3:$J$1000,Anbar!$H$3:$H$1000,"Tapilmadi")</f>
        <v>Tapilmadi</v>
      </c>
      <c r="AH159" s="179">
        <v>1</v>
      </c>
      <c r="AI159" s="180">
        <v>0</v>
      </c>
      <c r="AJ159" s="180">
        <v>64</v>
      </c>
      <c r="AK159" s="180">
        <v>240</v>
      </c>
      <c r="AL159" s="180">
        <v>0</v>
      </c>
      <c r="AM159" s="180">
        <v>1590</v>
      </c>
      <c r="AN159" s="180"/>
      <c r="AO159" s="180">
        <v>1590</v>
      </c>
      <c r="AP159" s="194">
        <f>Tablo7[[#This Row],[Ümumi məbləğ]]-Tablo7[[#This Row],[Ödəniş]]-Tablo7[[#This Row],[Endirim]]</f>
        <v>0</v>
      </c>
      <c r="AQ159" s="183" t="str">
        <f t="shared" si="73"/>
        <v>Mesaj</v>
      </c>
      <c r="AR159" s="183" t="str">
        <f t="shared" si="74"/>
        <v>Mesaj</v>
      </c>
      <c r="AS159" s="184" t="str">
        <f>IF(ISNA(VLOOKUP(Tablo7[[#This Row],[Sifariş kodu]],'Kəsim ve təhvil'!$E$5:$E1157,1,0)),"Qəbul edilməyib","Qəbul edilib")</f>
        <v>Qəbul edilməyib</v>
      </c>
      <c r="AT159" s="185" t="str">
        <f>IF(ISNA(VLOOKUP(Tablo7[[#This Row],[Sifariş kodu]],'Kəsim ve təhvil'!$H$5:$H1157,1,0)),"Anbardadır","Təhvil verilib")</f>
        <v>Anbardadır</v>
      </c>
      <c r="AU159" s="186" t="str">
        <f>"Hörmətli *"&amp;Tablo7[[#This Row],[Müştəri]]&amp;"*  ,Sizin *"&amp;G159&amp;"* tarixli sifarişiniz qeydə alındı. Sifariş Məbləğı *"&amp;AM159&amp;" AZN* , Qalıq *"&amp;AP159&amp;" AZN* . Hörmətlə  *AlumPro*"</f>
        <v>Hörmətli *Natiq Nesirov*  ,Sizin *13,12,2024* tarixli sifarişiniz qeydə alındı. Sifariş Məbləğı *1590 AZN* , Qalıq *0 AZN* . Hörmətlə  *AlumPro*</v>
      </c>
      <c r="AV159" s="187" t="str">
        <f>"Hörmətli *"&amp;Tablo7[[#This Row],[Müştəri]]&amp;"* , sizin *"&amp;G159&amp;"* tarixli  sifarişiniz hazırdır . Bizi seçdiyiniz üçün minnətdarıq. Hörmətlə  *AlumPro*."</f>
        <v>Hörmətli *Natiq Nesirov* , sizin *13,12,2024* tarixli  sifarişiniz hazırdır . Bizi seçdiyiniz üçün minnətdarıq. Hörmətlə  *AlumPro*.</v>
      </c>
      <c r="AW159" s="188" t="str">
        <f t="shared" si="76"/>
        <v>Natiq</v>
      </c>
      <c r="AX159" s="189" t="str">
        <f t="shared" si="75"/>
        <v xml:space="preserve">Natiq </v>
      </c>
    </row>
    <row r="160" spans="4:50">
      <c r="D160" s="178">
        <v>172</v>
      </c>
      <c r="E160" s="179" t="s">
        <v>534</v>
      </c>
      <c r="F160" s="179" t="s">
        <v>339</v>
      </c>
      <c r="G160" s="212" t="s">
        <v>531</v>
      </c>
      <c r="H160" s="179" t="s">
        <v>532</v>
      </c>
      <c r="I160" s="179" t="s">
        <v>533</v>
      </c>
      <c r="J160" s="179"/>
      <c r="K160" s="179" t="s">
        <v>183</v>
      </c>
      <c r="L160" s="179"/>
      <c r="M160" s="179" t="str">
        <f>_xlfn.XLOOKUP(Tablo7[[#This Row],[Yan Profili]],Anbar!$J$3:$J$1000,Anbar!$H$3:$H$1000,"Tapilmadi")</f>
        <v>Tapilmadi</v>
      </c>
      <c r="N160" s="179">
        <v>6</v>
      </c>
      <c r="O160" s="179">
        <v>138</v>
      </c>
      <c r="P160" s="179" t="s">
        <v>184</v>
      </c>
      <c r="Q160" s="179" t="str">
        <f>_xlfn.XLOOKUP(Tablo7[[#This Row],[Qulp növü]],Anbar!$J$3:$J$1000,Anbar!$H$3:$H$1000,"Tapilmadi")</f>
        <v>Tapilmadi</v>
      </c>
      <c r="R160" s="179">
        <v>4</v>
      </c>
      <c r="S160" s="180">
        <v>104</v>
      </c>
      <c r="T160" s="181"/>
      <c r="U160" s="179" t="str">
        <f>_xlfn.XLOOKUP(Tablo7[[#This Row],[Petlə]],Anbar!$J$3:$J$1000,Anbar!$H$3:$H$1000,"Tapilmadi")</f>
        <v>Tapilmadi</v>
      </c>
      <c r="V160" s="179">
        <v>0</v>
      </c>
      <c r="W160" s="180">
        <v>0</v>
      </c>
      <c r="X160" s="269">
        <v>30</v>
      </c>
      <c r="Y160" s="179" t="s">
        <v>36</v>
      </c>
      <c r="Z160" s="182"/>
      <c r="AA160" s="180">
        <v>123</v>
      </c>
      <c r="AB160" s="180"/>
      <c r="AC160" s="179" t="str">
        <f>_xlfn.XLOOKUP(Tablo7[[#This Row],[Bağlantı]],Anbar!$J$3:$J$1000,Anbar!$H$3:$H$1000,"Tapilmadi")</f>
        <v>Tapilmadi</v>
      </c>
      <c r="AD160" s="179"/>
      <c r="AE160" s="180">
        <v>24</v>
      </c>
      <c r="AF160" s="180"/>
      <c r="AG160" s="179" t="str">
        <f>_xlfn.XLOOKUP(Tablo7[[#This Row],[Mexanizm]],Anbar!$J$3:$J$1000,Anbar!$H$3:$H$1000,"Tapilmadi")</f>
        <v>Tapilmadi</v>
      </c>
      <c r="AH160" s="179">
        <v>1</v>
      </c>
      <c r="AI160" s="180">
        <v>0</v>
      </c>
      <c r="AJ160" s="180">
        <v>21</v>
      </c>
      <c r="AK160" s="180">
        <v>75</v>
      </c>
      <c r="AL160" s="180">
        <v>0</v>
      </c>
      <c r="AM160" s="180">
        <v>515</v>
      </c>
      <c r="AN160" s="180"/>
      <c r="AO160" s="180">
        <v>515</v>
      </c>
      <c r="AP160" s="194">
        <f>Tablo7[[#This Row],[Ümumi məbləğ]]-Tablo7[[#This Row],[Ödəniş]]-Tablo7[[#This Row],[Endirim]]</f>
        <v>0</v>
      </c>
      <c r="AQ160" s="183" t="str">
        <f t="shared" si="73"/>
        <v>Mesaj</v>
      </c>
      <c r="AR160" s="183" t="str">
        <f t="shared" si="74"/>
        <v>Mesaj</v>
      </c>
      <c r="AS160" s="184" t="str">
        <f>IF(ISNA(VLOOKUP(Tablo7[[#This Row],[Sifariş kodu]],'Kəsim ve təhvil'!$E$5:$E1158,1,0)),"Qəbul edilməyib","Qəbul edilib")</f>
        <v>Qəbul edilməyib</v>
      </c>
      <c r="AT160" s="185" t="str">
        <f>IF(ISNA(VLOOKUP(Tablo7[[#This Row],[Sifariş kodu]],'Kəsim ve təhvil'!$H$5:$H1158,1,0)),"Anbardadır","Təhvil verilib")</f>
        <v>Anbardadır</v>
      </c>
      <c r="AU160" s="186" t="str">
        <f>"Hörmətli *"&amp;Tablo7[[#This Row],[Müştəri]]&amp;"*  ,Sizin *"&amp;G160&amp;"* tarixli sifarişiniz qeydə alındı. Sifariş Məbləğı *"&amp;AM160&amp;" AZN* , Qalıq *"&amp;AP160&amp;" AZN* . Hörmətlə  *AlumPro*"</f>
        <v>Hörmətli *Natiq Nesirov*  ,Sizin *13,12,2024* tarixli sifarişiniz qeydə alındı. Sifariş Məbləğı *515 AZN* , Qalıq *0 AZN* . Hörmətlə  *AlumPro*</v>
      </c>
      <c r="AV160" s="187" t="str">
        <f>"Hörmətli *"&amp;Tablo7[[#This Row],[Müştəri]]&amp;"* , sizin *"&amp;G160&amp;"* tarixli  sifarişiniz hazırdır . Bizi seçdiyiniz üçün minnətdarıq. Hörmətlə  *AlumPro*."</f>
        <v>Hörmətli *Natiq Nesirov* , sizin *13,12,2024* tarixli  sifarişiniz hazırdır . Bizi seçdiyiniz üçün minnətdarıq. Hörmətlə  *AlumPro*.</v>
      </c>
      <c r="AW160" s="188" t="str">
        <f t="shared" si="76"/>
        <v>Natiq</v>
      </c>
      <c r="AX160" s="189" t="str">
        <f t="shared" si="75"/>
        <v xml:space="preserve">Natiq </v>
      </c>
    </row>
    <row r="161" spans="4:50">
      <c r="D161" s="178">
        <v>171</v>
      </c>
      <c r="E161" s="179" t="s">
        <v>535</v>
      </c>
      <c r="F161" s="179" t="s">
        <v>339</v>
      </c>
      <c r="G161" s="212" t="s">
        <v>531</v>
      </c>
      <c r="H161" s="179" t="s">
        <v>479</v>
      </c>
      <c r="I161" s="179" t="s">
        <v>480</v>
      </c>
      <c r="J161" s="179"/>
      <c r="K161" s="179" t="s">
        <v>189</v>
      </c>
      <c r="L161" s="179"/>
      <c r="M161" s="179" t="str">
        <f>_xlfn.XLOOKUP(Tablo7[[#This Row],[Yan Profili]],Anbar!$J$3:$J$1000,Anbar!$H$3:$H$1000,"Tapilmadi")</f>
        <v>Tapilmadi</v>
      </c>
      <c r="N161" s="179">
        <v>2</v>
      </c>
      <c r="O161" s="179">
        <v>46</v>
      </c>
      <c r="P161" s="179" t="s">
        <v>184</v>
      </c>
      <c r="Q161" s="179" t="str">
        <f>_xlfn.XLOOKUP(Tablo7[[#This Row],[Qulp növü]],Anbar!$J$3:$J$1000,Anbar!$H$3:$H$1000,"Tapilmadi")</f>
        <v>Tapilmadi</v>
      </c>
      <c r="R161" s="179">
        <v>1</v>
      </c>
      <c r="S161" s="180">
        <v>26</v>
      </c>
      <c r="T161" s="181"/>
      <c r="U161" s="179" t="str">
        <f>_xlfn.XLOOKUP(Tablo7[[#This Row],[Petlə]],Anbar!$J$3:$J$1000,Anbar!$H$3:$H$1000,"Tapilmadi")</f>
        <v>Tapilmadi</v>
      </c>
      <c r="V161" s="179">
        <v>0</v>
      </c>
      <c r="W161" s="180">
        <v>0</v>
      </c>
      <c r="X161" s="269">
        <v>0</v>
      </c>
      <c r="Y161" s="179" t="s">
        <v>276</v>
      </c>
      <c r="Z161" s="182"/>
      <c r="AA161" s="180">
        <v>48</v>
      </c>
      <c r="AB161" s="180"/>
      <c r="AC161" s="179" t="str">
        <f>_xlfn.XLOOKUP(Tablo7[[#This Row],[Bağlantı]],Anbar!$J$3:$J$1000,Anbar!$H$3:$H$1000,"Tapilmadi")</f>
        <v>Tapilmadi</v>
      </c>
      <c r="AD161" s="179"/>
      <c r="AE161" s="180">
        <v>4</v>
      </c>
      <c r="AF161" s="180"/>
      <c r="AG161" s="179" t="str">
        <f>_xlfn.XLOOKUP(Tablo7[[#This Row],[Mexanizm]],Anbar!$J$3:$J$1000,Anbar!$H$3:$H$1000,"Tapilmadi")</f>
        <v>Tapilmadi</v>
      </c>
      <c r="AH161" s="179">
        <v>1</v>
      </c>
      <c r="AI161" s="180">
        <v>0</v>
      </c>
      <c r="AJ161" s="180">
        <v>5</v>
      </c>
      <c r="AK161" s="180">
        <v>15</v>
      </c>
      <c r="AL161" s="180">
        <v>0</v>
      </c>
      <c r="AM161" s="180">
        <v>144</v>
      </c>
      <c r="AN161" s="180"/>
      <c r="AO161" s="180">
        <v>144</v>
      </c>
      <c r="AP161" s="194">
        <f>Tablo7[[#This Row],[Ümumi məbləğ]]-Tablo7[[#This Row],[Ödəniş]]-Tablo7[[#This Row],[Endirim]]</f>
        <v>0</v>
      </c>
      <c r="AQ161" s="183" t="str">
        <f t="shared" si="73"/>
        <v>Mesaj</v>
      </c>
      <c r="AR161" s="183" t="str">
        <f t="shared" si="74"/>
        <v>Mesaj</v>
      </c>
      <c r="AS161" s="184" t="str">
        <f>IF(ISNA(VLOOKUP(Tablo7[[#This Row],[Sifariş kodu]],'Kəsim ve təhvil'!$E$5:$E1159,1,0)),"Qəbul edilməyib","Qəbul edilib")</f>
        <v>Qəbul edilməyib</v>
      </c>
      <c r="AT161" s="185" t="str">
        <f>IF(ISNA(VLOOKUP(Tablo7[[#This Row],[Sifariş kodu]],'Kəsim ve təhvil'!$H$5:$H1159,1,0)),"Anbardadır","Təhvil verilib")</f>
        <v>Anbardadır</v>
      </c>
      <c r="AU161" s="186" t="str">
        <f>"Hörmətli *"&amp;Tablo7[[#This Row],[Müştəri]]&amp;"*  ,Sizin *"&amp;G161&amp;"* tarixli sifarişiniz qeydə alındı. Sifariş Məbləğı *"&amp;AM161&amp;" AZN* , Qalıq *"&amp;AP161&amp;" AZN* . Hörmətlə  *AlumPro*"</f>
        <v>Hörmətli *Zakir Bmw Servis*  ,Sizin *13,12,2024* tarixli sifarişiniz qeydə alındı. Sifariş Məbləğı *144 AZN* , Qalıq *0 AZN* . Hörmətlə  *AlumPro*</v>
      </c>
      <c r="AV161" s="187" t="str">
        <f>"Hörmətli *"&amp;Tablo7[[#This Row],[Müştəri]]&amp;"* , sizin *"&amp;G161&amp;"* tarixli  sifarişiniz hazırdır . Bizi seçdiyiniz üçün minnətdarıq. Hörmətlə  *AlumPro*."</f>
        <v>Hörmətli *Zakir Bmw Servis* , sizin *13,12,2024* tarixli  sifarişiniz hazırdır . Bizi seçdiyiniz üçün minnətdarıq. Hörmətlə  *AlumPro*.</v>
      </c>
      <c r="AW161" s="188" t="str">
        <f t="shared" si="76"/>
        <v>Zakir</v>
      </c>
      <c r="AX161" s="189" t="str">
        <f t="shared" si="75"/>
        <v xml:space="preserve">Zakir </v>
      </c>
    </row>
    <row r="162" spans="4:50">
      <c r="D162" s="178">
        <v>170</v>
      </c>
      <c r="E162" s="179" t="s">
        <v>536</v>
      </c>
      <c r="F162" s="179" t="s">
        <v>339</v>
      </c>
      <c r="G162" s="212" t="s">
        <v>531</v>
      </c>
      <c r="H162" s="179" t="s">
        <v>438</v>
      </c>
      <c r="I162" s="179">
        <v>0</v>
      </c>
      <c r="J162" s="179"/>
      <c r="K162" s="179" t="s">
        <v>183</v>
      </c>
      <c r="L162" s="179"/>
      <c r="M162" s="179">
        <f>_xlfn.XLOOKUP(Tablo7[[#This Row],[Yan Profili]],Anbar!$J$3:$J$1000,Anbar!$H$3:$H$1000,"Tapilmadi")</f>
        <v>0</v>
      </c>
      <c r="N162" s="179">
        <v>2</v>
      </c>
      <c r="O162" s="179">
        <v>46</v>
      </c>
      <c r="P162" s="179" t="s">
        <v>195</v>
      </c>
      <c r="Q162" s="179" t="str">
        <f>_xlfn.XLOOKUP(Tablo7[[#This Row],[Qulp növü]],Anbar!$J$3:$J$1000,Anbar!$H$3:$H$1000,"Tapilmadi")</f>
        <v>Tapilmadi</v>
      </c>
      <c r="R162" s="179">
        <v>0</v>
      </c>
      <c r="S162" s="180">
        <v>0</v>
      </c>
      <c r="T162" s="181"/>
      <c r="U162" s="179" t="str">
        <f>_xlfn.XLOOKUP(Tablo7[[#This Row],[Petlə]],Anbar!$J$3:$J$1000,Anbar!$H$3:$H$1000,"Tapilmadi")</f>
        <v>Tapilmadi</v>
      </c>
      <c r="V162" s="179">
        <v>0</v>
      </c>
      <c r="W162" s="180">
        <v>0</v>
      </c>
      <c r="X162" s="269">
        <v>6</v>
      </c>
      <c r="Y162" s="179" t="s">
        <v>387</v>
      </c>
      <c r="Z162" s="182"/>
      <c r="AA162" s="180">
        <v>28</v>
      </c>
      <c r="AB162" s="180"/>
      <c r="AC162" s="179" t="str">
        <f>_xlfn.XLOOKUP(Tablo7[[#This Row],[Bağlantı]],Anbar!$J$3:$J$1000,Anbar!$H$3:$H$1000,"Tapilmadi")</f>
        <v>Tapilmadi</v>
      </c>
      <c r="AD162" s="179"/>
      <c r="AE162" s="180">
        <v>4</v>
      </c>
      <c r="AF162" s="180"/>
      <c r="AG162" s="179" t="str">
        <f>_xlfn.XLOOKUP(Tablo7[[#This Row],[Mexanizm]],Anbar!$J$3:$J$1000,Anbar!$H$3:$H$1000,"Tapilmadi")</f>
        <v>Tapilmadi</v>
      </c>
      <c r="AH162" s="179">
        <v>1</v>
      </c>
      <c r="AI162" s="180">
        <v>0</v>
      </c>
      <c r="AJ162" s="180">
        <v>4</v>
      </c>
      <c r="AK162" s="180">
        <v>15</v>
      </c>
      <c r="AL162" s="180">
        <v>0</v>
      </c>
      <c r="AM162" s="180">
        <v>103</v>
      </c>
      <c r="AN162" s="180"/>
      <c r="AO162" s="180">
        <v>103</v>
      </c>
      <c r="AP162" s="194">
        <f>Tablo7[[#This Row],[Ümumi məbləğ]]-Tablo7[[#This Row],[Ödəniş]]-Tablo7[[#This Row],[Endirim]]</f>
        <v>0</v>
      </c>
      <c r="AQ162" s="183" t="str">
        <f t="shared" si="73"/>
        <v>Mesaj</v>
      </c>
      <c r="AR162" s="183" t="str">
        <f t="shared" si="74"/>
        <v>Mesaj</v>
      </c>
      <c r="AS162" s="184" t="str">
        <f>IF(ISNA(VLOOKUP(Tablo7[[#This Row],[Sifariş kodu]],'Kəsim ve təhvil'!$E$5:$E1160,1,0)),"Qəbul edilməyib","Qəbul edilib")</f>
        <v>Qəbul edilməyib</v>
      </c>
      <c r="AT162" s="185" t="str">
        <f>IF(ISNA(VLOOKUP(Tablo7[[#This Row],[Sifariş kodu]],'Kəsim ve təhvil'!$H$5:$H1160,1,0)),"Anbardadır","Təhvil verilib")</f>
        <v>Anbardadır</v>
      </c>
      <c r="AU162" s="186" t="str">
        <f>"Hörmətli *"&amp;Tablo7[[#This Row],[Müştəri]]&amp;"*  ,Sizin *"&amp;G162&amp;"* tarixli sifarişiniz qeydə alındı. Sifariş Məbləğı *"&amp;AM162&amp;" AZN* , Qalıq *"&amp;AP162&amp;" AZN* . Hörmətlə  *AlumPro*"</f>
        <v>Hörmətli *Emin Badamdar*  ,Sizin *13,12,2024* tarixli sifarişiniz qeydə alındı. Sifariş Məbləğı *103 AZN* , Qalıq *0 AZN* . Hörmətlə  *AlumPro*</v>
      </c>
      <c r="AV162" s="187" t="str">
        <f>"Hörmətli *"&amp;Tablo7[[#This Row],[Müştəri]]&amp;"* , sizin *"&amp;G162&amp;"* tarixli  sifarişiniz hazırdır . Bizi seçdiyiniz üçün minnətdarıq. Hörmətlə  *AlumPro*."</f>
        <v>Hörmətli *Emin Badamdar* , sizin *13,12,2024* tarixli  sifarişiniz hazırdır . Bizi seçdiyiniz üçün minnətdarıq. Hörmətlə  *AlumPro*.</v>
      </c>
      <c r="AW162" s="188" t="str">
        <f t="shared" si="76"/>
        <v>Emin</v>
      </c>
      <c r="AX162" s="189" t="str">
        <f t="shared" si="75"/>
        <v xml:space="preserve">Emin </v>
      </c>
    </row>
    <row r="163" spans="4:50">
      <c r="D163" s="178">
        <v>169</v>
      </c>
      <c r="E163" s="179" t="s">
        <v>537</v>
      </c>
      <c r="F163" s="179" t="s">
        <v>339</v>
      </c>
      <c r="G163" s="212" t="s">
        <v>531</v>
      </c>
      <c r="H163" s="179" t="s">
        <v>538</v>
      </c>
      <c r="I163" s="179">
        <v>0</v>
      </c>
      <c r="J163" s="179" t="s">
        <v>539</v>
      </c>
      <c r="K163" s="179" t="s">
        <v>183</v>
      </c>
      <c r="L163" s="179"/>
      <c r="M163" s="179" t="str">
        <f>_xlfn.XLOOKUP(Tablo7[[#This Row],[Yan Profili]],Anbar!$J$3:$J$1000,Anbar!$H$3:$H$1000,"Tapilmadi")</f>
        <v>Tapilmadi</v>
      </c>
      <c r="N163" s="179">
        <v>2</v>
      </c>
      <c r="O163" s="179">
        <v>46</v>
      </c>
      <c r="P163" s="179" t="s">
        <v>184</v>
      </c>
      <c r="Q163" s="179" t="str">
        <f>_xlfn.XLOOKUP(Tablo7[[#This Row],[Qulp növü]],Anbar!$J$3:$J$1000,Anbar!$H$3:$H$1000,"Tapilmadi")</f>
        <v>Tapilmadi</v>
      </c>
      <c r="R163" s="179">
        <v>1</v>
      </c>
      <c r="S163" s="180">
        <v>26</v>
      </c>
      <c r="T163" s="181"/>
      <c r="U163" s="179" t="str">
        <f>_xlfn.XLOOKUP(Tablo7[[#This Row],[Petlə]],Anbar!$J$3:$J$1000,Anbar!$H$3:$H$1000,"Tapilmadi")</f>
        <v>Tapilmadi</v>
      </c>
      <c r="V163" s="179">
        <v>0</v>
      </c>
      <c r="W163" s="180">
        <v>0</v>
      </c>
      <c r="X163" s="269">
        <v>9</v>
      </c>
      <c r="Y163" s="179" t="s">
        <v>36</v>
      </c>
      <c r="Z163" s="182"/>
      <c r="AA163" s="180">
        <v>26</v>
      </c>
      <c r="AB163" s="180"/>
      <c r="AC163" s="179" t="str">
        <f>_xlfn.XLOOKUP(Tablo7[[#This Row],[Bağlantı]],Anbar!$J$3:$J$1000,Anbar!$H$3:$H$1000,"Tapilmadi")</f>
        <v>Tapilmadi</v>
      </c>
      <c r="AD163" s="179"/>
      <c r="AE163" s="180">
        <v>12</v>
      </c>
      <c r="AF163" s="180"/>
      <c r="AG163" s="179" t="str">
        <f>_xlfn.XLOOKUP(Tablo7[[#This Row],[Mexanizm]],Anbar!$J$3:$J$1000,Anbar!$H$3:$H$1000,"Tapilmadi")</f>
        <v>Tapilmadi</v>
      </c>
      <c r="AH163" s="179">
        <v>1</v>
      </c>
      <c r="AI163" s="180">
        <v>0</v>
      </c>
      <c r="AJ163" s="180">
        <v>6</v>
      </c>
      <c r="AK163" s="180">
        <v>25</v>
      </c>
      <c r="AL163" s="180">
        <v>0</v>
      </c>
      <c r="AM163" s="180">
        <v>150</v>
      </c>
      <c r="AN163" s="180"/>
      <c r="AO163" s="180">
        <v>150</v>
      </c>
      <c r="AP163" s="194">
        <f>Tablo7[[#This Row],[Ümumi məbləğ]]-Tablo7[[#This Row],[Ödəniş]]-Tablo7[[#This Row],[Endirim]]</f>
        <v>0</v>
      </c>
      <c r="AQ163" s="183" t="str">
        <f t="shared" si="73"/>
        <v>Mesaj</v>
      </c>
      <c r="AR163" s="183" t="str">
        <f t="shared" si="74"/>
        <v>Mesaj</v>
      </c>
      <c r="AS163" s="184" t="str">
        <f>IF(ISNA(VLOOKUP(Tablo7[[#This Row],[Sifariş kodu]],'Kəsim ve təhvil'!$E$5:$E1161,1,0)),"Qəbul edilməyib","Qəbul edilib")</f>
        <v>Qəbul edilməyib</v>
      </c>
      <c r="AT163" s="185" t="str">
        <f>IF(ISNA(VLOOKUP(Tablo7[[#This Row],[Sifariş kodu]],'Kəsim ve təhvil'!$H$5:$H1161,1,0)),"Anbardadır","Təhvil verilib")</f>
        <v>Anbardadır</v>
      </c>
      <c r="AU163" s="186" t="str">
        <f>"Hörmətli *"&amp;Tablo7[[#This Row],[Müştəri]]&amp;"*  ,Sizin *"&amp;G163&amp;"* tarixli sifarişiniz qeydə alındı. Sifariş Məbləğı *"&amp;AM163&amp;" AZN* , Qalıq *"&amp;AP163&amp;" AZN* . Hörmətlə  *AlumPro*"</f>
        <v>Hörmətli *Rufet Salyan*  ,Sizin *13,12,2024* tarixli sifarişiniz qeydə alındı. Sifariş Məbləğı *150 AZN* , Qalıq *0 AZN* . Hörmətlə  *AlumPro*</v>
      </c>
      <c r="AV163" s="187" t="str">
        <f>"Hörmətli *"&amp;Tablo7[[#This Row],[Müştəri]]&amp;"* , sizin *"&amp;G163&amp;"* tarixli  sifarişiniz hazırdır . Bizi seçdiyiniz üçün minnətdarıq. Hörmətlə  *AlumPro*."</f>
        <v>Hörmətli *Rufet Salyan* , sizin *13,12,2024* tarixli  sifarişiniz hazırdır . Bizi seçdiyiniz üçün minnətdarıq. Hörmətlə  *AlumPro*.</v>
      </c>
      <c r="AW163" s="188" t="str">
        <f t="shared" si="76"/>
        <v>Rufet</v>
      </c>
      <c r="AX163" s="189" t="str">
        <f t="shared" si="75"/>
        <v xml:space="preserve">Rufet </v>
      </c>
    </row>
    <row r="164" spans="4:50">
      <c r="D164" s="178">
        <v>168</v>
      </c>
      <c r="E164" s="179" t="s">
        <v>540</v>
      </c>
      <c r="F164" s="179" t="s">
        <v>339</v>
      </c>
      <c r="G164" s="212" t="s">
        <v>531</v>
      </c>
      <c r="H164" s="179" t="s">
        <v>272</v>
      </c>
      <c r="I164" s="179" t="s">
        <v>273</v>
      </c>
      <c r="J164" s="179" t="s">
        <v>541</v>
      </c>
      <c r="K164" s="179" t="s">
        <v>429</v>
      </c>
      <c r="L164" s="179"/>
      <c r="M164" s="179" t="str">
        <f>_xlfn.XLOOKUP(Tablo7[[#This Row],[Yan Profili]],Anbar!$J$3:$J$1000,Anbar!$H$3:$H$1000,"Tapilmadi")</f>
        <v>Tapilmadi</v>
      </c>
      <c r="N164" s="179">
        <v>8</v>
      </c>
      <c r="O164" s="179">
        <v>280</v>
      </c>
      <c r="P164" s="179" t="s">
        <v>195</v>
      </c>
      <c r="Q164" s="179" t="str">
        <f>_xlfn.XLOOKUP(Tablo7[[#This Row],[Qulp növü]],Anbar!$J$3:$J$1000,Anbar!$H$3:$H$1000,"Tapilmadi")</f>
        <v>Tapilmadi</v>
      </c>
      <c r="R164" s="179">
        <v>0</v>
      </c>
      <c r="S164" s="180">
        <v>0</v>
      </c>
      <c r="T164" s="181"/>
      <c r="U164" s="179" t="str">
        <f>_xlfn.XLOOKUP(Tablo7[[#This Row],[Petlə]],Anbar!$J$3:$J$1000,Anbar!$H$3:$H$1000,"Tapilmadi")</f>
        <v>Tapilmadi</v>
      </c>
      <c r="V164" s="179">
        <v>0</v>
      </c>
      <c r="W164" s="180">
        <v>0</v>
      </c>
      <c r="X164" s="269">
        <v>0</v>
      </c>
      <c r="Y164" s="179" t="s">
        <v>276</v>
      </c>
      <c r="Z164" s="182"/>
      <c r="AA164" s="180">
        <v>153</v>
      </c>
      <c r="AB164" s="180"/>
      <c r="AC164" s="179" t="str">
        <f>_xlfn.XLOOKUP(Tablo7[[#This Row],[Bağlantı]],Anbar!$J$3:$J$1000,Anbar!$H$3:$H$1000,"Tapilmadi")</f>
        <v>Tapilmadi</v>
      </c>
      <c r="AD164" s="179"/>
      <c r="AE164" s="180">
        <v>16</v>
      </c>
      <c r="AF164" s="180"/>
      <c r="AG164" s="179" t="str">
        <f>_xlfn.XLOOKUP(Tablo7[[#This Row],[Mexanizm]],Anbar!$J$3:$J$1000,Anbar!$H$3:$H$1000,"Tapilmadi")</f>
        <v>Tapilmadi</v>
      </c>
      <c r="AH164" s="179">
        <v>1</v>
      </c>
      <c r="AI164" s="180">
        <v>0</v>
      </c>
      <c r="AJ164" s="180">
        <v>20</v>
      </c>
      <c r="AK164" s="180">
        <v>80</v>
      </c>
      <c r="AL164" s="180">
        <v>0</v>
      </c>
      <c r="AM164" s="180">
        <v>549</v>
      </c>
      <c r="AN164" s="180"/>
      <c r="AO164" s="180">
        <v>549</v>
      </c>
      <c r="AP164" s="194">
        <f>Tablo7[[#This Row],[Ümumi məbləğ]]-Tablo7[[#This Row],[Ödəniş]]-Tablo7[[#This Row],[Endirim]]</f>
        <v>0</v>
      </c>
      <c r="AQ164" s="183" t="str">
        <f t="shared" si="73"/>
        <v>Mesaj</v>
      </c>
      <c r="AR164" s="183" t="str">
        <f t="shared" si="74"/>
        <v>Mesaj</v>
      </c>
      <c r="AS164" s="184" t="str">
        <f>IF(ISNA(VLOOKUP(Tablo7[[#This Row],[Sifariş kodu]],'Kəsim ve təhvil'!$E$5:$E1162,1,0)),"Qəbul edilməyib","Qəbul edilib")</f>
        <v>Qəbul edilməyib</v>
      </c>
      <c r="AT164" s="185" t="str">
        <f>IF(ISNA(VLOOKUP(Tablo7[[#This Row],[Sifariş kodu]],'Kəsim ve təhvil'!$H$5:$H1162,1,0)),"Anbardadır","Təhvil verilib")</f>
        <v>Anbardadır</v>
      </c>
      <c r="AU164" s="186" t="str">
        <f>"Hörmətli *"&amp;Tablo7[[#This Row],[Müştəri]]&amp;"*  ,Sizin *"&amp;G164&amp;"* tarixli sifarişiniz qeydə alındı. Sifariş Məbləğı *"&amp;AM164&amp;" AZN* , Qalıq *"&amp;AP164&amp;" AZN* . Hörmətlə  *AlumPro*"</f>
        <v>Hörmətli *Resad Mebelline *  ,Sizin *13,12,2024* tarixli sifarişiniz qeydə alındı. Sifariş Məbləğı *549 AZN* , Qalıq *0 AZN* . Hörmətlə  *AlumPro*</v>
      </c>
      <c r="AV164" s="187" t="str">
        <f>"Hörmətli *"&amp;Tablo7[[#This Row],[Müştəri]]&amp;"* , sizin *"&amp;G164&amp;"* tarixli  sifarişiniz hazırdır . Bizi seçdiyiniz üçün minnətdarıq. Hörmətlə  *AlumPro*."</f>
        <v>Hörmətli *Resad Mebelline * , sizin *13,12,2024* tarixli  sifarişiniz hazırdır . Bizi seçdiyiniz üçün minnətdarıq. Hörmətlə  *AlumPro*.</v>
      </c>
      <c r="AW164" s="188" t="str">
        <f t="shared" si="76"/>
        <v>Resad</v>
      </c>
      <c r="AX164" s="189" t="str">
        <f t="shared" si="75"/>
        <v xml:space="preserve">Resad </v>
      </c>
    </row>
    <row r="165" spans="4:50">
      <c r="D165" s="178">
        <v>167</v>
      </c>
      <c r="E165" s="179" t="s">
        <v>542</v>
      </c>
      <c r="F165" s="179" t="s">
        <v>339</v>
      </c>
      <c r="G165" s="212" t="s">
        <v>531</v>
      </c>
      <c r="H165" s="179" t="s">
        <v>272</v>
      </c>
      <c r="I165" s="179" t="s">
        <v>273</v>
      </c>
      <c r="J165" s="179"/>
      <c r="K165" s="179" t="s">
        <v>429</v>
      </c>
      <c r="L165" s="179"/>
      <c r="M165" s="179" t="str">
        <f>_xlfn.XLOOKUP(Tablo7[[#This Row],[Yan Profili]],Anbar!$J$3:$J$1000,Anbar!$H$3:$H$1000,"Tapilmadi")</f>
        <v>Tapilmadi</v>
      </c>
      <c r="N165" s="179">
        <v>2</v>
      </c>
      <c r="O165" s="179">
        <v>70</v>
      </c>
      <c r="P165" s="179" t="s">
        <v>195</v>
      </c>
      <c r="Q165" s="179" t="str">
        <f>_xlfn.XLOOKUP(Tablo7[[#This Row],[Qulp növü]],Anbar!$J$3:$J$1000,Anbar!$H$3:$H$1000,"Tapilmadi")</f>
        <v>Tapilmadi</v>
      </c>
      <c r="R165" s="179">
        <v>0</v>
      </c>
      <c r="S165" s="180">
        <v>0</v>
      </c>
      <c r="T165" s="181"/>
      <c r="U165" s="179" t="str">
        <f>_xlfn.XLOOKUP(Tablo7[[#This Row],[Petlə]],Anbar!$J$3:$J$1000,Anbar!$H$3:$H$1000,"Tapilmadi")</f>
        <v>Tapilmadi</v>
      </c>
      <c r="V165" s="179">
        <v>0</v>
      </c>
      <c r="W165" s="180">
        <v>0</v>
      </c>
      <c r="X165" s="269">
        <v>0</v>
      </c>
      <c r="Y165" s="179" t="s">
        <v>36</v>
      </c>
      <c r="Z165" s="182"/>
      <c r="AA165" s="180">
        <v>72</v>
      </c>
      <c r="AB165" s="180"/>
      <c r="AC165" s="179" t="str">
        <f>_xlfn.XLOOKUP(Tablo7[[#This Row],[Bağlantı]],Anbar!$J$3:$J$1000,Anbar!$H$3:$H$1000,"Tapilmadi")</f>
        <v>Tapilmadi</v>
      </c>
      <c r="AD165" s="179"/>
      <c r="AE165" s="180">
        <v>4</v>
      </c>
      <c r="AF165" s="180"/>
      <c r="AG165" s="179" t="str">
        <f>_xlfn.XLOOKUP(Tablo7[[#This Row],[Mexanizm]],Anbar!$J$3:$J$1000,Anbar!$H$3:$H$1000,"Tapilmadi")</f>
        <v>Tapilmadi</v>
      </c>
      <c r="AH165" s="179">
        <v>1</v>
      </c>
      <c r="AI165" s="180">
        <v>0</v>
      </c>
      <c r="AJ165" s="180">
        <v>0</v>
      </c>
      <c r="AK165" s="180">
        <v>15</v>
      </c>
      <c r="AL165" s="180">
        <v>0</v>
      </c>
      <c r="AM165" s="180">
        <v>161</v>
      </c>
      <c r="AN165" s="180">
        <v>1</v>
      </c>
      <c r="AO165" s="180">
        <v>160</v>
      </c>
      <c r="AP165" s="194">
        <f>Tablo7[[#This Row],[Ümumi məbləğ]]-Tablo7[[#This Row],[Ödəniş]]-Tablo7[[#This Row],[Endirim]]</f>
        <v>0</v>
      </c>
      <c r="AQ165" s="183" t="str">
        <f t="shared" si="73"/>
        <v>Mesaj</v>
      </c>
      <c r="AR165" s="183" t="str">
        <f t="shared" si="74"/>
        <v>Mesaj</v>
      </c>
      <c r="AS165" s="184" t="str">
        <f>IF(ISNA(VLOOKUP(Tablo7[[#This Row],[Sifariş kodu]],'Kəsim ve təhvil'!$E$5:$E1163,1,0)),"Qəbul edilməyib","Qəbul edilib")</f>
        <v>Qəbul edilməyib</v>
      </c>
      <c r="AT165" s="185" t="str">
        <f>IF(ISNA(VLOOKUP(Tablo7[[#This Row],[Sifariş kodu]],'Kəsim ve təhvil'!$H$5:$H1163,1,0)),"Anbardadır","Təhvil verilib")</f>
        <v>Anbardadır</v>
      </c>
      <c r="AU165" s="186" t="str">
        <f>"Hörmətli *"&amp;Tablo7[[#This Row],[Müştəri]]&amp;"*  ,Sizin *"&amp;G165&amp;"* tarixli sifarişiniz qeydə alındı. Sifariş Məbləğı *"&amp;AM165&amp;" AZN* , Qalıq *"&amp;AP165&amp;" AZN* . Hörmətlə  *AlumPro*"</f>
        <v>Hörmətli *Resad Mebelline *  ,Sizin *13,12,2024* tarixli sifarişiniz qeydə alındı. Sifariş Məbləğı *161 AZN* , Qalıq *0 AZN* . Hörmətlə  *AlumPro*</v>
      </c>
      <c r="AV165" s="187" t="str">
        <f>"Hörmətli *"&amp;Tablo7[[#This Row],[Müştəri]]&amp;"* , sizin *"&amp;G165&amp;"* tarixli  sifarişiniz hazırdır . Bizi seçdiyiniz üçün minnətdarıq. Hörmətlə  *AlumPro*."</f>
        <v>Hörmətli *Resad Mebelline * , sizin *13,12,2024* tarixli  sifarişiniz hazırdır . Bizi seçdiyiniz üçün minnətdarıq. Hörmətlə  *AlumPro*.</v>
      </c>
      <c r="AW165" s="188" t="str">
        <f t="shared" si="76"/>
        <v>Resad</v>
      </c>
      <c r="AX165" s="189" t="str">
        <f t="shared" si="75"/>
        <v xml:space="preserve">Resad </v>
      </c>
    </row>
    <row r="166" spans="4:50">
      <c r="D166" s="178">
        <v>166</v>
      </c>
      <c r="E166" s="179" t="s">
        <v>543</v>
      </c>
      <c r="F166" s="179" t="s">
        <v>339</v>
      </c>
      <c r="G166" s="212" t="s">
        <v>544</v>
      </c>
      <c r="H166" s="179" t="s">
        <v>272</v>
      </c>
      <c r="I166" s="179" t="s">
        <v>273</v>
      </c>
      <c r="J166" s="179"/>
      <c r="K166" s="179" t="s">
        <v>194</v>
      </c>
      <c r="L166" s="179"/>
      <c r="M166" s="179" t="str">
        <f>_xlfn.XLOOKUP(Tablo7[[#This Row],[Yan Profili]],Anbar!$J$3:$J$1000,Anbar!$H$3:$H$1000,"Tapilmadi")</f>
        <v>Tapilmadi</v>
      </c>
      <c r="N166" s="179">
        <v>24</v>
      </c>
      <c r="O166" s="179">
        <v>552</v>
      </c>
      <c r="P166" s="179" t="s">
        <v>195</v>
      </c>
      <c r="Q166" s="179" t="str">
        <f>_xlfn.XLOOKUP(Tablo7[[#This Row],[Qulp növü]],Anbar!$J$3:$J$1000,Anbar!$H$3:$H$1000,"Tapilmadi")</f>
        <v>Tapilmadi</v>
      </c>
      <c r="R166" s="179">
        <v>0</v>
      </c>
      <c r="S166" s="180">
        <v>0</v>
      </c>
      <c r="T166" s="181"/>
      <c r="U166" s="179" t="str">
        <f>_xlfn.XLOOKUP(Tablo7[[#This Row],[Petlə]],Anbar!$J$3:$J$1000,Anbar!$H$3:$H$1000,"Tapilmadi")</f>
        <v>Tapilmadi</v>
      </c>
      <c r="V166" s="179">
        <v>0</v>
      </c>
      <c r="W166" s="180">
        <v>0</v>
      </c>
      <c r="X166" s="269">
        <v>0</v>
      </c>
      <c r="Y166" s="179" t="s">
        <v>36</v>
      </c>
      <c r="Z166" s="182"/>
      <c r="AA166" s="180">
        <v>208</v>
      </c>
      <c r="AB166" s="180"/>
      <c r="AC166" s="179" t="str">
        <f>_xlfn.XLOOKUP(Tablo7[[#This Row],[Bağlantı]],Anbar!$J$3:$J$1000,Anbar!$H$3:$H$1000,"Tapilmadi")</f>
        <v>Tapilmadi</v>
      </c>
      <c r="AD166" s="179"/>
      <c r="AE166" s="180">
        <v>96</v>
      </c>
      <c r="AF166" s="180"/>
      <c r="AG166" s="179" t="str">
        <f>_xlfn.XLOOKUP(Tablo7[[#This Row],[Mexanizm]],Anbar!$J$3:$J$1000,Anbar!$H$3:$H$1000,"Tapilmadi")</f>
        <v>Tapilmadi</v>
      </c>
      <c r="AH166" s="179">
        <v>1</v>
      </c>
      <c r="AI166" s="180">
        <v>0</v>
      </c>
      <c r="AJ166" s="180">
        <v>0</v>
      </c>
      <c r="AK166" s="180">
        <v>180</v>
      </c>
      <c r="AL166" s="180">
        <v>0</v>
      </c>
      <c r="AM166" s="180">
        <v>1036</v>
      </c>
      <c r="AN166" s="180"/>
      <c r="AO166" s="180">
        <v>1036</v>
      </c>
      <c r="AP166" s="194">
        <f>Tablo7[[#This Row],[Ümumi məbləğ]]-Tablo7[[#This Row],[Ödəniş]]-Tablo7[[#This Row],[Endirim]]</f>
        <v>0</v>
      </c>
      <c r="AQ166" s="183" t="str">
        <f t="shared" si="73"/>
        <v>Mesaj</v>
      </c>
      <c r="AR166" s="183" t="str">
        <f t="shared" si="74"/>
        <v>Mesaj</v>
      </c>
      <c r="AS166" s="184" t="str">
        <f>IF(ISNA(VLOOKUP(Tablo7[[#This Row],[Sifariş kodu]],'Kəsim ve təhvil'!$E$5:$E1164,1,0)),"Qəbul edilməyib","Qəbul edilib")</f>
        <v>Qəbul edilməyib</v>
      </c>
      <c r="AT166" s="185" t="str">
        <f>IF(ISNA(VLOOKUP(Tablo7[[#This Row],[Sifariş kodu]],'Kəsim ve təhvil'!$H$5:$H1164,1,0)),"Anbardadır","Təhvil verilib")</f>
        <v>Anbardadır</v>
      </c>
      <c r="AU166" s="186" t="str">
        <f>"Hörmətli *"&amp;Tablo7[[#This Row],[Müştəri]]&amp;"*  ,Sizin *"&amp;G166&amp;"* tarixli sifarişiniz qeydə alındı. Sifariş Məbləğı *"&amp;AM166&amp;" AZN* , Qalıq *"&amp;AP166&amp;" AZN* . Hörmətlə  *AlumPro*"</f>
        <v>Hörmətli *Resad Mebelline *  ,Sizin *12,12,2024* tarixli sifarişiniz qeydə alındı. Sifariş Məbləğı *1036 AZN* , Qalıq *0 AZN* . Hörmətlə  *AlumPro*</v>
      </c>
      <c r="AV166" s="187" t="str">
        <f>"Hörmətli *"&amp;Tablo7[[#This Row],[Müştəri]]&amp;"* , sizin *"&amp;G166&amp;"* tarixli  sifarişiniz hazırdır . Bizi seçdiyiniz üçün minnətdarıq. Hörmətlə  *AlumPro*."</f>
        <v>Hörmətli *Resad Mebelline * , sizin *12,12,2024* tarixli  sifarişiniz hazırdır . Bizi seçdiyiniz üçün minnətdarıq. Hörmətlə  *AlumPro*.</v>
      </c>
      <c r="AW166" s="188" t="str">
        <f t="shared" si="76"/>
        <v>Resad</v>
      </c>
      <c r="AX166" s="189" t="str">
        <f t="shared" si="75"/>
        <v xml:space="preserve">Resad </v>
      </c>
    </row>
    <row r="167" spans="4:50">
      <c r="D167" s="178">
        <v>165</v>
      </c>
      <c r="E167" s="179" t="s">
        <v>545</v>
      </c>
      <c r="F167" s="179" t="s">
        <v>339</v>
      </c>
      <c r="G167" s="212" t="s">
        <v>544</v>
      </c>
      <c r="H167" s="179" t="s">
        <v>479</v>
      </c>
      <c r="I167" s="179" t="s">
        <v>480</v>
      </c>
      <c r="J167" s="179" t="s">
        <v>546</v>
      </c>
      <c r="K167" s="179" t="s">
        <v>194</v>
      </c>
      <c r="L167" s="179"/>
      <c r="M167" s="179" t="str">
        <f>_xlfn.XLOOKUP(Tablo7[[#This Row],[Yan Profili]],Anbar!$J$3:$J$1000,Anbar!$H$3:$H$1000,"Tapilmadi")</f>
        <v>Tapilmadi</v>
      </c>
      <c r="N167" s="179">
        <v>5</v>
      </c>
      <c r="O167" s="179">
        <v>115</v>
      </c>
      <c r="P167" s="179" t="s">
        <v>184</v>
      </c>
      <c r="Q167" s="179" t="str">
        <f>_xlfn.XLOOKUP(Tablo7[[#This Row],[Qulp növü]],Anbar!$J$3:$J$1000,Anbar!$H$3:$H$1000,"Tapilmadi")</f>
        <v>Tapilmadi</v>
      </c>
      <c r="R167" s="179">
        <v>4</v>
      </c>
      <c r="S167" s="180">
        <v>104</v>
      </c>
      <c r="T167" s="181" t="s">
        <v>196</v>
      </c>
      <c r="U167" s="179" t="str">
        <f>_xlfn.XLOOKUP(Tablo7[[#This Row],[Petlə]],Anbar!$J$3:$J$1000,Anbar!$H$3:$H$1000,"Tapilmadi")</f>
        <v>Tapilmadi</v>
      </c>
      <c r="V167" s="179">
        <v>20</v>
      </c>
      <c r="W167" s="180">
        <v>30</v>
      </c>
      <c r="X167" s="269">
        <v>0</v>
      </c>
      <c r="Y167" s="179" t="s">
        <v>36</v>
      </c>
      <c r="Z167" s="182"/>
      <c r="AA167" s="180">
        <v>113</v>
      </c>
      <c r="AB167" s="180"/>
      <c r="AC167" s="179" t="str">
        <f>_xlfn.XLOOKUP(Tablo7[[#This Row],[Bağlantı]],Anbar!$J$3:$J$1000,Anbar!$H$3:$H$1000,"Tapilmadi")</f>
        <v>Tapilmadi</v>
      </c>
      <c r="AD167" s="179"/>
      <c r="AE167" s="180">
        <v>32</v>
      </c>
      <c r="AF167" s="180"/>
      <c r="AG167" s="179" t="str">
        <f>_xlfn.XLOOKUP(Tablo7[[#This Row],[Mexanizm]],Anbar!$J$3:$J$1000,Anbar!$H$3:$H$1000,"Tapilmadi")</f>
        <v>Tapilmadi</v>
      </c>
      <c r="AH167" s="179">
        <v>1</v>
      </c>
      <c r="AI167" s="180">
        <v>0</v>
      </c>
      <c r="AJ167" s="180">
        <v>40</v>
      </c>
      <c r="AK167" s="180">
        <v>60</v>
      </c>
      <c r="AL167" s="180">
        <v>0</v>
      </c>
      <c r="AM167" s="180">
        <v>494</v>
      </c>
      <c r="AN167" s="180"/>
      <c r="AO167" s="180">
        <v>458</v>
      </c>
      <c r="AP167" s="194">
        <f>Tablo7[[#This Row],[Ümumi məbləğ]]-Tablo7[[#This Row],[Ödəniş]]-Tablo7[[#This Row],[Endirim]]</f>
        <v>36</v>
      </c>
      <c r="AQ167" s="183" t="str">
        <f t="shared" si="73"/>
        <v>Mesaj</v>
      </c>
      <c r="AR167" s="183" t="str">
        <f t="shared" si="74"/>
        <v>Mesaj</v>
      </c>
      <c r="AS167" s="184" t="str">
        <f>IF(ISNA(VLOOKUP(Tablo7[[#This Row],[Sifariş kodu]],'Kəsim ve təhvil'!$E$5:$E1165,1,0)),"Qəbul edilməyib","Qəbul edilib")</f>
        <v>Qəbul edilməyib</v>
      </c>
      <c r="AT167" s="185" t="str">
        <f>IF(ISNA(VLOOKUP(Tablo7[[#This Row],[Sifariş kodu]],'Kəsim ve təhvil'!$H$5:$H1165,1,0)),"Anbardadır","Təhvil verilib")</f>
        <v>Anbardadır</v>
      </c>
      <c r="AU167" s="186" t="str">
        <f>"Hörmətli *"&amp;Tablo7[[#This Row],[Müştəri]]&amp;"*  ,Sizin *"&amp;G167&amp;"* tarixli sifarişiniz qeydə alındı. Sifariş Məbləğı *"&amp;AM167&amp;" AZN* , Qalıq *"&amp;AP167&amp;" AZN* . Hörmətlə  *AlumPro*"</f>
        <v>Hörmətli *Zakir Bmw Servis*  ,Sizin *12,12,2024* tarixli sifarişiniz qeydə alındı. Sifariş Məbləğı *494 AZN* , Qalıq *36 AZN* . Hörmətlə  *AlumPro*</v>
      </c>
      <c r="AV167" s="187" t="str">
        <f>"Hörmətli *"&amp;Tablo7[[#This Row],[Müştəri]]&amp;"* , sizin *"&amp;G167&amp;"* tarixli  sifarişiniz hazırdır . Bizi seçdiyiniz üçün minnətdarıq. Hörmətlə  *AlumPro*."</f>
        <v>Hörmətli *Zakir Bmw Servis* , sizin *12,12,2024* tarixli  sifarişiniz hazırdır . Bizi seçdiyiniz üçün minnətdarıq. Hörmətlə  *AlumPro*.</v>
      </c>
      <c r="AW167" s="188" t="str">
        <f t="shared" si="76"/>
        <v>Zakir</v>
      </c>
      <c r="AX167" s="189" t="str">
        <f t="shared" si="75"/>
        <v xml:space="preserve">Zakir </v>
      </c>
    </row>
    <row r="168" spans="4:50">
      <c r="D168" s="178">
        <v>164</v>
      </c>
      <c r="E168" s="179" t="s">
        <v>547</v>
      </c>
      <c r="F168" s="179" t="s">
        <v>339</v>
      </c>
      <c r="G168" s="212" t="s">
        <v>544</v>
      </c>
      <c r="H168" s="179" t="s">
        <v>548</v>
      </c>
      <c r="I168" s="179" t="s">
        <v>549</v>
      </c>
      <c r="J168" s="179"/>
      <c r="K168" s="179" t="s">
        <v>194</v>
      </c>
      <c r="L168" s="179"/>
      <c r="M168" s="179" t="str">
        <f>_xlfn.XLOOKUP(Tablo7[[#This Row],[Yan Profili]],Anbar!$J$3:$J$1000,Anbar!$H$3:$H$1000,"Tapilmadi")</f>
        <v>Tapilmadi</v>
      </c>
      <c r="N168" s="179">
        <v>1</v>
      </c>
      <c r="O168" s="179">
        <v>23</v>
      </c>
      <c r="P168" s="179" t="s">
        <v>184</v>
      </c>
      <c r="Q168" s="179" t="str">
        <f>_xlfn.XLOOKUP(Tablo7[[#This Row],[Qulp növü]],Anbar!$J$3:$J$1000,Anbar!$H$3:$H$1000,"Tapilmadi")</f>
        <v>Tapilmadi</v>
      </c>
      <c r="R168" s="179">
        <v>1</v>
      </c>
      <c r="S168" s="180">
        <v>26</v>
      </c>
      <c r="T168" s="181" t="s">
        <v>196</v>
      </c>
      <c r="U168" s="179" t="str">
        <f>_xlfn.XLOOKUP(Tablo7[[#This Row],[Petlə]],Anbar!$J$3:$J$1000,Anbar!$H$3:$H$1000,"Tapilmadi")</f>
        <v>Tapilmadi</v>
      </c>
      <c r="V168" s="179">
        <v>3</v>
      </c>
      <c r="W168" s="180">
        <v>12</v>
      </c>
      <c r="X168" s="269">
        <v>0</v>
      </c>
      <c r="Y168" s="179" t="s">
        <v>199</v>
      </c>
      <c r="Z168" s="182"/>
      <c r="AA168" s="180">
        <v>16</v>
      </c>
      <c r="AB168" s="180"/>
      <c r="AC168" s="179" t="str">
        <f>_xlfn.XLOOKUP(Tablo7[[#This Row],[Bağlantı]],Anbar!$J$3:$J$1000,Anbar!$H$3:$H$1000,"Tapilmadi")</f>
        <v>Tapilmadi</v>
      </c>
      <c r="AD168" s="179"/>
      <c r="AE168" s="180">
        <v>8</v>
      </c>
      <c r="AF168" s="180"/>
      <c r="AG168" s="179" t="str">
        <f>_xlfn.XLOOKUP(Tablo7[[#This Row],[Mexanizm]],Anbar!$J$3:$J$1000,Anbar!$H$3:$H$1000,"Tapilmadi")</f>
        <v>Tapilmadi</v>
      </c>
      <c r="AH168" s="179">
        <v>1</v>
      </c>
      <c r="AI168" s="180">
        <v>0</v>
      </c>
      <c r="AJ168" s="180">
        <v>6</v>
      </c>
      <c r="AK168" s="180">
        <v>15</v>
      </c>
      <c r="AL168" s="180">
        <v>0</v>
      </c>
      <c r="AM168" s="180">
        <v>106</v>
      </c>
      <c r="AN168" s="180"/>
      <c r="AO168" s="180">
        <v>106</v>
      </c>
      <c r="AP168" s="194">
        <f>Tablo7[[#This Row],[Ümumi məbləğ]]-Tablo7[[#This Row],[Ödəniş]]-Tablo7[[#This Row],[Endirim]]</f>
        <v>0</v>
      </c>
      <c r="AQ168" s="183" t="str">
        <f t="shared" si="73"/>
        <v>Mesaj</v>
      </c>
      <c r="AR168" s="183" t="str">
        <f t="shared" si="74"/>
        <v>Mesaj</v>
      </c>
      <c r="AS168" s="184" t="str">
        <f>IF(ISNA(VLOOKUP(Tablo7[[#This Row],[Sifariş kodu]],'Kəsim ve təhvil'!$E$5:$E1166,1,0)),"Qəbul edilməyib","Qəbul edilib")</f>
        <v>Qəbul edilməyib</v>
      </c>
      <c r="AT168" s="185" t="str">
        <f>IF(ISNA(VLOOKUP(Tablo7[[#This Row],[Sifariş kodu]],'Kəsim ve təhvil'!$H$5:$H1166,1,0)),"Anbardadır","Təhvil verilib")</f>
        <v>Anbardadır</v>
      </c>
      <c r="AU168" s="186" t="str">
        <f>"Hörmətli *"&amp;Tablo7[[#This Row],[Müştəri]]&amp;"*  ,Sizin *"&amp;G168&amp;"* tarixli sifarişiniz qeydə alındı. Sifariş Məbləğı *"&amp;AM168&amp;" AZN* , Qalıq *"&amp;AP168&amp;" AZN* . Hörmətlə  *AlumPro*"</f>
        <v>Hörmətli *Faiq Enso*  ,Sizin *12,12,2024* tarixli sifarişiniz qeydə alındı. Sifariş Məbləğı *106 AZN* , Qalıq *0 AZN* . Hörmətlə  *AlumPro*</v>
      </c>
      <c r="AV168" s="187" t="str">
        <f>"Hörmətli *"&amp;Tablo7[[#This Row],[Müştəri]]&amp;"* , sizin *"&amp;G168&amp;"* tarixli  sifarişiniz hazırdır . Bizi seçdiyiniz üçün minnətdarıq. Hörmətlə  *AlumPro*."</f>
        <v>Hörmətli *Faiq Enso* , sizin *12,12,2024* tarixli  sifarişiniz hazırdır . Bizi seçdiyiniz üçün minnətdarıq. Hörmətlə  *AlumPro*.</v>
      </c>
      <c r="AW168" s="188" t="str">
        <f t="shared" si="76"/>
        <v>Faiq</v>
      </c>
      <c r="AX168" s="189" t="str">
        <f t="shared" si="75"/>
        <v xml:space="preserve">Faiq </v>
      </c>
    </row>
    <row r="169" spans="4:50">
      <c r="D169" s="178">
        <v>162</v>
      </c>
      <c r="E169" s="179" t="s">
        <v>550</v>
      </c>
      <c r="F169" s="179" t="s">
        <v>339</v>
      </c>
      <c r="G169" s="212" t="s">
        <v>544</v>
      </c>
      <c r="H169" s="179" t="s">
        <v>281</v>
      </c>
      <c r="I169" s="179" t="s">
        <v>282</v>
      </c>
      <c r="J169" s="179" t="s">
        <v>551</v>
      </c>
      <c r="K169" s="179" t="s">
        <v>189</v>
      </c>
      <c r="L169" s="179"/>
      <c r="M169" s="179" t="str">
        <f>_xlfn.XLOOKUP(Tablo7[[#This Row],[Yan Profili]],Anbar!$J$3:$J$1000,Anbar!$H$3:$H$1000,"Tapilmadi")</f>
        <v>Tapilmadi</v>
      </c>
      <c r="N169" s="179">
        <v>5</v>
      </c>
      <c r="O169" s="179">
        <v>115</v>
      </c>
      <c r="P169" s="179" t="s">
        <v>184</v>
      </c>
      <c r="Q169" s="179" t="str">
        <f>_xlfn.XLOOKUP(Tablo7[[#This Row],[Qulp növü]],Anbar!$J$3:$J$1000,Anbar!$H$3:$H$1000,"Tapilmadi")</f>
        <v>Tapilmadi</v>
      </c>
      <c r="R169" s="179">
        <v>3</v>
      </c>
      <c r="S169" s="180">
        <v>78</v>
      </c>
      <c r="T169" s="181"/>
      <c r="U169" s="179" t="str">
        <f>_xlfn.XLOOKUP(Tablo7[[#This Row],[Petlə]],Anbar!$J$3:$J$1000,Anbar!$H$3:$H$1000,"Tapilmadi")</f>
        <v>Tapilmadi</v>
      </c>
      <c r="V169" s="179">
        <v>0</v>
      </c>
      <c r="W169" s="180">
        <v>0</v>
      </c>
      <c r="X169" s="269">
        <v>15</v>
      </c>
      <c r="Y169" s="179" t="s">
        <v>199</v>
      </c>
      <c r="Z169" s="182"/>
      <c r="AA169" s="180">
        <v>125</v>
      </c>
      <c r="AB169" s="180"/>
      <c r="AC169" s="179" t="str">
        <f>_xlfn.XLOOKUP(Tablo7[[#This Row],[Bağlantı]],Anbar!$J$3:$J$1000,Anbar!$H$3:$H$1000,"Tapilmadi")</f>
        <v>Tapilmadi</v>
      </c>
      <c r="AD169" s="179"/>
      <c r="AE169" s="180">
        <v>16</v>
      </c>
      <c r="AF169" s="180"/>
      <c r="AG169" s="179" t="str">
        <f>_xlfn.XLOOKUP(Tablo7[[#This Row],[Mexanizm]],Anbar!$J$3:$J$1000,Anbar!$H$3:$H$1000,"Tapilmadi")</f>
        <v>Tapilmadi</v>
      </c>
      <c r="AH169" s="179">
        <v>1</v>
      </c>
      <c r="AI169" s="180">
        <v>0</v>
      </c>
      <c r="AJ169" s="180">
        <v>8</v>
      </c>
      <c r="AK169" s="180">
        <v>60</v>
      </c>
      <c r="AL169" s="180">
        <v>0</v>
      </c>
      <c r="AM169" s="180">
        <v>417</v>
      </c>
      <c r="AN169" s="180"/>
      <c r="AO169" s="180">
        <v>417</v>
      </c>
      <c r="AP169" s="194">
        <f>Tablo7[[#This Row],[Ümumi məbləğ]]-Tablo7[[#This Row],[Ödəniş]]-Tablo7[[#This Row],[Endirim]]</f>
        <v>0</v>
      </c>
      <c r="AQ169" s="183" t="str">
        <f t="shared" si="73"/>
        <v>Mesaj</v>
      </c>
      <c r="AR169" s="183" t="str">
        <f t="shared" si="74"/>
        <v>Mesaj</v>
      </c>
      <c r="AS169" s="184" t="str">
        <f>IF(ISNA(VLOOKUP(Tablo7[[#This Row],[Sifariş kodu]],'Kəsim ve təhvil'!$E$5:$E1167,1,0)),"Qəbul edilməyib","Qəbul edilib")</f>
        <v>Qəbul edilməyib</v>
      </c>
      <c r="AT169" s="185" t="str">
        <f>IF(ISNA(VLOOKUP(Tablo7[[#This Row],[Sifariş kodu]],'Kəsim ve təhvil'!$H$5:$H1167,1,0)),"Anbardadır","Təhvil verilib")</f>
        <v>Anbardadır</v>
      </c>
      <c r="AU169" s="186" t="str">
        <f>"Hörmətli *"&amp;Tablo7[[#This Row],[Müştəri]]&amp;"*  ,Sizin *"&amp;G169&amp;"* tarixli sifarişiniz qeydə alındı. Sifariş Məbləğı *"&amp;AM169&amp;" AZN* , Qalıq *"&amp;AP169&amp;" AZN* . Hörmətlə  *AlumPro*"</f>
        <v>Hörmətli *Muxtar Fierro*  ,Sizin *12,12,2024* tarixli sifarişiniz qeydə alındı. Sifariş Məbləğı *417 AZN* , Qalıq *0 AZN* . Hörmətlə  *AlumPro*</v>
      </c>
      <c r="AV169" s="187" t="str">
        <f>"Hörmətli *"&amp;Tablo7[[#This Row],[Müştəri]]&amp;"* , sizin *"&amp;G169&amp;"* tarixli  sifarişiniz hazırdır . Bizi seçdiyiniz üçün minnətdarıq. Hörmətlə  *AlumPro*."</f>
        <v>Hörmətli *Muxtar Fierro* , sizin *12,12,2024* tarixli  sifarişiniz hazırdır . Bizi seçdiyiniz üçün minnətdarıq. Hörmətlə  *AlumPro*.</v>
      </c>
      <c r="AW169" s="188" t="str">
        <f t="shared" si="76"/>
        <v>Muxtar</v>
      </c>
      <c r="AX169" s="189" t="str">
        <f t="shared" si="75"/>
        <v xml:space="preserve">Muxtar </v>
      </c>
    </row>
    <row r="170" spans="4:50">
      <c r="D170" s="178">
        <v>161</v>
      </c>
      <c r="E170" s="179" t="s">
        <v>552</v>
      </c>
      <c r="F170" s="179" t="s">
        <v>339</v>
      </c>
      <c r="G170" s="212" t="s">
        <v>544</v>
      </c>
      <c r="H170" s="179" t="s">
        <v>553</v>
      </c>
      <c r="I170" s="179">
        <v>0</v>
      </c>
      <c r="J170" s="179"/>
      <c r="K170" s="179" t="s">
        <v>189</v>
      </c>
      <c r="L170" s="179"/>
      <c r="M170" s="179">
        <f>_xlfn.XLOOKUP(Tablo7[[#This Row],[Yan Profili]],Anbar!$J$3:$J$1000,Anbar!$H$3:$H$1000,"Tapilmadi")</f>
        <v>0</v>
      </c>
      <c r="N170" s="179">
        <v>2</v>
      </c>
      <c r="O170" s="179">
        <v>46</v>
      </c>
      <c r="P170" s="179" t="s">
        <v>184</v>
      </c>
      <c r="Q170" s="179" t="str">
        <f>_xlfn.XLOOKUP(Tablo7[[#This Row],[Qulp növü]],Anbar!$J$3:$J$1000,Anbar!$H$3:$H$1000,"Tapilmadi")</f>
        <v>Tapilmadi</v>
      </c>
      <c r="R170" s="179">
        <v>1</v>
      </c>
      <c r="S170" s="180">
        <v>26</v>
      </c>
      <c r="T170" s="181"/>
      <c r="U170" s="179" t="str">
        <f>_xlfn.XLOOKUP(Tablo7[[#This Row],[Petlə]],Anbar!$J$3:$J$1000,Anbar!$H$3:$H$1000,"Tapilmadi")</f>
        <v>Tapilmadi</v>
      </c>
      <c r="V170" s="179">
        <v>0</v>
      </c>
      <c r="W170" s="180">
        <v>0</v>
      </c>
      <c r="X170" s="269">
        <v>0</v>
      </c>
      <c r="Y170" s="179" t="s">
        <v>199</v>
      </c>
      <c r="Z170" s="182"/>
      <c r="AA170" s="180">
        <v>47</v>
      </c>
      <c r="AB170" s="180"/>
      <c r="AC170" s="179" t="str">
        <f>_xlfn.XLOOKUP(Tablo7[[#This Row],[Bağlantı]],Anbar!$J$3:$J$1000,Anbar!$H$3:$H$1000,"Tapilmadi")</f>
        <v>Tapilmadi</v>
      </c>
      <c r="AD170" s="179"/>
      <c r="AE170" s="180">
        <v>8</v>
      </c>
      <c r="AF170" s="180"/>
      <c r="AG170" s="179" t="str">
        <f>_xlfn.XLOOKUP(Tablo7[[#This Row],[Mexanizm]],Anbar!$J$3:$J$1000,Anbar!$H$3:$H$1000,"Tapilmadi")</f>
        <v>Tapilmadi</v>
      </c>
      <c r="AH170" s="179">
        <v>1</v>
      </c>
      <c r="AI170" s="180">
        <v>0</v>
      </c>
      <c r="AJ170" s="180">
        <v>6</v>
      </c>
      <c r="AK170" s="180">
        <v>30</v>
      </c>
      <c r="AL170" s="180">
        <v>0</v>
      </c>
      <c r="AM170" s="180">
        <v>163</v>
      </c>
      <c r="AN170" s="180"/>
      <c r="AO170" s="180">
        <v>163</v>
      </c>
      <c r="AP170" s="194">
        <f>Tablo7[[#This Row],[Ümumi məbləğ]]-Tablo7[[#This Row],[Ödəniş]]-Tablo7[[#This Row],[Endirim]]</f>
        <v>0</v>
      </c>
      <c r="AQ170" s="183" t="str">
        <f t="shared" si="73"/>
        <v>Mesaj</v>
      </c>
      <c r="AR170" s="183" t="str">
        <f t="shared" si="74"/>
        <v>Mesaj</v>
      </c>
      <c r="AS170" s="184" t="str">
        <f>IF(ISNA(VLOOKUP(Tablo7[[#This Row],[Sifariş kodu]],'Kəsim ve təhvil'!$E$5:$E1168,1,0)),"Qəbul edilməyib","Qəbul edilib")</f>
        <v>Qəbul edilməyib</v>
      </c>
      <c r="AT170" s="185" t="str">
        <f>IF(ISNA(VLOOKUP(Tablo7[[#This Row],[Sifariş kodu]],'Kəsim ve təhvil'!$H$5:$H1168,1,0)),"Anbardadır","Təhvil verilib")</f>
        <v>Anbardadır</v>
      </c>
      <c r="AU170" s="186" t="str">
        <f>"Hörmətli *"&amp;Tablo7[[#This Row],[Müştəri]]&amp;"*  ,Sizin *"&amp;G170&amp;"* tarixli sifarişiniz qeydə alındı. Sifariş Məbləğı *"&amp;AM170&amp;" AZN* , Qalıq *"&amp;AP170&amp;" AZN* . Hörmətlə  *AlumPro*"</f>
        <v>Hörmətli *Eflatun Suse*  ,Sizin *12,12,2024* tarixli sifarişiniz qeydə alındı. Sifariş Məbləğı *163 AZN* , Qalıq *0 AZN* . Hörmətlə  *AlumPro*</v>
      </c>
      <c r="AV170" s="187" t="str">
        <f>"Hörmətli *"&amp;Tablo7[[#This Row],[Müştəri]]&amp;"* , sizin *"&amp;G170&amp;"* tarixli  sifarişiniz hazırdır . Bizi seçdiyiniz üçün minnətdarıq. Hörmətlə  *AlumPro*."</f>
        <v>Hörmətli *Eflatun Suse* , sizin *12,12,2024* tarixli  sifarişiniz hazırdır . Bizi seçdiyiniz üçün minnətdarıq. Hörmətlə  *AlumPro*.</v>
      </c>
      <c r="AW170" s="188" t="str">
        <f t="shared" si="76"/>
        <v>Eflatun</v>
      </c>
      <c r="AX170" s="189" t="str">
        <f t="shared" si="75"/>
        <v xml:space="preserve">Eflatun </v>
      </c>
    </row>
    <row r="171" spans="4:50">
      <c r="D171" s="178">
        <v>160</v>
      </c>
      <c r="E171" s="179" t="s">
        <v>554</v>
      </c>
      <c r="F171" s="179" t="s">
        <v>339</v>
      </c>
      <c r="G171" s="212" t="s">
        <v>544</v>
      </c>
      <c r="H171" s="179" t="s">
        <v>438</v>
      </c>
      <c r="I171" s="179">
        <v>0</v>
      </c>
      <c r="J171" s="179"/>
      <c r="K171" s="179" t="s">
        <v>429</v>
      </c>
      <c r="L171" s="179"/>
      <c r="M171" s="179" t="str">
        <f>_xlfn.XLOOKUP(Tablo7[[#This Row],[Yan Profili]],Anbar!$J$3:$J$1000,Anbar!$H$3:$H$1000,"Tapilmadi")</f>
        <v>Tapilmadi</v>
      </c>
      <c r="N171" s="179">
        <v>4</v>
      </c>
      <c r="O171" s="179">
        <v>120</v>
      </c>
      <c r="P171" s="179">
        <v>0</v>
      </c>
      <c r="Q171" s="179" t="str">
        <f>_xlfn.XLOOKUP(Tablo7[[#This Row],[Qulp növü]],Anbar!$J$3:$J$1000,Anbar!$H$3:$H$1000,"Tapilmadi")</f>
        <v>Tapilmadi</v>
      </c>
      <c r="R171" s="179">
        <v>0</v>
      </c>
      <c r="S171" s="180">
        <v>0</v>
      </c>
      <c r="T171" s="181"/>
      <c r="U171" s="179" t="str">
        <f>_xlfn.XLOOKUP(Tablo7[[#This Row],[Petlə]],Anbar!$J$3:$J$1000,Anbar!$H$3:$H$1000,"Tapilmadi")</f>
        <v>Tapilmadi</v>
      </c>
      <c r="V171" s="179">
        <v>0</v>
      </c>
      <c r="W171" s="180">
        <v>0</v>
      </c>
      <c r="X171" s="269">
        <v>0</v>
      </c>
      <c r="Y171" s="179"/>
      <c r="Z171" s="182"/>
      <c r="AA171" s="180">
        <v>0</v>
      </c>
      <c r="AB171" s="180"/>
      <c r="AC171" s="179" t="str">
        <f>_xlfn.XLOOKUP(Tablo7[[#This Row],[Bağlantı]],Anbar!$J$3:$J$1000,Anbar!$H$3:$H$1000,"Tapilmadi")</f>
        <v>Tapilmadi</v>
      </c>
      <c r="AD171" s="179"/>
      <c r="AE171" s="180">
        <v>8</v>
      </c>
      <c r="AF171" s="180"/>
      <c r="AG171" s="179" t="str">
        <f>_xlfn.XLOOKUP(Tablo7[[#This Row],[Mexanizm]],Anbar!$J$3:$J$1000,Anbar!$H$3:$H$1000,"Tapilmadi")</f>
        <v>Tapilmadi</v>
      </c>
      <c r="AH171" s="179">
        <v>1</v>
      </c>
      <c r="AI171" s="180">
        <v>0</v>
      </c>
      <c r="AJ171" s="180">
        <v>8</v>
      </c>
      <c r="AK171" s="180">
        <v>20</v>
      </c>
      <c r="AL171" s="180">
        <v>0</v>
      </c>
      <c r="AM171" s="180">
        <v>156</v>
      </c>
      <c r="AN171" s="180"/>
      <c r="AO171" s="180">
        <v>156</v>
      </c>
      <c r="AP171" s="194">
        <f>Tablo7[[#This Row],[Ümumi məbləğ]]-Tablo7[[#This Row],[Ödəniş]]-Tablo7[[#This Row],[Endirim]]</f>
        <v>0</v>
      </c>
      <c r="AQ171" s="183" t="str">
        <f t="shared" si="73"/>
        <v>Mesaj</v>
      </c>
      <c r="AR171" s="183" t="str">
        <f t="shared" si="74"/>
        <v>Mesaj</v>
      </c>
      <c r="AS171" s="184" t="str">
        <f>IF(ISNA(VLOOKUP(Tablo7[[#This Row],[Sifariş kodu]],'Kəsim ve təhvil'!$E$5:$E1169,1,0)),"Qəbul edilməyib","Qəbul edilib")</f>
        <v>Qəbul edilməyib</v>
      </c>
      <c r="AT171" s="185" t="str">
        <f>IF(ISNA(VLOOKUP(Tablo7[[#This Row],[Sifariş kodu]],'Kəsim ve təhvil'!$H$5:$H1169,1,0)),"Anbardadır","Təhvil verilib")</f>
        <v>Anbardadır</v>
      </c>
      <c r="AU171" s="186" t="str">
        <f>"Hörmətli *"&amp;Tablo7[[#This Row],[Müştəri]]&amp;"*  ,Sizin *"&amp;G171&amp;"* tarixli sifarişiniz qeydə alındı. Sifariş Məbləğı *"&amp;AM171&amp;" AZN* , Qalıq *"&amp;AP171&amp;" AZN* . Hörmətlə  *AlumPro*"</f>
        <v>Hörmətli *Emin Badamdar*  ,Sizin *12,12,2024* tarixli sifarişiniz qeydə alındı. Sifariş Məbləğı *156 AZN* , Qalıq *0 AZN* . Hörmətlə  *AlumPro*</v>
      </c>
      <c r="AV171" s="187" t="str">
        <f>"Hörmətli *"&amp;Tablo7[[#This Row],[Müştəri]]&amp;"* , sizin *"&amp;G171&amp;"* tarixli  sifarişiniz hazırdır . Bizi seçdiyiniz üçün minnətdarıq. Hörmətlə  *AlumPro*."</f>
        <v>Hörmətli *Emin Badamdar* , sizin *12,12,2024* tarixli  sifarişiniz hazırdır . Bizi seçdiyiniz üçün minnətdarıq. Hörmətlə  *AlumPro*.</v>
      </c>
      <c r="AW171" s="188" t="str">
        <f t="shared" si="76"/>
        <v>Emin</v>
      </c>
      <c r="AX171" s="189" t="str">
        <f t="shared" si="75"/>
        <v xml:space="preserve">Emin </v>
      </c>
    </row>
    <row r="172" spans="4:50">
      <c r="D172" s="178">
        <v>159</v>
      </c>
      <c r="E172" s="179" t="s">
        <v>555</v>
      </c>
      <c r="F172" s="179" t="s">
        <v>339</v>
      </c>
      <c r="G172" s="212" t="s">
        <v>544</v>
      </c>
      <c r="H172" s="179" t="s">
        <v>385</v>
      </c>
      <c r="I172" s="179" t="s">
        <v>386</v>
      </c>
      <c r="J172" s="179"/>
      <c r="K172" s="179" t="s">
        <v>194</v>
      </c>
      <c r="L172" s="179"/>
      <c r="M172" s="179" t="str">
        <f>_xlfn.XLOOKUP(Tablo7[[#This Row],[Yan Profili]],Anbar!$J$3:$J$1000,Anbar!$H$3:$H$1000,"Tapilmadi")</f>
        <v>Tapilmadi</v>
      </c>
      <c r="N172" s="179">
        <v>7</v>
      </c>
      <c r="O172" s="179">
        <v>161</v>
      </c>
      <c r="P172" s="179" t="s">
        <v>184</v>
      </c>
      <c r="Q172" s="179" t="str">
        <f>_xlfn.XLOOKUP(Tablo7[[#This Row],[Qulp növü]],Anbar!$J$3:$J$1000,Anbar!$H$3:$H$1000,"Tapilmadi")</f>
        <v>Tapilmadi</v>
      </c>
      <c r="R172" s="179">
        <v>6</v>
      </c>
      <c r="S172" s="180">
        <v>156</v>
      </c>
      <c r="T172" s="181" t="s">
        <v>196</v>
      </c>
      <c r="U172" s="179" t="str">
        <f>_xlfn.XLOOKUP(Tablo7[[#This Row],[Petlə]],Anbar!$J$3:$J$1000,Anbar!$H$3:$H$1000,"Tapilmadi")</f>
        <v>Tapilmadi</v>
      </c>
      <c r="V172" s="179">
        <v>24</v>
      </c>
      <c r="W172" s="180">
        <v>96</v>
      </c>
      <c r="X172" s="269">
        <v>0</v>
      </c>
      <c r="Y172" s="179" t="s">
        <v>36</v>
      </c>
      <c r="Z172" s="182"/>
      <c r="AA172" s="180">
        <v>206</v>
      </c>
      <c r="AB172" s="180"/>
      <c r="AC172" s="179" t="str">
        <f>_xlfn.XLOOKUP(Tablo7[[#This Row],[Bağlantı]],Anbar!$J$3:$J$1000,Anbar!$H$3:$H$1000,"Tapilmadi")</f>
        <v>Tapilmadi</v>
      </c>
      <c r="AD172" s="179"/>
      <c r="AE172" s="180">
        <v>48</v>
      </c>
      <c r="AF172" s="180"/>
      <c r="AG172" s="179" t="str">
        <f>_xlfn.XLOOKUP(Tablo7[[#This Row],[Mexanizm]],Anbar!$J$3:$J$1000,Anbar!$H$3:$H$1000,"Tapilmadi")</f>
        <v>Tapilmadi</v>
      </c>
      <c r="AH172" s="179">
        <v>1</v>
      </c>
      <c r="AI172" s="180">
        <v>0</v>
      </c>
      <c r="AJ172" s="180">
        <v>48</v>
      </c>
      <c r="AK172" s="180">
        <v>90</v>
      </c>
      <c r="AL172" s="180">
        <v>0</v>
      </c>
      <c r="AM172" s="180">
        <v>805</v>
      </c>
      <c r="AN172" s="180"/>
      <c r="AO172" s="180">
        <v>720</v>
      </c>
      <c r="AP172" s="194">
        <f>Tablo7[[#This Row],[Ümumi məbləğ]]-Tablo7[[#This Row],[Ödəniş]]-Tablo7[[#This Row],[Endirim]]</f>
        <v>85</v>
      </c>
      <c r="AQ172" s="183" t="str">
        <f t="shared" si="73"/>
        <v>Mesaj</v>
      </c>
      <c r="AR172" s="183" t="str">
        <f t="shared" si="74"/>
        <v>Mesaj</v>
      </c>
      <c r="AS172" s="184" t="str">
        <f>IF(ISNA(VLOOKUP(Tablo7[[#This Row],[Sifariş kodu]],'Kəsim ve təhvil'!$E$5:$E1170,1,0)),"Qəbul edilməyib","Qəbul edilib")</f>
        <v>Qəbul edilməyib</v>
      </c>
      <c r="AT172" s="185" t="str">
        <f>IF(ISNA(VLOOKUP(Tablo7[[#This Row],[Sifariş kodu]],'Kəsim ve təhvil'!$H$5:$H1170,1,0)),"Anbardadır","Təhvil verilib")</f>
        <v>Anbardadır</v>
      </c>
      <c r="AU172" s="186" t="str">
        <f>"Hörmətli *"&amp;Tablo7[[#This Row],[Müştəri]]&amp;"*  ,Sizin *"&amp;G172&amp;"* tarixli sifarişiniz qeydə alındı. Sifariş Məbləğı *"&amp;AM172&amp;" AZN* , Qalıq *"&amp;AP172&amp;" AZN* . Hörmətlə  *AlumPro*"</f>
        <v>Hörmətli *Ceyhun Bmw Doz*  ,Sizin *12,12,2024* tarixli sifarişiniz qeydə alındı. Sifariş Məbləğı *805 AZN* , Qalıq *85 AZN* . Hörmətlə  *AlumPro*</v>
      </c>
      <c r="AV172" s="187" t="str">
        <f>"Hörmətli *"&amp;Tablo7[[#This Row],[Müştəri]]&amp;"* , sizin *"&amp;G172&amp;"* tarixli  sifarişiniz hazırdır . Bizi seçdiyiniz üçün minnətdarıq. Hörmətlə  *AlumPro*."</f>
        <v>Hörmətli *Ceyhun Bmw Doz* , sizin *12,12,2024* tarixli  sifarişiniz hazırdır . Bizi seçdiyiniz üçün minnətdarıq. Hörmətlə  *AlumPro*.</v>
      </c>
      <c r="AW172" s="188" t="str">
        <f t="shared" si="76"/>
        <v>Ceyhun</v>
      </c>
      <c r="AX172" s="189" t="str">
        <f t="shared" si="75"/>
        <v xml:space="preserve">Ceyhun </v>
      </c>
    </row>
    <row r="173" spans="4:50">
      <c r="D173" s="178">
        <v>158</v>
      </c>
      <c r="E173" s="179" t="s">
        <v>556</v>
      </c>
      <c r="F173" s="179" t="s">
        <v>339</v>
      </c>
      <c r="G173" s="212" t="s">
        <v>557</v>
      </c>
      <c r="H173" s="179" t="s">
        <v>158</v>
      </c>
      <c r="I173" s="179" t="s">
        <v>159</v>
      </c>
      <c r="J173" s="179"/>
      <c r="K173" s="179" t="s">
        <v>183</v>
      </c>
      <c r="L173" s="179"/>
      <c r="M173" s="179" t="str">
        <f>_xlfn.XLOOKUP(Tablo7[[#This Row],[Yan Profili]],Anbar!$J$3:$J$1000,Anbar!$H$3:$H$1000,"Tapilmadi")</f>
        <v>Tapilmadi</v>
      </c>
      <c r="N173" s="179">
        <v>6</v>
      </c>
      <c r="O173" s="179">
        <v>138</v>
      </c>
      <c r="P173" s="179" t="s">
        <v>184</v>
      </c>
      <c r="Q173" s="179" t="str">
        <f>_xlfn.XLOOKUP(Tablo7[[#This Row],[Qulp növü]],Anbar!$J$3:$J$1000,Anbar!$H$3:$H$1000,"Tapilmadi")</f>
        <v>Tapilmadi</v>
      </c>
      <c r="R173" s="179">
        <v>4</v>
      </c>
      <c r="S173" s="180">
        <v>104</v>
      </c>
      <c r="T173" s="181"/>
      <c r="U173" s="179" t="str">
        <f>_xlfn.XLOOKUP(Tablo7[[#This Row],[Petlə]],Anbar!$J$3:$J$1000,Anbar!$H$3:$H$1000,"Tapilmadi")</f>
        <v>Tapilmadi</v>
      </c>
      <c r="V173" s="179">
        <v>0</v>
      </c>
      <c r="W173" s="180">
        <v>0</v>
      </c>
      <c r="X173" s="269">
        <v>30</v>
      </c>
      <c r="Y173" s="179" t="s">
        <v>36</v>
      </c>
      <c r="Z173" s="182"/>
      <c r="AA173" s="180">
        <v>117</v>
      </c>
      <c r="AB173" s="180"/>
      <c r="AC173" s="179" t="str">
        <f>_xlfn.XLOOKUP(Tablo7[[#This Row],[Bağlantı]],Anbar!$J$3:$J$1000,Anbar!$H$3:$H$1000,"Tapilmadi")</f>
        <v>Tapilmadi</v>
      </c>
      <c r="AD173" s="179"/>
      <c r="AE173" s="180">
        <v>16</v>
      </c>
      <c r="AF173" s="180"/>
      <c r="AG173" s="179" t="str">
        <f>_xlfn.XLOOKUP(Tablo7[[#This Row],[Mexanizm]],Anbar!$J$3:$J$1000,Anbar!$H$3:$H$1000,"Tapilmadi")</f>
        <v>Tapilmadi</v>
      </c>
      <c r="AH173" s="179">
        <v>1</v>
      </c>
      <c r="AI173" s="180">
        <v>0</v>
      </c>
      <c r="AJ173" s="180">
        <v>20</v>
      </c>
      <c r="AK173" s="180">
        <v>60</v>
      </c>
      <c r="AL173" s="180">
        <v>0</v>
      </c>
      <c r="AM173" s="180">
        <v>485</v>
      </c>
      <c r="AN173" s="180"/>
      <c r="AO173" s="180">
        <v>0</v>
      </c>
      <c r="AP173" s="194">
        <f>Tablo7[[#This Row],[Ümumi məbləğ]]-Tablo7[[#This Row],[Ödəniş]]-Tablo7[[#This Row],[Endirim]]</f>
        <v>485</v>
      </c>
      <c r="AQ173" s="183" t="str">
        <f t="shared" si="73"/>
        <v>Mesaj</v>
      </c>
      <c r="AR173" s="183" t="str">
        <f t="shared" si="74"/>
        <v>Mesaj</v>
      </c>
      <c r="AS173" s="184" t="str">
        <f>IF(ISNA(VLOOKUP(Tablo7[[#This Row],[Sifariş kodu]],'Kəsim ve təhvil'!$E$5:$E1171,1,0)),"Qəbul edilməyib","Qəbul edilib")</f>
        <v>Qəbul edilməyib</v>
      </c>
      <c r="AT173" s="185" t="str">
        <f>IF(ISNA(VLOOKUP(Tablo7[[#This Row],[Sifariş kodu]],'Kəsim ve təhvil'!$H$5:$H1171,1,0)),"Anbardadır","Təhvil verilib")</f>
        <v>Anbardadır</v>
      </c>
      <c r="AU173" s="186" t="str">
        <f>"Hörmətli *"&amp;Tablo7[[#This Row],[Müştəri]]&amp;"*  ,Sizin *"&amp;G173&amp;"* tarixli sifarişiniz qeydə alındı. Sifariş Məbləğı *"&amp;AM173&amp;" AZN* , Qalıq *"&amp;AP173&amp;" AZN* . Hörmətlə  *AlumPro*"</f>
        <v>Hörmətli *My Concept*  ,Sizin *11,12,2024* tarixli sifarişiniz qeydə alındı. Sifariş Məbləğı *485 AZN* , Qalıq *485 AZN* . Hörmətlə  *AlumPro*</v>
      </c>
      <c r="AV173" s="187" t="str">
        <f>"Hörmətli *"&amp;Tablo7[[#This Row],[Müştəri]]&amp;"* , sizin *"&amp;G173&amp;"* tarixli  sifarişiniz hazırdır . Bizi seçdiyiniz üçün minnətdarıq. Hörmətlə  *AlumPro*."</f>
        <v>Hörmətli *My Concept* , sizin *11,12,2024* tarixli  sifarişiniz hazırdır . Bizi seçdiyiniz üçün minnətdarıq. Hörmətlə  *AlumPro*.</v>
      </c>
      <c r="AW173" s="188" t="str">
        <f t="shared" si="76"/>
        <v>My</v>
      </c>
      <c r="AX173" s="189" t="str">
        <f t="shared" si="75"/>
        <v xml:space="preserve">My </v>
      </c>
    </row>
    <row r="174" spans="4:50">
      <c r="D174" s="178">
        <v>157</v>
      </c>
      <c r="E174" s="179" t="s">
        <v>558</v>
      </c>
      <c r="F174" s="179" t="s">
        <v>339</v>
      </c>
      <c r="G174" s="212" t="s">
        <v>557</v>
      </c>
      <c r="H174" s="179" t="s">
        <v>450</v>
      </c>
      <c r="I174" s="179" t="s">
        <v>451</v>
      </c>
      <c r="J174" s="179"/>
      <c r="K174" s="179" t="s">
        <v>183</v>
      </c>
      <c r="L174" s="179"/>
      <c r="M174" s="179" t="str">
        <f>_xlfn.XLOOKUP(Tablo7[[#This Row],[Yan Profili]],Anbar!$J$3:$J$1000,Anbar!$H$3:$H$1000,"Tapilmadi")</f>
        <v>Tapilmadi</v>
      </c>
      <c r="N174" s="179">
        <v>4</v>
      </c>
      <c r="O174" s="179">
        <v>92</v>
      </c>
      <c r="P174" s="179" t="s">
        <v>184</v>
      </c>
      <c r="Q174" s="179" t="str">
        <f>_xlfn.XLOOKUP(Tablo7[[#This Row],[Qulp növü]],Anbar!$J$3:$J$1000,Anbar!$H$3:$H$1000,"Tapilmadi")</f>
        <v>Tapilmadi</v>
      </c>
      <c r="R174" s="179">
        <v>2</v>
      </c>
      <c r="S174" s="180">
        <v>52</v>
      </c>
      <c r="T174" s="181"/>
      <c r="U174" s="179" t="str">
        <f>_xlfn.XLOOKUP(Tablo7[[#This Row],[Petlə]],Anbar!$J$3:$J$1000,Anbar!$H$3:$H$1000,"Tapilmadi")</f>
        <v>Tapilmadi</v>
      </c>
      <c r="V174" s="179">
        <v>0</v>
      </c>
      <c r="W174" s="180">
        <v>0</v>
      </c>
      <c r="X174" s="269">
        <v>18</v>
      </c>
      <c r="Y174" s="179" t="s">
        <v>36</v>
      </c>
      <c r="Z174" s="182"/>
      <c r="AA174" s="180">
        <v>46</v>
      </c>
      <c r="AB174" s="180"/>
      <c r="AC174" s="179" t="str">
        <f>_xlfn.XLOOKUP(Tablo7[[#This Row],[Bağlantı]],Anbar!$J$3:$J$1000,Anbar!$H$3:$H$1000,"Tapilmadi")</f>
        <v>Tapilmadi</v>
      </c>
      <c r="AD174" s="179"/>
      <c r="AE174" s="180">
        <v>28</v>
      </c>
      <c r="AF174" s="180"/>
      <c r="AG174" s="179" t="str">
        <f>_xlfn.XLOOKUP(Tablo7[[#This Row],[Mexanizm]],Anbar!$J$3:$J$1000,Anbar!$H$3:$H$1000,"Tapilmadi")</f>
        <v>Tapilmadi</v>
      </c>
      <c r="AH174" s="179">
        <v>1</v>
      </c>
      <c r="AI174" s="180">
        <v>0</v>
      </c>
      <c r="AJ174" s="180">
        <v>14</v>
      </c>
      <c r="AK174" s="180">
        <v>70</v>
      </c>
      <c r="AL174" s="180">
        <v>0</v>
      </c>
      <c r="AM174" s="180">
        <v>320</v>
      </c>
      <c r="AN174" s="180">
        <v>20</v>
      </c>
      <c r="AO174" s="180">
        <v>300</v>
      </c>
      <c r="AP174" s="194">
        <f>Tablo7[[#This Row],[Ümumi məbləğ]]-Tablo7[[#This Row],[Ödəniş]]-Tablo7[[#This Row],[Endirim]]</f>
        <v>0</v>
      </c>
      <c r="AQ174" s="183" t="str">
        <f t="shared" si="73"/>
        <v>Mesaj</v>
      </c>
      <c r="AR174" s="183" t="str">
        <f t="shared" si="74"/>
        <v>Mesaj</v>
      </c>
      <c r="AS174" s="184" t="str">
        <f>IF(ISNA(VLOOKUP(Tablo7[[#This Row],[Sifariş kodu]],'Kəsim ve təhvil'!$E$5:$E1172,1,0)),"Qəbul edilməyib","Qəbul edilib")</f>
        <v>Qəbul edilməyib</v>
      </c>
      <c r="AT174" s="185" t="str">
        <f>IF(ISNA(VLOOKUP(Tablo7[[#This Row],[Sifariş kodu]],'Kəsim ve təhvil'!$H$5:$H1172,1,0)),"Anbardadır","Təhvil verilib")</f>
        <v>Anbardadır</v>
      </c>
      <c r="AU174" s="186" t="str">
        <f>"Hörmətli *"&amp;Tablo7[[#This Row],[Müştəri]]&amp;"*  ,Sizin *"&amp;G174&amp;"* tarixli sifarişiniz qeydə alındı. Sifariş Məbləğı *"&amp;AM174&amp;" AZN* , Qalıq *"&amp;AP174&amp;" AZN* . Hörmətlə  *AlumPro*"</f>
        <v>Hörmətli *Rufet Musteri Bineqedi*  ,Sizin *11,12,2024* tarixli sifarişiniz qeydə alındı. Sifariş Məbləğı *320 AZN* , Qalıq *0 AZN* . Hörmətlə  *AlumPro*</v>
      </c>
      <c r="AV174" s="187" t="str">
        <f>"Hörmətli *"&amp;Tablo7[[#This Row],[Müştəri]]&amp;"* , sizin *"&amp;G174&amp;"* tarixli  sifarişiniz hazırdır . Bizi seçdiyiniz üçün minnətdarıq. Hörmətlə  *AlumPro*."</f>
        <v>Hörmətli *Rufet Musteri Bineqedi* , sizin *11,12,2024* tarixli  sifarişiniz hazırdır . Bizi seçdiyiniz üçün minnətdarıq. Hörmətlə  *AlumPro*.</v>
      </c>
      <c r="AW174" s="188" t="str">
        <f t="shared" si="76"/>
        <v>Rufet</v>
      </c>
      <c r="AX174" s="189" t="str">
        <f t="shared" si="75"/>
        <v xml:space="preserve">Rufet </v>
      </c>
    </row>
    <row r="175" spans="4:50">
      <c r="D175" s="178">
        <v>156</v>
      </c>
      <c r="E175" s="179" t="s">
        <v>559</v>
      </c>
      <c r="F175" s="179" t="s">
        <v>339</v>
      </c>
      <c r="G175" s="212" t="s">
        <v>557</v>
      </c>
      <c r="H175" s="179" t="s">
        <v>281</v>
      </c>
      <c r="I175" s="179" t="s">
        <v>282</v>
      </c>
      <c r="J175" s="179"/>
      <c r="K175" s="179" t="s">
        <v>189</v>
      </c>
      <c r="L175" s="179"/>
      <c r="M175" s="179" t="str">
        <f>_xlfn.XLOOKUP(Tablo7[[#This Row],[Yan Profili]],Anbar!$J$3:$J$1000,Anbar!$H$3:$H$1000,"Tapilmadi")</f>
        <v>Tapilmadi</v>
      </c>
      <c r="N175" s="179">
        <v>5</v>
      </c>
      <c r="O175" s="179">
        <v>115</v>
      </c>
      <c r="P175" s="179" t="s">
        <v>184</v>
      </c>
      <c r="Q175" s="179" t="str">
        <f>_xlfn.XLOOKUP(Tablo7[[#This Row],[Qulp növü]],Anbar!$J$3:$J$1000,Anbar!$H$3:$H$1000,"Tapilmadi")</f>
        <v>Tapilmadi</v>
      </c>
      <c r="R175" s="179">
        <v>3</v>
      </c>
      <c r="S175" s="180">
        <v>78</v>
      </c>
      <c r="T175" s="181"/>
      <c r="U175" s="179" t="str">
        <f>_xlfn.XLOOKUP(Tablo7[[#This Row],[Petlə]],Anbar!$J$3:$J$1000,Anbar!$H$3:$H$1000,"Tapilmadi")</f>
        <v>Tapilmadi</v>
      </c>
      <c r="V175" s="179">
        <v>0</v>
      </c>
      <c r="W175" s="180">
        <v>0</v>
      </c>
      <c r="X175" s="269">
        <v>15</v>
      </c>
      <c r="Y175" s="179" t="s">
        <v>387</v>
      </c>
      <c r="Z175" s="182"/>
      <c r="AA175" s="180">
        <v>123</v>
      </c>
      <c r="AB175" s="180"/>
      <c r="AC175" s="179" t="str">
        <f>_xlfn.XLOOKUP(Tablo7[[#This Row],[Bağlantı]],Anbar!$J$3:$J$1000,Anbar!$H$3:$H$1000,"Tapilmadi")</f>
        <v>Tapilmadi</v>
      </c>
      <c r="AD175" s="179"/>
      <c r="AE175" s="180">
        <v>16</v>
      </c>
      <c r="AF175" s="180"/>
      <c r="AG175" s="179" t="str">
        <f>_xlfn.XLOOKUP(Tablo7[[#This Row],[Mexanizm]],Anbar!$J$3:$J$1000,Anbar!$H$3:$H$1000,"Tapilmadi")</f>
        <v>Tapilmadi</v>
      </c>
      <c r="AH175" s="179">
        <v>1</v>
      </c>
      <c r="AI175" s="180">
        <v>0</v>
      </c>
      <c r="AJ175" s="180">
        <v>8</v>
      </c>
      <c r="AK175" s="180">
        <v>60</v>
      </c>
      <c r="AL175" s="180">
        <v>0</v>
      </c>
      <c r="AM175" s="180">
        <v>415</v>
      </c>
      <c r="AN175" s="180"/>
      <c r="AO175" s="180">
        <v>415</v>
      </c>
      <c r="AP175" s="194">
        <f>Tablo7[[#This Row],[Ümumi məbləğ]]-Tablo7[[#This Row],[Ödəniş]]-Tablo7[[#This Row],[Endirim]]</f>
        <v>0</v>
      </c>
      <c r="AQ175" s="183" t="str">
        <f t="shared" si="73"/>
        <v>Mesaj</v>
      </c>
      <c r="AR175" s="183" t="str">
        <f t="shared" si="74"/>
        <v>Mesaj</v>
      </c>
      <c r="AS175" s="184" t="str">
        <f>IF(ISNA(VLOOKUP(Tablo7[[#This Row],[Sifariş kodu]],'Kəsim ve təhvil'!$E$5:$E1173,1,0)),"Qəbul edilməyib","Qəbul edilib")</f>
        <v>Qəbul edilməyib</v>
      </c>
      <c r="AT175" s="185" t="str">
        <f>IF(ISNA(VLOOKUP(Tablo7[[#This Row],[Sifariş kodu]],'Kəsim ve təhvil'!$H$5:$H1173,1,0)),"Anbardadır","Təhvil verilib")</f>
        <v>Anbardadır</v>
      </c>
      <c r="AU175" s="186" t="str">
        <f>"Hörmətli *"&amp;Tablo7[[#This Row],[Müştəri]]&amp;"*  ,Sizin *"&amp;G175&amp;"* tarixli sifarişiniz qeydə alındı. Sifariş Məbləğı *"&amp;AM175&amp;" AZN* , Qalıq *"&amp;AP175&amp;" AZN* . Hörmətlə  *AlumPro*"</f>
        <v>Hörmətli *Muxtar Fierro*  ,Sizin *11,12,2024* tarixli sifarişiniz qeydə alındı. Sifariş Məbləğı *415 AZN* , Qalıq *0 AZN* . Hörmətlə  *AlumPro*</v>
      </c>
      <c r="AV175" s="187" t="str">
        <f>"Hörmətli *"&amp;Tablo7[[#This Row],[Müştəri]]&amp;"* , sizin *"&amp;G175&amp;"* tarixli  sifarişiniz hazırdır . Bizi seçdiyiniz üçün minnətdarıq. Hörmətlə  *AlumPro*."</f>
        <v>Hörmətli *Muxtar Fierro* , sizin *11,12,2024* tarixli  sifarişiniz hazırdır . Bizi seçdiyiniz üçün minnətdarıq. Hörmətlə  *AlumPro*.</v>
      </c>
      <c r="AW175" s="188" t="str">
        <f t="shared" si="76"/>
        <v>Muxtar</v>
      </c>
      <c r="AX175" s="189" t="str">
        <f t="shared" si="75"/>
        <v xml:space="preserve">Muxtar </v>
      </c>
    </row>
    <row r="176" spans="4:50">
      <c r="D176" s="178">
        <v>155</v>
      </c>
      <c r="E176" s="179" t="s">
        <v>560</v>
      </c>
      <c r="F176" s="179" t="s">
        <v>339</v>
      </c>
      <c r="G176" s="212" t="s">
        <v>557</v>
      </c>
      <c r="H176" s="179" t="s">
        <v>561</v>
      </c>
      <c r="I176" s="179" t="s">
        <v>562</v>
      </c>
      <c r="J176" s="179"/>
      <c r="K176" s="179" t="s">
        <v>183</v>
      </c>
      <c r="L176" s="179"/>
      <c r="M176" s="179" t="str">
        <f>_xlfn.XLOOKUP(Tablo7[[#This Row],[Yan Profili]],Anbar!$J$3:$J$1000,Anbar!$H$3:$H$1000,"Tapilmadi")</f>
        <v>Tapilmadi</v>
      </c>
      <c r="N176" s="179">
        <v>10</v>
      </c>
      <c r="O176" s="179">
        <v>230</v>
      </c>
      <c r="P176" s="179" t="s">
        <v>184</v>
      </c>
      <c r="Q176" s="179" t="str">
        <f>_xlfn.XLOOKUP(Tablo7[[#This Row],[Qulp növü]],Anbar!$J$3:$J$1000,Anbar!$H$3:$H$1000,"Tapilmadi")</f>
        <v>Tapilmadi</v>
      </c>
      <c r="R176" s="179">
        <v>10</v>
      </c>
      <c r="S176" s="180">
        <v>260</v>
      </c>
      <c r="T176" s="181"/>
      <c r="U176" s="179" t="str">
        <f>_xlfn.XLOOKUP(Tablo7[[#This Row],[Petlə]],Anbar!$J$3:$J$1000,Anbar!$H$3:$H$1000,"Tapilmadi")</f>
        <v>Tapilmadi</v>
      </c>
      <c r="V176" s="179">
        <v>0</v>
      </c>
      <c r="W176" s="180">
        <v>0</v>
      </c>
      <c r="X176" s="269">
        <v>0</v>
      </c>
      <c r="Y176" s="179" t="s">
        <v>36</v>
      </c>
      <c r="Z176" s="182"/>
      <c r="AA176" s="180">
        <v>180</v>
      </c>
      <c r="AB176" s="180"/>
      <c r="AC176" s="179" t="str">
        <f>_xlfn.XLOOKUP(Tablo7[[#This Row],[Bağlantı]],Anbar!$J$3:$J$1000,Anbar!$H$3:$H$1000,"Tapilmadi")</f>
        <v>Tapilmadi</v>
      </c>
      <c r="AD176" s="179"/>
      <c r="AE176" s="180">
        <v>40</v>
      </c>
      <c r="AF176" s="180"/>
      <c r="AG176" s="179" t="str">
        <f>_xlfn.XLOOKUP(Tablo7[[#This Row],[Mexanizm]],Anbar!$J$3:$J$1000,Anbar!$H$3:$H$1000,"Tapilmadi")</f>
        <v>Tapilmadi</v>
      </c>
      <c r="AH176" s="179">
        <v>1</v>
      </c>
      <c r="AI176" s="180">
        <v>0</v>
      </c>
      <c r="AJ176" s="180">
        <v>40</v>
      </c>
      <c r="AK176" s="180">
        <v>100</v>
      </c>
      <c r="AL176" s="180">
        <v>0</v>
      </c>
      <c r="AM176" s="180">
        <v>850</v>
      </c>
      <c r="AN176" s="180"/>
      <c r="AO176" s="180">
        <v>850</v>
      </c>
      <c r="AP176" s="194">
        <f>Tablo7[[#This Row],[Ümumi məbləğ]]-Tablo7[[#This Row],[Ödəniş]]-Tablo7[[#This Row],[Endirim]]</f>
        <v>0</v>
      </c>
      <c r="AQ176" s="183" t="str">
        <f t="shared" si="73"/>
        <v>Mesaj</v>
      </c>
      <c r="AR176" s="183" t="str">
        <f t="shared" si="74"/>
        <v>Mesaj</v>
      </c>
      <c r="AS176" s="184" t="str">
        <f>IF(ISNA(VLOOKUP(Tablo7[[#This Row],[Sifariş kodu]],'Kəsim ve təhvil'!$E$5:$E1174,1,0)),"Qəbul edilməyib","Qəbul edilib")</f>
        <v>Qəbul edilməyib</v>
      </c>
      <c r="AT176" s="185" t="str">
        <f>IF(ISNA(VLOOKUP(Tablo7[[#This Row],[Sifariş kodu]],'Kəsim ve təhvil'!$H$5:$H1174,1,0)),"Anbardadır","Təhvil verilib")</f>
        <v>Anbardadır</v>
      </c>
      <c r="AU176" s="186" t="str">
        <f>"Hörmətli *"&amp;Tablo7[[#This Row],[Müştəri]]&amp;"*  ,Sizin *"&amp;G176&amp;"* tarixli sifarişiniz qeydə alındı. Sifariş Məbləğı *"&amp;AM176&amp;" AZN* , Qalıq *"&amp;AP176&amp;" AZN* . Hörmətlə  *AlumPro*"</f>
        <v>Hörmətli *Eli Asbella*  ,Sizin *11,12,2024* tarixli sifarişiniz qeydə alındı. Sifariş Məbləğı *850 AZN* , Qalıq *0 AZN* . Hörmətlə  *AlumPro*</v>
      </c>
      <c r="AV176" s="187" t="str">
        <f>"Hörmətli *"&amp;Tablo7[[#This Row],[Müştəri]]&amp;"* , sizin *"&amp;G176&amp;"* tarixli  sifarişiniz hazırdır . Bizi seçdiyiniz üçün minnətdarıq. Hörmətlə  *AlumPro*."</f>
        <v>Hörmətli *Eli Asbella* , sizin *11,12,2024* tarixli  sifarişiniz hazırdır . Bizi seçdiyiniz üçün minnətdarıq. Hörmətlə  *AlumPro*.</v>
      </c>
      <c r="AW176" s="188" t="str">
        <f t="shared" si="76"/>
        <v>Eli</v>
      </c>
      <c r="AX176" s="189" t="str">
        <f t="shared" si="75"/>
        <v xml:space="preserve">Eli </v>
      </c>
    </row>
    <row r="177" spans="4:50">
      <c r="D177" s="178">
        <v>154</v>
      </c>
      <c r="E177" s="179" t="s">
        <v>563</v>
      </c>
      <c r="F177" s="179" t="s">
        <v>339</v>
      </c>
      <c r="G177" s="212" t="s">
        <v>557</v>
      </c>
      <c r="H177" s="179" t="s">
        <v>564</v>
      </c>
      <c r="I177" s="179" t="s">
        <v>565</v>
      </c>
      <c r="J177" s="179"/>
      <c r="K177" s="179" t="s">
        <v>183</v>
      </c>
      <c r="L177" s="179"/>
      <c r="M177" s="179" t="str">
        <f>_xlfn.XLOOKUP(Tablo7[[#This Row],[Yan Profili]],Anbar!$J$3:$J$1000,Anbar!$H$3:$H$1000,"Tapilmadi")</f>
        <v>Tapilmadi</v>
      </c>
      <c r="N177" s="179">
        <v>3</v>
      </c>
      <c r="O177" s="179">
        <v>69</v>
      </c>
      <c r="P177" s="179" t="s">
        <v>184</v>
      </c>
      <c r="Q177" s="179" t="str">
        <f>_xlfn.XLOOKUP(Tablo7[[#This Row],[Qulp növü]],Anbar!$J$3:$J$1000,Anbar!$H$3:$H$1000,"Tapilmadi")</f>
        <v>Tapilmadi</v>
      </c>
      <c r="R177" s="179">
        <v>2</v>
      </c>
      <c r="S177" s="180">
        <v>52</v>
      </c>
      <c r="T177" s="181"/>
      <c r="U177" s="179" t="str">
        <f>_xlfn.XLOOKUP(Tablo7[[#This Row],[Petlə]],Anbar!$J$3:$J$1000,Anbar!$H$3:$H$1000,"Tapilmadi")</f>
        <v>Tapilmadi</v>
      </c>
      <c r="V177" s="179">
        <v>0</v>
      </c>
      <c r="W177" s="180">
        <v>0</v>
      </c>
      <c r="X177" s="269">
        <v>0</v>
      </c>
      <c r="Y177" s="179" t="s">
        <v>36</v>
      </c>
      <c r="Z177" s="182"/>
      <c r="AA177" s="180">
        <v>53</v>
      </c>
      <c r="AB177" s="180"/>
      <c r="AC177" s="179" t="str">
        <f>_xlfn.XLOOKUP(Tablo7[[#This Row],[Bağlantı]],Anbar!$J$3:$J$1000,Anbar!$H$3:$H$1000,"Tapilmadi")</f>
        <v>Tapilmadi</v>
      </c>
      <c r="AD177" s="179"/>
      <c r="AE177" s="180">
        <v>8</v>
      </c>
      <c r="AF177" s="180"/>
      <c r="AG177" s="179" t="str">
        <f>_xlfn.XLOOKUP(Tablo7[[#This Row],[Mexanizm]],Anbar!$J$3:$J$1000,Anbar!$H$3:$H$1000,"Tapilmadi")</f>
        <v>Tapilmadi</v>
      </c>
      <c r="AH177" s="179">
        <v>1</v>
      </c>
      <c r="AI177" s="180">
        <v>0</v>
      </c>
      <c r="AJ177" s="180">
        <v>8</v>
      </c>
      <c r="AK177" s="180">
        <v>30</v>
      </c>
      <c r="AL177" s="180">
        <v>0</v>
      </c>
      <c r="AM177" s="180">
        <v>220</v>
      </c>
      <c r="AN177" s="180"/>
      <c r="AO177" s="180">
        <v>220</v>
      </c>
      <c r="AP177" s="194">
        <f>Tablo7[[#This Row],[Ümumi məbləğ]]-Tablo7[[#This Row],[Ödəniş]]-Tablo7[[#This Row],[Endirim]]</f>
        <v>0</v>
      </c>
      <c r="AQ177" s="183" t="str">
        <f t="shared" si="73"/>
        <v>Mesaj</v>
      </c>
      <c r="AR177" s="183" t="str">
        <f t="shared" si="74"/>
        <v>Mesaj</v>
      </c>
      <c r="AS177" s="184" t="str">
        <f>IF(ISNA(VLOOKUP(Tablo7[[#This Row],[Sifariş kodu]],'Kəsim ve təhvil'!$E$5:$E1175,1,0)),"Qəbul edilməyib","Qəbul edilib")</f>
        <v>Qəbul edilməyib</v>
      </c>
      <c r="AT177" s="185" t="str">
        <f>IF(ISNA(VLOOKUP(Tablo7[[#This Row],[Sifariş kodu]],'Kəsim ve təhvil'!$H$5:$H1175,1,0)),"Anbardadır","Təhvil verilib")</f>
        <v>Anbardadır</v>
      </c>
      <c r="AU177" s="186" t="str">
        <f>"Hörmətli *"&amp;Tablo7[[#This Row],[Müştəri]]&amp;"*  ,Sizin *"&amp;G177&amp;"* tarixli sifarişiniz qeydə alındı. Sifariş Məbləğı *"&amp;AM177&amp;" AZN* , Qalıq *"&amp;AP177&amp;" AZN* . Hörmətlə  *AlumPro*"</f>
        <v>Hörmətli *Babek Bey*  ,Sizin *11,12,2024* tarixli sifarişiniz qeydə alındı. Sifariş Məbləğı *220 AZN* , Qalıq *0 AZN* . Hörmətlə  *AlumPro*</v>
      </c>
      <c r="AV177" s="187" t="str">
        <f>"Hörmətli *"&amp;Tablo7[[#This Row],[Müştəri]]&amp;"* , sizin *"&amp;G177&amp;"* tarixli  sifarişiniz hazırdır . Bizi seçdiyiniz üçün minnətdarıq. Hörmətlə  *AlumPro*."</f>
        <v>Hörmətli *Babek Bey* , sizin *11,12,2024* tarixli  sifarişiniz hazırdır . Bizi seçdiyiniz üçün minnətdarıq. Hörmətlə  *AlumPro*.</v>
      </c>
      <c r="AW177" s="188" t="str">
        <f t="shared" si="76"/>
        <v>Babek</v>
      </c>
      <c r="AX177" s="189" t="str">
        <f t="shared" si="75"/>
        <v xml:space="preserve">Babek </v>
      </c>
    </row>
    <row r="178" spans="4:50">
      <c r="D178" s="178">
        <v>153</v>
      </c>
      <c r="E178" s="179" t="s">
        <v>566</v>
      </c>
      <c r="F178" s="179" t="s">
        <v>339</v>
      </c>
      <c r="G178" s="212" t="s">
        <v>179</v>
      </c>
      <c r="H178" s="179" t="s">
        <v>567</v>
      </c>
      <c r="I178" s="179" t="s">
        <v>568</v>
      </c>
      <c r="J178" s="179"/>
      <c r="K178" s="179" t="s">
        <v>194</v>
      </c>
      <c r="L178" s="179"/>
      <c r="M178" s="179">
        <f>_xlfn.XLOOKUP(Tablo7[[#This Row],[Yan Profili]],Anbar!$J$3:$J$1000,Anbar!$H$3:$H$1000,"Tapilmadi")</f>
        <v>0</v>
      </c>
      <c r="N178" s="179">
        <v>8</v>
      </c>
      <c r="O178" s="179">
        <v>184</v>
      </c>
      <c r="P178" s="179" t="s">
        <v>195</v>
      </c>
      <c r="Q178" s="179" t="str">
        <f>_xlfn.XLOOKUP(Tablo7[[#This Row],[Qulp növü]],Anbar!$J$3:$J$1000,Anbar!$H$3:$H$1000,"Tapilmadi")</f>
        <v>Tapilmadi</v>
      </c>
      <c r="R178" s="179">
        <v>0</v>
      </c>
      <c r="S178" s="180">
        <v>0</v>
      </c>
      <c r="T178" s="181" t="s">
        <v>196</v>
      </c>
      <c r="U178" s="179" t="str">
        <f>_xlfn.XLOOKUP(Tablo7[[#This Row],[Petlə]],Anbar!$J$3:$J$1000,Anbar!$H$3:$H$1000,"Tapilmadi")</f>
        <v>Tapilmadi</v>
      </c>
      <c r="V178" s="179">
        <v>15</v>
      </c>
      <c r="W178" s="180">
        <v>60</v>
      </c>
      <c r="X178" s="269">
        <v>0</v>
      </c>
      <c r="Y178" s="179" t="s">
        <v>36</v>
      </c>
      <c r="Z178" s="182"/>
      <c r="AA178" s="180">
        <v>162</v>
      </c>
      <c r="AB178" s="180"/>
      <c r="AC178" s="179" t="str">
        <f>_xlfn.XLOOKUP(Tablo7[[#This Row],[Bağlantı]],Anbar!$J$3:$J$1000,Anbar!$H$3:$H$1000,"Tapilmadi")</f>
        <v>Tapilmadi</v>
      </c>
      <c r="AD178" s="179"/>
      <c r="AE178" s="180">
        <v>24</v>
      </c>
      <c r="AF178" s="180"/>
      <c r="AG178" s="179" t="str">
        <f>_xlfn.XLOOKUP(Tablo7[[#This Row],[Mexanizm]],Anbar!$J$3:$J$1000,Anbar!$H$3:$H$1000,"Tapilmadi")</f>
        <v>Tapilmadi</v>
      </c>
      <c r="AH178" s="179">
        <v>1</v>
      </c>
      <c r="AI178" s="180">
        <v>0</v>
      </c>
      <c r="AJ178" s="180">
        <v>30</v>
      </c>
      <c r="AK178" s="180">
        <v>45</v>
      </c>
      <c r="AL178" s="180">
        <v>0</v>
      </c>
      <c r="AM178" s="180">
        <v>505</v>
      </c>
      <c r="AN178" s="180"/>
      <c r="AO178" s="180">
        <v>505</v>
      </c>
      <c r="AP178" s="194">
        <f>Tablo7[[#This Row],[Ümumi məbləğ]]-Tablo7[[#This Row],[Ödəniş]]-Tablo7[[#This Row],[Endirim]]</f>
        <v>0</v>
      </c>
      <c r="AQ178" s="183" t="str">
        <f t="shared" si="73"/>
        <v>Mesaj</v>
      </c>
      <c r="AR178" s="183" t="str">
        <f t="shared" si="74"/>
        <v>Mesaj</v>
      </c>
      <c r="AS178" s="184" t="str">
        <f>IF(ISNA(VLOOKUP(Tablo7[[#This Row],[Sifariş kodu]],'Kəsim ve təhvil'!$E$5:$E1176,1,0)),"Qəbul edilməyib","Qəbul edilib")</f>
        <v>Qəbul edilməyib</v>
      </c>
      <c r="AT178" s="185" t="str">
        <f>IF(ISNA(VLOOKUP(Tablo7[[#This Row],[Sifariş kodu]],'Kəsim ve təhvil'!$H$5:$H1176,1,0)),"Anbardadır","Təhvil verilib")</f>
        <v>Anbardadır</v>
      </c>
      <c r="AU178" s="186" t="str">
        <f>"Hörmətli *"&amp;Tablo7[[#This Row],[Müştəri]]&amp;"*  ,Sizin *"&amp;G178&amp;"* tarixli sifarişiniz qeydə alındı. Sifariş Məbləğı *"&amp;AM178&amp;" AZN* , Qalıq *"&amp;AP178&amp;" AZN* . Hörmətlə  *AlumPro*"</f>
        <v>Hörmətli *Qamma Murad*  ,Sizin *10,12,2024* tarixli sifarişiniz qeydə alındı. Sifariş Məbləğı *505 AZN* , Qalıq *0 AZN* . Hörmətlə  *AlumPro*</v>
      </c>
      <c r="AV178" s="187" t="str">
        <f>"Hörmətli *"&amp;Tablo7[[#This Row],[Müştəri]]&amp;"* , sizin *"&amp;G178&amp;"* tarixli  sifarişiniz hazırdır . Bizi seçdiyiniz üçün minnətdarıq. Hörmətlə  *AlumPro*."</f>
        <v>Hörmətli *Qamma Murad* , sizin *10,12,2024* tarixli  sifarişiniz hazırdır . Bizi seçdiyiniz üçün minnətdarıq. Hörmətlə  *AlumPro*.</v>
      </c>
      <c r="AW178" s="188" t="str">
        <f t="shared" si="76"/>
        <v>Qamma</v>
      </c>
      <c r="AX178" s="189" t="str">
        <f t="shared" si="75"/>
        <v xml:space="preserve">Qamma </v>
      </c>
    </row>
    <row r="179" spans="4:50">
      <c r="D179" s="178">
        <v>152</v>
      </c>
      <c r="E179" s="179" t="s">
        <v>569</v>
      </c>
      <c r="F179" s="179" t="s">
        <v>339</v>
      </c>
      <c r="G179" s="212" t="s">
        <v>179</v>
      </c>
      <c r="H179" s="179" t="s">
        <v>570</v>
      </c>
      <c r="I179" s="179" t="s">
        <v>571</v>
      </c>
      <c r="J179" s="179"/>
      <c r="K179" s="179" t="s">
        <v>183</v>
      </c>
      <c r="L179" s="179"/>
      <c r="M179" s="179" t="str">
        <f>_xlfn.XLOOKUP(Tablo7[[#This Row],[Yan Profili]],Anbar!$J$3:$J$1000,Anbar!$H$3:$H$1000,"Tapilmadi")</f>
        <v>Tapilmadi</v>
      </c>
      <c r="N179" s="179">
        <v>2</v>
      </c>
      <c r="O179" s="179">
        <v>46</v>
      </c>
      <c r="P179" s="179" t="s">
        <v>184</v>
      </c>
      <c r="Q179" s="179" t="str">
        <f>_xlfn.XLOOKUP(Tablo7[[#This Row],[Qulp növü]],Anbar!$J$3:$J$1000,Anbar!$H$3:$H$1000,"Tapilmadi")</f>
        <v>Tapilmadi</v>
      </c>
      <c r="R179" s="179">
        <v>1</v>
      </c>
      <c r="S179" s="180">
        <v>26</v>
      </c>
      <c r="T179" s="181"/>
      <c r="U179" s="179" t="str">
        <f>_xlfn.XLOOKUP(Tablo7[[#This Row],[Petlə]],Anbar!$J$3:$J$1000,Anbar!$H$3:$H$1000,"Tapilmadi")</f>
        <v>Tapilmadi</v>
      </c>
      <c r="V179" s="179">
        <v>0</v>
      </c>
      <c r="W179" s="180">
        <v>0</v>
      </c>
      <c r="X179" s="269">
        <v>9</v>
      </c>
      <c r="Y179" s="179" t="s">
        <v>36</v>
      </c>
      <c r="Z179" s="182"/>
      <c r="AA179" s="180">
        <v>24</v>
      </c>
      <c r="AB179" s="180"/>
      <c r="AC179" s="179" t="str">
        <f>_xlfn.XLOOKUP(Tablo7[[#This Row],[Bağlantı]],Anbar!$J$3:$J$1000,Anbar!$H$3:$H$1000,"Tapilmadi")</f>
        <v>Tapilmadi</v>
      </c>
      <c r="AD179" s="179"/>
      <c r="AE179" s="180">
        <v>8</v>
      </c>
      <c r="AF179" s="180"/>
      <c r="AG179" s="179" t="str">
        <f>_xlfn.XLOOKUP(Tablo7[[#This Row],[Mexanizm]],Anbar!$J$3:$J$1000,Anbar!$H$3:$H$1000,"Tapilmadi")</f>
        <v>Tapilmadi</v>
      </c>
      <c r="AH179" s="179">
        <v>1</v>
      </c>
      <c r="AI179" s="180">
        <v>0</v>
      </c>
      <c r="AJ179" s="180">
        <v>6</v>
      </c>
      <c r="AK179" s="180">
        <v>30</v>
      </c>
      <c r="AL179" s="180">
        <v>0</v>
      </c>
      <c r="AM179" s="180">
        <v>149</v>
      </c>
      <c r="AN179" s="180"/>
      <c r="AO179" s="180">
        <v>149</v>
      </c>
      <c r="AP179" s="194">
        <f>Tablo7[[#This Row],[Ümumi məbləğ]]-Tablo7[[#This Row],[Ödəniş]]-Tablo7[[#This Row],[Endirim]]</f>
        <v>0</v>
      </c>
      <c r="AQ179" s="183" t="str">
        <f t="shared" si="73"/>
        <v>Mesaj</v>
      </c>
      <c r="AR179" s="183" t="str">
        <f t="shared" si="74"/>
        <v>Mesaj</v>
      </c>
      <c r="AS179" s="184" t="str">
        <f>IF(ISNA(VLOOKUP(Tablo7[[#This Row],[Sifariş kodu]],'Kəsim ve təhvil'!$E$5:$E1177,1,0)),"Qəbul edilməyib","Qəbul edilib")</f>
        <v>Qəbul edilməyib</v>
      </c>
      <c r="AT179" s="185" t="str">
        <f>IF(ISNA(VLOOKUP(Tablo7[[#This Row],[Sifariş kodu]],'Kəsim ve təhvil'!$H$5:$H1177,1,0)),"Anbardadır","Təhvil verilib")</f>
        <v>Anbardadır</v>
      </c>
      <c r="AU179" s="186" t="str">
        <f>"Hörmətli *"&amp;Tablo7[[#This Row],[Müştəri]]&amp;"*  ,Sizin *"&amp;G179&amp;"* tarixli sifarişiniz qeydə alındı. Sifariş Məbləğı *"&amp;AM179&amp;" AZN* , Qalıq *"&amp;AP179&amp;" AZN* . Hörmətlə  *AlumPro*"</f>
        <v>Hörmətli *Ruslan Celal*  ,Sizin *10,12,2024* tarixli sifarişiniz qeydə alındı. Sifariş Məbləğı *149 AZN* , Qalıq *0 AZN* . Hörmətlə  *AlumPro*</v>
      </c>
      <c r="AV179" s="187" t="str">
        <f>"Hörmətli *"&amp;Tablo7[[#This Row],[Müştəri]]&amp;"* , sizin *"&amp;G179&amp;"* tarixli  sifarişiniz hazırdır . Bizi seçdiyiniz üçün minnətdarıq. Hörmətlə  *AlumPro*."</f>
        <v>Hörmətli *Ruslan Celal* , sizin *10,12,2024* tarixli  sifarişiniz hazırdır . Bizi seçdiyiniz üçün minnətdarıq. Hörmətlə  *AlumPro*.</v>
      </c>
      <c r="AW179" s="188" t="str">
        <f t="shared" si="76"/>
        <v>Ruslan</v>
      </c>
      <c r="AX179" s="189" t="str">
        <f t="shared" si="75"/>
        <v xml:space="preserve">Ruslan </v>
      </c>
    </row>
    <row r="180" spans="4:50">
      <c r="D180" s="178">
        <v>151</v>
      </c>
      <c r="E180" s="179" t="s">
        <v>572</v>
      </c>
      <c r="F180" s="179" t="s">
        <v>339</v>
      </c>
      <c r="G180" s="212" t="s">
        <v>179</v>
      </c>
      <c r="H180" s="179" t="s">
        <v>479</v>
      </c>
      <c r="I180" s="179" t="s">
        <v>480</v>
      </c>
      <c r="J180" s="179"/>
      <c r="K180" s="179" t="s">
        <v>194</v>
      </c>
      <c r="L180" s="179"/>
      <c r="M180" s="179" t="str">
        <f>_xlfn.XLOOKUP(Tablo7[[#This Row],[Yan Profili]],Anbar!$J$3:$J$1000,Anbar!$H$3:$H$1000,"Tapilmadi")</f>
        <v>Tapilmadi</v>
      </c>
      <c r="N180" s="179">
        <v>1</v>
      </c>
      <c r="O180" s="179">
        <v>23</v>
      </c>
      <c r="P180" s="179" t="s">
        <v>184</v>
      </c>
      <c r="Q180" s="179" t="str">
        <f>_xlfn.XLOOKUP(Tablo7[[#This Row],[Qulp növü]],Anbar!$J$3:$J$1000,Anbar!$H$3:$H$1000,"Tapilmadi")</f>
        <v>Tapilmadi</v>
      </c>
      <c r="R180" s="179">
        <v>1</v>
      </c>
      <c r="S180" s="180">
        <v>26</v>
      </c>
      <c r="T180" s="181" t="s">
        <v>196</v>
      </c>
      <c r="U180" s="179" t="str">
        <f>_xlfn.XLOOKUP(Tablo7[[#This Row],[Petlə]],Anbar!$J$3:$J$1000,Anbar!$H$3:$H$1000,"Tapilmadi")</f>
        <v>Tapilmadi</v>
      </c>
      <c r="V180" s="179">
        <v>5</v>
      </c>
      <c r="W180" s="180">
        <v>8</v>
      </c>
      <c r="X180" s="269">
        <v>0</v>
      </c>
      <c r="Y180" s="179" t="s">
        <v>36</v>
      </c>
      <c r="Z180" s="182"/>
      <c r="AA180" s="180">
        <v>32</v>
      </c>
      <c r="AB180" s="180"/>
      <c r="AC180" s="179" t="str">
        <f>_xlfn.XLOOKUP(Tablo7[[#This Row],[Bağlantı]],Anbar!$J$3:$J$1000,Anbar!$H$3:$H$1000,"Tapilmadi")</f>
        <v>Tapilmadi</v>
      </c>
      <c r="AD180" s="179"/>
      <c r="AE180" s="180">
        <v>4</v>
      </c>
      <c r="AF180" s="180"/>
      <c r="AG180" s="179" t="str">
        <f>_xlfn.XLOOKUP(Tablo7[[#This Row],[Mexanizm]],Anbar!$J$3:$J$1000,Anbar!$H$3:$H$1000,"Tapilmadi")</f>
        <v>Tapilmadi</v>
      </c>
      <c r="AH180" s="179">
        <v>1</v>
      </c>
      <c r="AI180" s="180">
        <v>0</v>
      </c>
      <c r="AJ180" s="180">
        <v>5</v>
      </c>
      <c r="AK180" s="180">
        <v>15</v>
      </c>
      <c r="AL180" s="180">
        <v>0</v>
      </c>
      <c r="AM180" s="180">
        <v>113</v>
      </c>
      <c r="AN180" s="180"/>
      <c r="AO180" s="180">
        <v>113</v>
      </c>
      <c r="AP180" s="194">
        <f>Tablo7[[#This Row],[Ümumi məbləğ]]-Tablo7[[#This Row],[Ödəniş]]-Tablo7[[#This Row],[Endirim]]</f>
        <v>0</v>
      </c>
      <c r="AQ180" s="183" t="str">
        <f t="shared" si="73"/>
        <v>Mesaj</v>
      </c>
      <c r="AR180" s="183" t="str">
        <f t="shared" si="74"/>
        <v>Mesaj</v>
      </c>
      <c r="AS180" s="184" t="str">
        <f>IF(ISNA(VLOOKUP(Tablo7[[#This Row],[Sifariş kodu]],'Kəsim ve təhvil'!$E$5:$E1178,1,0)),"Qəbul edilməyib","Qəbul edilib")</f>
        <v>Qəbul edilməyib</v>
      </c>
      <c r="AT180" s="185" t="str">
        <f>IF(ISNA(VLOOKUP(Tablo7[[#This Row],[Sifariş kodu]],'Kəsim ve təhvil'!$H$5:$H1178,1,0)),"Anbardadır","Təhvil verilib")</f>
        <v>Anbardadır</v>
      </c>
      <c r="AU180" s="186" t="str">
        <f>"Hörmətli *"&amp;Tablo7[[#This Row],[Müştəri]]&amp;"*  ,Sizin *"&amp;G180&amp;"* tarixli sifarişiniz qeydə alındı. Sifariş Məbləğı *"&amp;AM180&amp;" AZN* , Qalıq *"&amp;AP180&amp;" AZN* . Hörmətlə  *AlumPro*"</f>
        <v>Hörmətli *Zakir Bmw Servis*  ,Sizin *10,12,2024* tarixli sifarişiniz qeydə alındı. Sifariş Məbləğı *113 AZN* , Qalıq *0 AZN* . Hörmətlə  *AlumPro*</v>
      </c>
      <c r="AV180" s="187" t="str">
        <f>"Hörmətli *"&amp;Tablo7[[#This Row],[Müştəri]]&amp;"* , sizin *"&amp;G180&amp;"* tarixli  sifarişiniz hazırdır . Bizi seçdiyiniz üçün minnətdarıq. Hörmətlə  *AlumPro*."</f>
        <v>Hörmətli *Zakir Bmw Servis* , sizin *10,12,2024* tarixli  sifarişiniz hazırdır . Bizi seçdiyiniz üçün minnətdarıq. Hörmətlə  *AlumPro*.</v>
      </c>
      <c r="AW180" s="188" t="str">
        <f t="shared" si="76"/>
        <v>Zakir</v>
      </c>
      <c r="AX180" s="189" t="str">
        <f t="shared" si="75"/>
        <v xml:space="preserve">Zakir </v>
      </c>
    </row>
    <row r="181" spans="4:50">
      <c r="D181" s="178">
        <v>150</v>
      </c>
      <c r="E181" s="179" t="s">
        <v>573</v>
      </c>
      <c r="F181" s="179" t="s">
        <v>339</v>
      </c>
      <c r="G181" s="212" t="s">
        <v>574</v>
      </c>
      <c r="H181" s="179" t="s">
        <v>575</v>
      </c>
      <c r="I181" s="179" t="s">
        <v>576</v>
      </c>
      <c r="J181" s="179"/>
      <c r="K181" s="179" t="s">
        <v>194</v>
      </c>
      <c r="L181" s="179"/>
      <c r="M181" s="179" t="str">
        <f>_xlfn.XLOOKUP(Tablo7[[#This Row],[Yan Profili]],Anbar!$J$3:$J$1000,Anbar!$H$3:$H$1000,"Tapilmadi")</f>
        <v>Tapilmadi</v>
      </c>
      <c r="N181" s="179">
        <v>4</v>
      </c>
      <c r="O181" s="179">
        <v>92</v>
      </c>
      <c r="P181" s="179" t="s">
        <v>184</v>
      </c>
      <c r="Q181" s="179" t="str">
        <f>_xlfn.XLOOKUP(Tablo7[[#This Row],[Qulp növü]],Anbar!$J$3:$J$1000,Anbar!$H$3:$H$1000,"Tapilmadi")</f>
        <v>Tapilmadi</v>
      </c>
      <c r="R181" s="179">
        <v>3</v>
      </c>
      <c r="S181" s="180">
        <v>78</v>
      </c>
      <c r="T181" s="181" t="s">
        <v>196</v>
      </c>
      <c r="U181" s="179" t="str">
        <f>_xlfn.XLOOKUP(Tablo7[[#This Row],[Petlə]],Anbar!$J$3:$J$1000,Anbar!$H$3:$H$1000,"Tapilmadi")</f>
        <v>Tapilmadi</v>
      </c>
      <c r="V181" s="179">
        <v>15</v>
      </c>
      <c r="W181" s="180">
        <v>60</v>
      </c>
      <c r="X181" s="269">
        <v>0</v>
      </c>
      <c r="Y181" s="179" t="s">
        <v>36</v>
      </c>
      <c r="Z181" s="182"/>
      <c r="AA181" s="180">
        <v>61</v>
      </c>
      <c r="AB181" s="180"/>
      <c r="AC181" s="179" t="str">
        <f>_xlfn.XLOOKUP(Tablo7[[#This Row],[Bağlantı]],Anbar!$J$3:$J$1000,Anbar!$H$3:$H$1000,"Tapilmadi")</f>
        <v>Tapilmadi</v>
      </c>
      <c r="AD181" s="179"/>
      <c r="AE181" s="180">
        <v>32</v>
      </c>
      <c r="AF181" s="180"/>
      <c r="AG181" s="179" t="str">
        <f>_xlfn.XLOOKUP(Tablo7[[#This Row],[Mexanizm]],Anbar!$J$3:$J$1000,Anbar!$H$3:$H$1000,"Tapilmadi")</f>
        <v>Tapilmadi</v>
      </c>
      <c r="AH181" s="179">
        <v>1</v>
      </c>
      <c r="AI181" s="180">
        <v>0</v>
      </c>
      <c r="AJ181" s="180">
        <v>30</v>
      </c>
      <c r="AK181" s="180">
        <v>55</v>
      </c>
      <c r="AL181" s="180">
        <v>0</v>
      </c>
      <c r="AM181" s="180">
        <v>408</v>
      </c>
      <c r="AN181" s="180"/>
      <c r="AO181" s="180">
        <v>408</v>
      </c>
      <c r="AP181" s="194">
        <f>Tablo7[[#This Row],[Ümumi məbləğ]]-Tablo7[[#This Row],[Ödəniş]]-Tablo7[[#This Row],[Endirim]]</f>
        <v>0</v>
      </c>
      <c r="AQ181" s="183" t="str">
        <f t="shared" si="73"/>
        <v>Mesaj</v>
      </c>
      <c r="AR181" s="183" t="str">
        <f t="shared" si="74"/>
        <v>Mesaj</v>
      </c>
      <c r="AS181" s="184" t="str">
        <f>IF(ISNA(VLOOKUP(Tablo7[[#This Row],[Sifariş kodu]],'Kəsim ve təhvil'!$E$5:$E1179,1,0)),"Qəbul edilməyib","Qəbul edilib")</f>
        <v>Qəbul edilməyib</v>
      </c>
      <c r="AT181" s="185" t="str">
        <f>IF(ISNA(VLOOKUP(Tablo7[[#This Row],[Sifariş kodu]],'Kəsim ve təhvil'!$H$5:$H1179,1,0)),"Anbardadır","Təhvil verilib")</f>
        <v>Anbardadır</v>
      </c>
      <c r="AU181" s="186" t="str">
        <f>"Hörmətli *"&amp;Tablo7[[#This Row],[Müştəri]]&amp;"*  ,Sizin *"&amp;G181&amp;"* tarixli sifarişiniz qeydə alındı. Sifariş Məbləğı *"&amp;AM181&amp;" AZN* , Qalıq *"&amp;AP181&amp;" AZN* . Hörmətlə  *AlumPro*"</f>
        <v>Hörmətli *Behruz Trend*  ,Sizin *09,12,2024* tarixli sifarişiniz qeydə alındı. Sifariş Məbləğı *408 AZN* , Qalıq *0 AZN* . Hörmətlə  *AlumPro*</v>
      </c>
      <c r="AV181" s="187" t="str">
        <f>"Hörmətli *"&amp;Tablo7[[#This Row],[Müştəri]]&amp;"* , sizin *"&amp;G181&amp;"* tarixli  sifarişiniz hazırdır . Bizi seçdiyiniz üçün minnətdarıq. Hörmətlə  *AlumPro*."</f>
        <v>Hörmətli *Behruz Trend* , sizin *09,12,2024* tarixli  sifarişiniz hazırdır . Bizi seçdiyiniz üçün minnətdarıq. Hörmətlə  *AlumPro*.</v>
      </c>
      <c r="AW181" s="188" t="str">
        <f t="shared" si="76"/>
        <v>Behruz</v>
      </c>
      <c r="AX181" s="189" t="str">
        <f t="shared" si="75"/>
        <v xml:space="preserve">Behruz </v>
      </c>
    </row>
    <row r="182" spans="4:50">
      <c r="D182" s="178">
        <v>149</v>
      </c>
      <c r="E182" s="179" t="s">
        <v>577</v>
      </c>
      <c r="F182" s="179" t="s">
        <v>339</v>
      </c>
      <c r="G182" s="212" t="s">
        <v>574</v>
      </c>
      <c r="H182" s="179" t="s">
        <v>578</v>
      </c>
      <c r="I182" s="179" t="s">
        <v>579</v>
      </c>
      <c r="J182" s="179" t="s">
        <v>580</v>
      </c>
      <c r="K182" s="179" t="s">
        <v>581</v>
      </c>
      <c r="L182" s="179"/>
      <c r="M182" s="179" t="str">
        <f>_xlfn.XLOOKUP(Tablo7[[#This Row],[Yan Profili]],Anbar!$J$3:$J$1000,Anbar!$H$3:$H$1000,"Tapilmadi")</f>
        <v>Tapilmadi</v>
      </c>
      <c r="N182" s="179">
        <v>6</v>
      </c>
      <c r="O182" s="179">
        <v>180</v>
      </c>
      <c r="P182" s="179">
        <v>0</v>
      </c>
      <c r="Q182" s="179" t="str">
        <f>_xlfn.XLOOKUP(Tablo7[[#This Row],[Qulp növü]],Anbar!$J$3:$J$1000,Anbar!$H$3:$H$1000,"Tapilmadi")</f>
        <v>Tapilmadi</v>
      </c>
      <c r="R182" s="179">
        <v>0</v>
      </c>
      <c r="S182" s="180">
        <v>0</v>
      </c>
      <c r="T182" s="181"/>
      <c r="U182" s="179" t="str">
        <f>_xlfn.XLOOKUP(Tablo7[[#This Row],[Petlə]],Anbar!$J$3:$J$1000,Anbar!$H$3:$H$1000,"Tapilmadi")</f>
        <v>Tapilmadi</v>
      </c>
      <c r="V182" s="179">
        <v>0</v>
      </c>
      <c r="W182" s="180">
        <v>0</v>
      </c>
      <c r="X182" s="269">
        <v>0</v>
      </c>
      <c r="Y182" s="179"/>
      <c r="Z182" s="182"/>
      <c r="AA182" s="180">
        <v>0</v>
      </c>
      <c r="AB182" s="180"/>
      <c r="AC182" s="179" t="str">
        <f>_xlfn.XLOOKUP(Tablo7[[#This Row],[Bağlantı]],Anbar!$J$3:$J$1000,Anbar!$H$3:$H$1000,"Tapilmadi")</f>
        <v>Tapilmadi</v>
      </c>
      <c r="AD182" s="179"/>
      <c r="AE182" s="180">
        <v>0</v>
      </c>
      <c r="AF182" s="180"/>
      <c r="AG182" s="179" t="str">
        <f>_xlfn.XLOOKUP(Tablo7[[#This Row],[Mexanizm]],Anbar!$J$3:$J$1000,Anbar!$H$3:$H$1000,"Tapilmadi")</f>
        <v>Tapilmadi</v>
      </c>
      <c r="AH182" s="179">
        <v>1</v>
      </c>
      <c r="AI182" s="180">
        <v>0</v>
      </c>
      <c r="AJ182" s="180">
        <v>0</v>
      </c>
      <c r="AK182" s="180">
        <v>50</v>
      </c>
      <c r="AL182" s="180">
        <v>0</v>
      </c>
      <c r="AM182" s="180">
        <v>230</v>
      </c>
      <c r="AN182" s="180"/>
      <c r="AO182" s="180">
        <v>230</v>
      </c>
      <c r="AP182" s="194">
        <f>Tablo7[[#This Row],[Ümumi məbləğ]]-Tablo7[[#This Row],[Ödəniş]]-Tablo7[[#This Row],[Endirim]]</f>
        <v>0</v>
      </c>
      <c r="AQ182" s="183" t="str">
        <f t="shared" si="73"/>
        <v>Mesaj</v>
      </c>
      <c r="AR182" s="183" t="str">
        <f t="shared" si="74"/>
        <v>Mesaj</v>
      </c>
      <c r="AS182" s="184" t="str">
        <f>IF(ISNA(VLOOKUP(Tablo7[[#This Row],[Sifariş kodu]],'Kəsim ve təhvil'!$E$5:$E1180,1,0)),"Qəbul edilməyib","Qəbul edilib")</f>
        <v>Qəbul edilməyib</v>
      </c>
      <c r="AT182" s="185" t="str">
        <f>IF(ISNA(VLOOKUP(Tablo7[[#This Row],[Sifariş kodu]],'Kəsim ve təhvil'!$H$5:$H1180,1,0)),"Anbardadır","Təhvil verilib")</f>
        <v>Anbardadır</v>
      </c>
      <c r="AU182" s="186" t="str">
        <f>"Hörmətli *"&amp;Tablo7[[#This Row],[Müştəri]]&amp;"*  ,Sizin *"&amp;G182&amp;"* tarixli sifarişiniz qeydə alındı. Sifariş Məbləğı *"&amp;AM182&amp;" AZN* , Qalıq *"&amp;AP182&amp;" AZN* . Hörmətlə  *AlumPro*"</f>
        <v>Hörmətli *Sasha Amix*  ,Sizin *09,12,2024* tarixli sifarişiniz qeydə alındı. Sifariş Məbləğı *230 AZN* , Qalıq *0 AZN* . Hörmətlə  *AlumPro*</v>
      </c>
      <c r="AV182" s="187" t="str">
        <f>"Hörmətli *"&amp;Tablo7[[#This Row],[Müştəri]]&amp;"* , sizin *"&amp;G182&amp;"* tarixli  sifarişiniz hazırdır . Bizi seçdiyiniz üçün minnətdarıq. Hörmətlə  *AlumPro*."</f>
        <v>Hörmətli *Sasha Amix* , sizin *09,12,2024* tarixli  sifarişiniz hazırdır . Bizi seçdiyiniz üçün minnətdarıq. Hörmətlə  *AlumPro*.</v>
      </c>
      <c r="AW182" s="188" t="str">
        <f t="shared" si="76"/>
        <v>Sasha</v>
      </c>
      <c r="AX182" s="189" t="str">
        <f t="shared" si="75"/>
        <v xml:space="preserve">Sasha </v>
      </c>
    </row>
    <row r="183" spans="4:50">
      <c r="D183" s="178">
        <v>148</v>
      </c>
      <c r="E183" s="179" t="s">
        <v>582</v>
      </c>
      <c r="F183" s="179" t="s">
        <v>339</v>
      </c>
      <c r="G183" s="212" t="s">
        <v>574</v>
      </c>
      <c r="H183" s="179" t="s">
        <v>281</v>
      </c>
      <c r="I183" s="179" t="s">
        <v>282</v>
      </c>
      <c r="J183" s="179"/>
      <c r="K183" s="179" t="s">
        <v>183</v>
      </c>
      <c r="L183" s="179"/>
      <c r="M183" s="179" t="str">
        <f>_xlfn.XLOOKUP(Tablo7[[#This Row],[Yan Profili]],Anbar!$J$3:$J$1000,Anbar!$H$3:$H$1000,"Tapilmadi")</f>
        <v>Tapilmadi</v>
      </c>
      <c r="N183" s="179">
        <v>2</v>
      </c>
      <c r="O183" s="179">
        <v>46</v>
      </c>
      <c r="P183" s="179" t="s">
        <v>184</v>
      </c>
      <c r="Q183" s="179" t="str">
        <f>_xlfn.XLOOKUP(Tablo7[[#This Row],[Qulp növü]],Anbar!$J$3:$J$1000,Anbar!$H$3:$H$1000,"Tapilmadi")</f>
        <v>Tapilmadi</v>
      </c>
      <c r="R183" s="179">
        <v>1</v>
      </c>
      <c r="S183" s="180">
        <v>26</v>
      </c>
      <c r="T183" s="181"/>
      <c r="U183" s="179" t="str">
        <f>_xlfn.XLOOKUP(Tablo7[[#This Row],[Petlə]],Anbar!$J$3:$J$1000,Anbar!$H$3:$H$1000,"Tapilmadi")</f>
        <v>Tapilmadi</v>
      </c>
      <c r="V183" s="179">
        <v>0</v>
      </c>
      <c r="W183" s="180">
        <v>0</v>
      </c>
      <c r="X183" s="269">
        <v>9</v>
      </c>
      <c r="Y183" s="179" t="s">
        <v>199</v>
      </c>
      <c r="Z183" s="182"/>
      <c r="AA183" s="180">
        <v>20</v>
      </c>
      <c r="AB183" s="180"/>
      <c r="AC183" s="179" t="str">
        <f>_xlfn.XLOOKUP(Tablo7[[#This Row],[Bağlantı]],Anbar!$J$3:$J$1000,Anbar!$H$3:$H$1000,"Tapilmadi")</f>
        <v>Tapilmadi</v>
      </c>
      <c r="AD183" s="179"/>
      <c r="AE183" s="180">
        <v>8</v>
      </c>
      <c r="AF183" s="180"/>
      <c r="AG183" s="179" t="str">
        <f>_xlfn.XLOOKUP(Tablo7[[#This Row],[Mexanizm]],Anbar!$J$3:$J$1000,Anbar!$H$3:$H$1000,"Tapilmadi")</f>
        <v>Tapilmadi</v>
      </c>
      <c r="AH183" s="179">
        <v>1</v>
      </c>
      <c r="AI183" s="180">
        <v>0</v>
      </c>
      <c r="AJ183" s="180">
        <v>4</v>
      </c>
      <c r="AK183" s="180">
        <v>30</v>
      </c>
      <c r="AL183" s="180">
        <v>0</v>
      </c>
      <c r="AM183" s="180">
        <v>143</v>
      </c>
      <c r="AN183" s="180"/>
      <c r="AO183" s="180">
        <v>144</v>
      </c>
      <c r="AP183" s="194">
        <f>Tablo7[[#This Row],[Ümumi məbləğ]]-Tablo7[[#This Row],[Ödəniş]]-Tablo7[[#This Row],[Endirim]]</f>
        <v>-1</v>
      </c>
      <c r="AQ183" s="183" t="str">
        <f t="shared" si="73"/>
        <v>Mesaj</v>
      </c>
      <c r="AR183" s="183" t="str">
        <f t="shared" si="74"/>
        <v>Mesaj</v>
      </c>
      <c r="AS183" s="184" t="str">
        <f>IF(ISNA(VLOOKUP(Tablo7[[#This Row],[Sifariş kodu]],'Kəsim ve təhvil'!$E$5:$E1181,1,0)),"Qəbul edilməyib","Qəbul edilib")</f>
        <v>Qəbul edilməyib</v>
      </c>
      <c r="AT183" s="185" t="str">
        <f>IF(ISNA(VLOOKUP(Tablo7[[#This Row],[Sifariş kodu]],'Kəsim ve təhvil'!$H$5:$H1181,1,0)),"Anbardadır","Təhvil verilib")</f>
        <v>Anbardadır</v>
      </c>
      <c r="AU183" s="186" t="str">
        <f>"Hörmətli *"&amp;Tablo7[[#This Row],[Müştəri]]&amp;"*  ,Sizin *"&amp;G183&amp;"* tarixli sifarişiniz qeydə alındı. Sifariş Məbləğı *"&amp;AM183&amp;" AZN* , Qalıq *"&amp;AP183&amp;" AZN* . Hörmətlə  *AlumPro*"</f>
        <v>Hörmətli *Muxtar Fierro*  ,Sizin *09,12,2024* tarixli sifarişiniz qeydə alındı. Sifariş Məbləğı *143 AZN* , Qalıq *-1 AZN* . Hörmətlə  *AlumPro*</v>
      </c>
      <c r="AV183" s="187" t="str">
        <f>"Hörmətli *"&amp;Tablo7[[#This Row],[Müştəri]]&amp;"* , sizin *"&amp;G183&amp;"* tarixli  sifarişiniz hazırdır . Bizi seçdiyiniz üçün minnətdarıq. Hörmətlə  *AlumPro*."</f>
        <v>Hörmətli *Muxtar Fierro* , sizin *09,12,2024* tarixli  sifarişiniz hazırdır . Bizi seçdiyiniz üçün minnətdarıq. Hörmətlə  *AlumPro*.</v>
      </c>
      <c r="AW183" s="188" t="str">
        <f t="shared" si="76"/>
        <v>Muxtar</v>
      </c>
      <c r="AX183" s="189" t="str">
        <f t="shared" si="75"/>
        <v xml:space="preserve">Muxtar </v>
      </c>
    </row>
    <row r="184" spans="4:50">
      <c r="D184" s="178">
        <v>147</v>
      </c>
      <c r="E184" s="179" t="s">
        <v>583</v>
      </c>
      <c r="F184" s="179" t="s">
        <v>339</v>
      </c>
      <c r="G184" s="212" t="s">
        <v>574</v>
      </c>
      <c r="H184" s="179" t="s">
        <v>341</v>
      </c>
      <c r="I184" s="179" t="s">
        <v>342</v>
      </c>
      <c r="J184" s="179"/>
      <c r="K184" s="179" t="s">
        <v>226</v>
      </c>
      <c r="L184" s="179"/>
      <c r="M184" s="179" t="str">
        <f>_xlfn.XLOOKUP(Tablo7[[#This Row],[Yan Profili]],Anbar!$J$3:$J$1000,Anbar!$H$3:$H$1000,"Tapilmadi")</f>
        <v>Tapilmadi</v>
      </c>
      <c r="N184" s="179">
        <v>3</v>
      </c>
      <c r="O184" s="179">
        <v>69</v>
      </c>
      <c r="P184" s="179" t="s">
        <v>184</v>
      </c>
      <c r="Q184" s="179" t="str">
        <f>_xlfn.XLOOKUP(Tablo7[[#This Row],[Qulp növü]],Anbar!$J$3:$J$1000,Anbar!$H$3:$H$1000,"Tapilmadi")</f>
        <v>Tapilmadi</v>
      </c>
      <c r="R184" s="179">
        <v>2</v>
      </c>
      <c r="S184" s="180">
        <v>52</v>
      </c>
      <c r="T184" s="181" t="s">
        <v>196</v>
      </c>
      <c r="U184" s="179" t="str">
        <f>_xlfn.XLOOKUP(Tablo7[[#This Row],[Petlə]],Anbar!$J$3:$J$1000,Anbar!$H$3:$H$1000,"Tapilmadi")</f>
        <v>Tapilmadi</v>
      </c>
      <c r="V184" s="179">
        <v>8</v>
      </c>
      <c r="W184" s="180">
        <v>32</v>
      </c>
      <c r="X184" s="269">
        <v>0</v>
      </c>
      <c r="Y184" s="179" t="s">
        <v>199</v>
      </c>
      <c r="Z184" s="182"/>
      <c r="AA184" s="180">
        <v>61</v>
      </c>
      <c r="AB184" s="180"/>
      <c r="AC184" s="179" t="str">
        <f>_xlfn.XLOOKUP(Tablo7[[#This Row],[Bağlantı]],Anbar!$J$3:$J$1000,Anbar!$H$3:$H$1000,"Tapilmadi")</f>
        <v>Tapilmadi</v>
      </c>
      <c r="AD184" s="179"/>
      <c r="AE184" s="180">
        <v>16</v>
      </c>
      <c r="AF184" s="180"/>
      <c r="AG184" s="179" t="str">
        <f>_xlfn.XLOOKUP(Tablo7[[#This Row],[Mexanizm]],Anbar!$J$3:$J$1000,Anbar!$H$3:$H$1000,"Tapilmadi")</f>
        <v>Tapilmadi</v>
      </c>
      <c r="AH184" s="179">
        <v>1</v>
      </c>
      <c r="AI184" s="180">
        <v>0</v>
      </c>
      <c r="AJ184" s="180">
        <v>16</v>
      </c>
      <c r="AK184" s="180">
        <v>30</v>
      </c>
      <c r="AL184" s="180">
        <v>0</v>
      </c>
      <c r="AM184" s="180">
        <v>276</v>
      </c>
      <c r="AN184" s="180"/>
      <c r="AO184" s="180">
        <v>276</v>
      </c>
      <c r="AP184" s="194">
        <f>Tablo7[[#This Row],[Ümumi məbləğ]]-Tablo7[[#This Row],[Ödəniş]]-Tablo7[[#This Row],[Endirim]]</f>
        <v>0</v>
      </c>
      <c r="AQ184" s="183" t="str">
        <f t="shared" si="73"/>
        <v>Mesaj</v>
      </c>
      <c r="AR184" s="183" t="str">
        <f t="shared" si="74"/>
        <v>Mesaj</v>
      </c>
      <c r="AS184" s="184" t="str">
        <f>IF(ISNA(VLOOKUP(Tablo7[[#This Row],[Sifariş kodu]],'Kəsim ve təhvil'!$E$5:$E1182,1,0)),"Qəbul edilməyib","Qəbul edilib")</f>
        <v>Qəbul edilməyib</v>
      </c>
      <c r="AT184" s="185" t="str">
        <f>IF(ISNA(VLOOKUP(Tablo7[[#This Row],[Sifariş kodu]],'Kəsim ve təhvil'!$H$5:$H1182,1,0)),"Anbardadır","Təhvil verilib")</f>
        <v>Anbardadır</v>
      </c>
      <c r="AU184" s="186" t="str">
        <f>"Hörmətli *"&amp;Tablo7[[#This Row],[Müştəri]]&amp;"*  ,Sizin *"&amp;G184&amp;"* tarixli sifarişiniz qeydə alındı. Sifariş Məbləğı *"&amp;AM184&amp;" AZN* , Qalıq *"&amp;AP184&amp;" AZN* . Hörmətlə  *AlumPro*"</f>
        <v>Hörmətli *Cavid Kahveci*  ,Sizin *09,12,2024* tarixli sifarişiniz qeydə alındı. Sifariş Məbləğı *276 AZN* , Qalıq *0 AZN* . Hörmətlə  *AlumPro*</v>
      </c>
      <c r="AV184" s="187" t="str">
        <f>"Hörmətli *"&amp;Tablo7[[#This Row],[Müştəri]]&amp;"* , sizin *"&amp;G184&amp;"* tarixli  sifarişiniz hazırdır . Bizi seçdiyiniz üçün minnətdarıq. Hörmətlə  *AlumPro*."</f>
        <v>Hörmətli *Cavid Kahveci* , sizin *09,12,2024* tarixli  sifarişiniz hazırdır . Bizi seçdiyiniz üçün minnətdarıq. Hörmətlə  *AlumPro*.</v>
      </c>
      <c r="AW184" s="188" t="str">
        <f t="shared" si="76"/>
        <v>Cavid</v>
      </c>
      <c r="AX184" s="189" t="str">
        <f t="shared" si="75"/>
        <v xml:space="preserve">Cavid </v>
      </c>
    </row>
    <row r="185" spans="4:50">
      <c r="D185" s="178">
        <v>146</v>
      </c>
      <c r="E185" s="179" t="s">
        <v>584</v>
      </c>
      <c r="F185" s="179" t="s">
        <v>339</v>
      </c>
      <c r="G185" s="212" t="s">
        <v>585</v>
      </c>
      <c r="H185" s="179" t="s">
        <v>341</v>
      </c>
      <c r="I185" s="179" t="s">
        <v>342</v>
      </c>
      <c r="J185" s="179" t="s">
        <v>586</v>
      </c>
      <c r="K185" s="179" t="s">
        <v>266</v>
      </c>
      <c r="L185" s="179"/>
      <c r="M185" s="179" t="str">
        <f>_xlfn.XLOOKUP(Tablo7[[#This Row],[Yan Profili]],Anbar!$J$3:$J$1000,Anbar!$H$3:$H$1000,"Tapilmadi")</f>
        <v>Tapilmadi</v>
      </c>
      <c r="N185" s="179">
        <v>4</v>
      </c>
      <c r="O185" s="179">
        <v>600</v>
      </c>
      <c r="P185" s="179" t="s">
        <v>184</v>
      </c>
      <c r="Q185" s="179" t="str">
        <f>_xlfn.XLOOKUP(Tablo7[[#This Row],[Qulp növü]],Anbar!$J$3:$J$1000,Anbar!$H$3:$H$1000,"Tapilmadi")</f>
        <v>Tapilmadi</v>
      </c>
      <c r="R185" s="179">
        <v>0</v>
      </c>
      <c r="S185" s="180">
        <v>0</v>
      </c>
      <c r="T185" s="181"/>
      <c r="U185" s="179" t="str">
        <f>_xlfn.XLOOKUP(Tablo7[[#This Row],[Petlə]],Anbar!$J$3:$J$1000,Anbar!$H$3:$H$1000,"Tapilmadi")</f>
        <v>Tapilmadi</v>
      </c>
      <c r="V185" s="179">
        <v>0</v>
      </c>
      <c r="W185" s="180">
        <v>0</v>
      </c>
      <c r="X185" s="269">
        <v>0</v>
      </c>
      <c r="Y185" s="179" t="s">
        <v>36</v>
      </c>
      <c r="Z185" s="182"/>
      <c r="AA185" s="180">
        <v>0</v>
      </c>
      <c r="AB185" s="180"/>
      <c r="AC185" s="179" t="str">
        <f>_xlfn.XLOOKUP(Tablo7[[#This Row],[Bağlantı]],Anbar!$J$3:$J$1000,Anbar!$H$3:$H$1000,"Tapilmadi")</f>
        <v>Tapilmadi</v>
      </c>
      <c r="AD185" s="179"/>
      <c r="AE185" s="180">
        <v>0</v>
      </c>
      <c r="AF185" s="180"/>
      <c r="AG185" s="179" t="str">
        <f>_xlfn.XLOOKUP(Tablo7[[#This Row],[Mexanizm]],Anbar!$J$3:$J$1000,Anbar!$H$3:$H$1000,"Tapilmadi")</f>
        <v>Tapilmadi</v>
      </c>
      <c r="AH185" s="179">
        <v>1</v>
      </c>
      <c r="AI185" s="180">
        <v>360</v>
      </c>
      <c r="AJ185" s="180">
        <v>0</v>
      </c>
      <c r="AK185" s="180">
        <v>140</v>
      </c>
      <c r="AL185" s="180">
        <v>0</v>
      </c>
      <c r="AM185" s="180">
        <v>1100</v>
      </c>
      <c r="AN185" s="180"/>
      <c r="AO185" s="180">
        <v>1000</v>
      </c>
      <c r="AP185" s="194">
        <f>Tablo7[[#This Row],[Ümumi məbləğ]]-Tablo7[[#This Row],[Ödəniş]]-Tablo7[[#This Row],[Endirim]]</f>
        <v>100</v>
      </c>
      <c r="AQ185" s="183" t="str">
        <f t="shared" si="73"/>
        <v>Mesaj</v>
      </c>
      <c r="AR185" s="183" t="str">
        <f t="shared" si="74"/>
        <v>Mesaj</v>
      </c>
      <c r="AS185" s="184" t="str">
        <f>IF(ISNA(VLOOKUP(Tablo7[[#This Row],[Sifariş kodu]],'Kəsim ve təhvil'!$E$5:$E1183,1,0)),"Qəbul edilməyib","Qəbul edilib")</f>
        <v>Qəbul edilməyib</v>
      </c>
      <c r="AT185" s="185" t="str">
        <f>IF(ISNA(VLOOKUP(Tablo7[[#This Row],[Sifariş kodu]],'Kəsim ve təhvil'!$H$5:$H1183,1,0)),"Anbardadır","Təhvil verilib")</f>
        <v>Anbardadır</v>
      </c>
      <c r="AU185" s="186" t="str">
        <f>"Hörmətli *"&amp;Tablo7[[#This Row],[Müştəri]]&amp;"*  ,Sizin *"&amp;G185&amp;"* tarixli sifarişiniz qeydə alındı. Sifariş Məbləğı *"&amp;AM185&amp;" AZN* , Qalıq *"&amp;AP185&amp;" AZN* . Hörmətlə  *AlumPro*"</f>
        <v>Hörmətli *Cavid Kahveci*  ,Sizin *07,12,2024* tarixli sifarişiniz qeydə alındı. Sifariş Məbləğı *1100 AZN* , Qalıq *100 AZN* . Hörmətlə  *AlumPro*</v>
      </c>
      <c r="AV185" s="187" t="str">
        <f>"Hörmətli *"&amp;Tablo7[[#This Row],[Müştəri]]&amp;"* , sizin *"&amp;G185&amp;"* tarixli  sifarişiniz hazırdır . Bizi seçdiyiniz üçün minnətdarıq. Hörmətlə  *AlumPro*."</f>
        <v>Hörmətli *Cavid Kahveci* , sizin *07,12,2024* tarixli  sifarişiniz hazırdır . Bizi seçdiyiniz üçün minnətdarıq. Hörmətlə  *AlumPro*.</v>
      </c>
      <c r="AW185" s="188" t="str">
        <f t="shared" si="76"/>
        <v>Cavid</v>
      </c>
      <c r="AX185" s="189" t="str">
        <f t="shared" si="75"/>
        <v xml:space="preserve">Cavid </v>
      </c>
    </row>
    <row r="186" spans="4:50">
      <c r="D186" s="178">
        <v>145</v>
      </c>
      <c r="E186" s="179" t="s">
        <v>587</v>
      </c>
      <c r="F186" s="179" t="s">
        <v>339</v>
      </c>
      <c r="G186" s="212" t="s">
        <v>585</v>
      </c>
      <c r="H186" s="179" t="s">
        <v>192</v>
      </c>
      <c r="I186" s="179" t="s">
        <v>193</v>
      </c>
      <c r="J186" s="179"/>
      <c r="K186" s="179" t="s">
        <v>183</v>
      </c>
      <c r="L186" s="179"/>
      <c r="M186" s="179">
        <f>_xlfn.XLOOKUP(Tablo7[[#This Row],[Yan Profili]],Anbar!$J$3:$J$1000,Anbar!$H$3:$H$1000,"Tapilmadi")</f>
        <v>0</v>
      </c>
      <c r="N186" s="179">
        <v>7</v>
      </c>
      <c r="O186" s="179">
        <v>165</v>
      </c>
      <c r="P186" s="179" t="s">
        <v>184</v>
      </c>
      <c r="Q186" s="179" t="str">
        <f>_xlfn.XLOOKUP(Tablo7[[#This Row],[Qulp növü]],Anbar!$J$3:$J$1000,Anbar!$H$3:$H$1000,"Tapilmadi")</f>
        <v>Tapilmadi</v>
      </c>
      <c r="R186" s="179">
        <v>5</v>
      </c>
      <c r="S186" s="180">
        <v>130</v>
      </c>
      <c r="T186" s="181"/>
      <c r="U186" s="179" t="str">
        <f>_xlfn.XLOOKUP(Tablo7[[#This Row],[Petlə]],Anbar!$J$3:$J$1000,Anbar!$H$3:$H$1000,"Tapilmadi")</f>
        <v>Tapilmadi</v>
      </c>
      <c r="V186" s="179">
        <v>0</v>
      </c>
      <c r="W186" s="180">
        <v>0</v>
      </c>
      <c r="X186" s="269">
        <v>36</v>
      </c>
      <c r="Y186" s="179" t="s">
        <v>36</v>
      </c>
      <c r="Z186" s="182"/>
      <c r="AA186" s="180">
        <v>154</v>
      </c>
      <c r="AB186" s="180"/>
      <c r="AC186" s="179" t="str">
        <f>_xlfn.XLOOKUP(Tablo7[[#This Row],[Bağlantı]],Anbar!$J$3:$J$1000,Anbar!$H$3:$H$1000,"Tapilmadi")</f>
        <v>Tapilmadi</v>
      </c>
      <c r="AD186" s="179"/>
      <c r="AE186" s="180">
        <v>20</v>
      </c>
      <c r="AF186" s="180"/>
      <c r="AG186" s="179" t="str">
        <f>_xlfn.XLOOKUP(Tablo7[[#This Row],[Mexanizm]],Anbar!$J$3:$J$1000,Anbar!$H$3:$H$1000,"Tapilmadi")</f>
        <v>Tapilmadi</v>
      </c>
      <c r="AH186" s="179">
        <v>1</v>
      </c>
      <c r="AI186" s="180">
        <v>0</v>
      </c>
      <c r="AJ186" s="180">
        <v>25</v>
      </c>
      <c r="AK186" s="180">
        <v>75</v>
      </c>
      <c r="AL186" s="180">
        <v>0</v>
      </c>
      <c r="AM186" s="180">
        <v>605</v>
      </c>
      <c r="AN186" s="180"/>
      <c r="AO186" s="180">
        <v>600</v>
      </c>
      <c r="AP186" s="194">
        <f>Tablo7[[#This Row],[Ümumi məbləğ]]-Tablo7[[#This Row],[Ödəniş]]-Tablo7[[#This Row],[Endirim]]</f>
        <v>5</v>
      </c>
      <c r="AQ186" s="183" t="str">
        <f t="shared" si="73"/>
        <v>Mesaj</v>
      </c>
      <c r="AR186" s="183" t="str">
        <f t="shared" si="74"/>
        <v>Mesaj</v>
      </c>
      <c r="AS186" s="184" t="str">
        <f>IF(ISNA(VLOOKUP(Tablo7[[#This Row],[Sifariş kodu]],'Kəsim ve təhvil'!$E$5:$E1184,1,0)),"Qəbul edilməyib","Qəbul edilib")</f>
        <v>Qəbul edilməyib</v>
      </c>
      <c r="AT186" s="185" t="str">
        <f>IF(ISNA(VLOOKUP(Tablo7[[#This Row],[Sifariş kodu]],'Kəsim ve təhvil'!$H$5:$H1184,1,0)),"Anbardadır","Təhvil verilib")</f>
        <v>Anbardadır</v>
      </c>
      <c r="AU186" s="186" t="str">
        <f>"Hörmətli *"&amp;Tablo7[[#This Row],[Müştəri]]&amp;"*  ,Sizin *"&amp;G186&amp;"* tarixli sifarişiniz qeydə alındı. Sifariş Məbləğı *"&amp;AM186&amp;" AZN* , Qalıq *"&amp;AP186&amp;" AZN* . Hörmətlə  *AlumPro*"</f>
        <v>Hörmətli *Aksin Mahmudov*  ,Sizin *07,12,2024* tarixli sifarişiniz qeydə alındı. Sifariş Məbləğı *605 AZN* , Qalıq *5 AZN* . Hörmətlə  *AlumPro*</v>
      </c>
      <c r="AV186" s="187" t="str">
        <f>"Hörmətli *"&amp;Tablo7[[#This Row],[Müştəri]]&amp;"* , sizin *"&amp;G186&amp;"* tarixli  sifarişiniz hazırdır . Bizi seçdiyiniz üçün minnətdarıq. Hörmətlə  *AlumPro*."</f>
        <v>Hörmətli *Aksin Mahmudov* , sizin *07,12,2024* tarixli  sifarişiniz hazırdır . Bizi seçdiyiniz üçün minnətdarıq. Hörmətlə  *AlumPro*.</v>
      </c>
      <c r="AW186" s="188" t="str">
        <f t="shared" si="76"/>
        <v>Aksin</v>
      </c>
      <c r="AX186" s="189" t="str">
        <f t="shared" si="75"/>
        <v xml:space="preserve">Aksin </v>
      </c>
    </row>
    <row r="187" spans="4:50">
      <c r="D187" s="178">
        <v>144</v>
      </c>
      <c r="E187" s="179" t="s">
        <v>588</v>
      </c>
      <c r="F187" s="179" t="s">
        <v>339</v>
      </c>
      <c r="G187" s="212" t="s">
        <v>585</v>
      </c>
      <c r="H187" s="179" t="s">
        <v>589</v>
      </c>
      <c r="I187" s="179">
        <v>0</v>
      </c>
      <c r="J187" s="179"/>
      <c r="K187" s="179" t="s">
        <v>183</v>
      </c>
      <c r="L187" s="179"/>
      <c r="M187" s="179" t="str">
        <f>_xlfn.XLOOKUP(Tablo7[[#This Row],[Yan Profili]],Anbar!$J$3:$J$1000,Anbar!$H$3:$H$1000,"Tapilmadi")</f>
        <v>Tapilmadi</v>
      </c>
      <c r="N187" s="179">
        <v>3</v>
      </c>
      <c r="O187" s="179">
        <v>69</v>
      </c>
      <c r="P187" s="179" t="s">
        <v>184</v>
      </c>
      <c r="Q187" s="179" t="str">
        <f>_xlfn.XLOOKUP(Tablo7[[#This Row],[Qulp növü]],Anbar!$J$3:$J$1000,Anbar!$H$3:$H$1000,"Tapilmadi")</f>
        <v>Tapilmadi</v>
      </c>
      <c r="R187" s="179">
        <v>2</v>
      </c>
      <c r="S187" s="180">
        <v>52</v>
      </c>
      <c r="T187" s="181"/>
      <c r="U187" s="179" t="str">
        <f>_xlfn.XLOOKUP(Tablo7[[#This Row],[Petlə]],Anbar!$J$3:$J$1000,Anbar!$H$3:$H$1000,"Tapilmadi")</f>
        <v>Tapilmadi</v>
      </c>
      <c r="V187" s="179">
        <v>0</v>
      </c>
      <c r="W187" s="180">
        <v>0</v>
      </c>
      <c r="X187" s="269">
        <v>15</v>
      </c>
      <c r="Y187" s="179" t="s">
        <v>36</v>
      </c>
      <c r="Z187" s="182"/>
      <c r="AA187" s="180">
        <v>51</v>
      </c>
      <c r="AB187" s="180"/>
      <c r="AC187" s="179" t="str">
        <f>_xlfn.XLOOKUP(Tablo7[[#This Row],[Bağlantı]],Anbar!$J$3:$J$1000,Anbar!$H$3:$H$1000,"Tapilmadi")</f>
        <v>Tapilmadi</v>
      </c>
      <c r="AD187" s="179"/>
      <c r="AE187" s="180">
        <v>8</v>
      </c>
      <c r="AF187" s="180"/>
      <c r="AG187" s="179" t="str">
        <f>_xlfn.XLOOKUP(Tablo7[[#This Row],[Mexanizm]],Anbar!$J$3:$J$1000,Anbar!$H$3:$H$1000,"Tapilmadi")</f>
        <v>Tapilmadi</v>
      </c>
      <c r="AH187" s="179">
        <v>1</v>
      </c>
      <c r="AI187" s="180">
        <v>0</v>
      </c>
      <c r="AJ187" s="180">
        <v>8</v>
      </c>
      <c r="AK187" s="180">
        <v>30</v>
      </c>
      <c r="AL187" s="180">
        <v>0</v>
      </c>
      <c r="AM187" s="180">
        <v>233</v>
      </c>
      <c r="AN187" s="180"/>
      <c r="AO187" s="180">
        <v>240</v>
      </c>
      <c r="AP187" s="194">
        <f>Tablo7[[#This Row],[Ümumi məbləğ]]-Tablo7[[#This Row],[Ödəniş]]-Tablo7[[#This Row],[Endirim]]</f>
        <v>-7</v>
      </c>
      <c r="AQ187" s="183" t="str">
        <f t="shared" si="73"/>
        <v>Mesaj</v>
      </c>
      <c r="AR187" s="183" t="str">
        <f t="shared" si="74"/>
        <v>Mesaj</v>
      </c>
      <c r="AS187" s="184" t="str">
        <f>IF(ISNA(VLOOKUP(Tablo7[[#This Row],[Sifariş kodu]],'Kəsim ve təhvil'!$E$5:$E1185,1,0)),"Qəbul edilməyib","Qəbul edilib")</f>
        <v>Qəbul edilməyib</v>
      </c>
      <c r="AT187" s="185" t="str">
        <f>IF(ISNA(VLOOKUP(Tablo7[[#This Row],[Sifariş kodu]],'Kəsim ve təhvil'!$H$5:$H1185,1,0)),"Anbardadır","Təhvil verilib")</f>
        <v>Anbardadır</v>
      </c>
      <c r="AU187" s="186" t="str">
        <f>"Hörmətli *"&amp;Tablo7[[#This Row],[Müştəri]]&amp;"*  ,Sizin *"&amp;G187&amp;"* tarixli sifarişiniz qeydə alındı. Sifariş Məbləğı *"&amp;AM187&amp;" AZN* , Qalıq *"&amp;AP187&amp;" AZN* . Hörmətlə  *AlumPro*"</f>
        <v>Hörmətli *Meftun Murselov*  ,Sizin *07,12,2024* tarixli sifarişiniz qeydə alındı. Sifariş Məbləğı *233 AZN* , Qalıq *-7 AZN* . Hörmətlə  *AlumPro*</v>
      </c>
      <c r="AV187" s="187" t="str">
        <f>"Hörmətli *"&amp;Tablo7[[#This Row],[Müştəri]]&amp;"* , sizin *"&amp;G187&amp;"* tarixli  sifarişiniz hazırdır . Bizi seçdiyiniz üçün minnətdarıq. Hörmətlə  *AlumPro*."</f>
        <v>Hörmətli *Meftun Murselov* , sizin *07,12,2024* tarixli  sifarişiniz hazırdır . Bizi seçdiyiniz üçün minnətdarıq. Hörmətlə  *AlumPro*.</v>
      </c>
      <c r="AW187" s="188" t="str">
        <f t="shared" si="76"/>
        <v>Meftun</v>
      </c>
      <c r="AX187" s="189" t="str">
        <f t="shared" si="75"/>
        <v xml:space="preserve">Meftun </v>
      </c>
    </row>
    <row r="188" spans="4:50">
      <c r="D188" s="178">
        <v>143</v>
      </c>
      <c r="E188" s="179" t="s">
        <v>590</v>
      </c>
      <c r="F188" s="179" t="s">
        <v>339</v>
      </c>
      <c r="G188" s="212" t="s">
        <v>585</v>
      </c>
      <c r="H188" s="179" t="s">
        <v>10</v>
      </c>
      <c r="I188" s="179" t="s">
        <v>368</v>
      </c>
      <c r="J188" s="179"/>
      <c r="K188" s="179" t="s">
        <v>226</v>
      </c>
      <c r="L188" s="179"/>
      <c r="M188" s="179" t="str">
        <f>_xlfn.XLOOKUP(Tablo7[[#This Row],[Yan Profili]],Anbar!$J$3:$J$1000,Anbar!$H$3:$H$1000,"Tapilmadi")</f>
        <v>Tapilmadi</v>
      </c>
      <c r="N188" s="179">
        <v>3</v>
      </c>
      <c r="O188" s="179">
        <v>69</v>
      </c>
      <c r="P188" s="179" t="s">
        <v>195</v>
      </c>
      <c r="Q188" s="179" t="str">
        <f>_xlfn.XLOOKUP(Tablo7[[#This Row],[Qulp növü]],Anbar!$J$3:$J$1000,Anbar!$H$3:$H$1000,"Tapilmadi")</f>
        <v>Tapilmadi</v>
      </c>
      <c r="R188" s="179">
        <v>0</v>
      </c>
      <c r="S188" s="180">
        <v>0</v>
      </c>
      <c r="T188" s="181" t="s">
        <v>196</v>
      </c>
      <c r="U188" s="179" t="str">
        <f>_xlfn.XLOOKUP(Tablo7[[#This Row],[Petlə]],Anbar!$J$3:$J$1000,Anbar!$H$3:$H$1000,"Tapilmadi")</f>
        <v>Tapilmadi</v>
      </c>
      <c r="V188" s="179">
        <v>6</v>
      </c>
      <c r="W188" s="180">
        <v>24</v>
      </c>
      <c r="X188" s="269">
        <v>0</v>
      </c>
      <c r="Y188" s="179" t="s">
        <v>199</v>
      </c>
      <c r="Z188" s="182"/>
      <c r="AA188" s="180">
        <v>25</v>
      </c>
      <c r="AB188" s="180"/>
      <c r="AC188" s="179" t="str">
        <f>_xlfn.XLOOKUP(Tablo7[[#This Row],[Bağlantı]],Anbar!$J$3:$J$1000,Anbar!$H$3:$H$1000,"Tapilmadi")</f>
        <v>Tapilmadi</v>
      </c>
      <c r="AD188" s="179"/>
      <c r="AE188" s="180">
        <v>16</v>
      </c>
      <c r="AF188" s="180"/>
      <c r="AG188" s="179" t="str">
        <f>_xlfn.XLOOKUP(Tablo7[[#This Row],[Mexanizm]],Anbar!$J$3:$J$1000,Anbar!$H$3:$H$1000,"Tapilmadi")</f>
        <v>Tapilmadi</v>
      </c>
      <c r="AH188" s="179">
        <v>1</v>
      </c>
      <c r="AI188" s="180">
        <v>0</v>
      </c>
      <c r="AJ188" s="180">
        <v>12</v>
      </c>
      <c r="AK188" s="180">
        <v>20</v>
      </c>
      <c r="AL188" s="180">
        <v>0</v>
      </c>
      <c r="AM188" s="180">
        <v>166</v>
      </c>
      <c r="AN188" s="180"/>
      <c r="AO188" s="180">
        <v>0</v>
      </c>
      <c r="AP188" s="194">
        <f>Tablo7[[#This Row],[Ümumi məbləğ]]-Tablo7[[#This Row],[Ödəniş]]-Tablo7[[#This Row],[Endirim]]</f>
        <v>166</v>
      </c>
      <c r="AQ188" s="183" t="str">
        <f t="shared" si="73"/>
        <v>Mesaj</v>
      </c>
      <c r="AR188" s="183" t="str">
        <f t="shared" si="74"/>
        <v>Mesaj</v>
      </c>
      <c r="AS188" s="184" t="str">
        <f>IF(ISNA(VLOOKUP(Tablo7[[#This Row],[Sifariş kodu]],'Kəsim ve təhvil'!$E$5:$E1186,1,0)),"Qəbul edilməyib","Qəbul edilib")</f>
        <v>Qəbul edilməyib</v>
      </c>
      <c r="AT188" s="185" t="str">
        <f>IF(ISNA(VLOOKUP(Tablo7[[#This Row],[Sifariş kodu]],'Kəsim ve təhvil'!$H$5:$H1186,1,0)),"Anbardadır","Təhvil verilib")</f>
        <v>Anbardadır</v>
      </c>
      <c r="AU188" s="186" t="str">
        <f>"Hörmətli *"&amp;Tablo7[[#This Row],[Müştəri]]&amp;"*  ,Sizin *"&amp;G188&amp;"* tarixli sifarişiniz qeydə alındı. Sifariş Məbləğı *"&amp;AM188&amp;" AZN* , Qalıq *"&amp;AP188&amp;" AZN* . Hörmətlə  *AlumPro*"</f>
        <v>Hörmətli *Kamran kaya desıgn*  ,Sizin *07,12,2024* tarixli sifarişiniz qeydə alındı. Sifariş Məbləğı *166 AZN* , Qalıq *166 AZN* . Hörmətlə  *AlumPro*</v>
      </c>
      <c r="AV188" s="187" t="str">
        <f>"Hörmətli *"&amp;Tablo7[[#This Row],[Müştəri]]&amp;"* , sizin *"&amp;G188&amp;"* tarixli  sifarişiniz hazırdır . Bizi seçdiyiniz üçün minnətdarıq. Hörmətlə  *AlumPro*."</f>
        <v>Hörmətli *Kamran kaya desıgn* , sizin *07,12,2024* tarixli  sifarişiniz hazırdır . Bizi seçdiyiniz üçün minnətdarıq. Hörmətlə  *AlumPro*.</v>
      </c>
      <c r="AW188" s="188" t="str">
        <f t="shared" si="76"/>
        <v>Kamran</v>
      </c>
      <c r="AX188" s="189" t="str">
        <f t="shared" si="75"/>
        <v xml:space="preserve">Kamran </v>
      </c>
    </row>
    <row r="189" spans="4:50">
      <c r="D189" s="178">
        <v>142</v>
      </c>
      <c r="E189" s="179" t="s">
        <v>591</v>
      </c>
      <c r="F189" s="179" t="s">
        <v>339</v>
      </c>
      <c r="G189" s="212" t="s">
        <v>585</v>
      </c>
      <c r="H189" s="179" t="s">
        <v>385</v>
      </c>
      <c r="I189" s="179" t="s">
        <v>386</v>
      </c>
      <c r="J189" s="179"/>
      <c r="K189" s="179" t="s">
        <v>226</v>
      </c>
      <c r="L189" s="179"/>
      <c r="M189" s="179" t="str">
        <f>_xlfn.XLOOKUP(Tablo7[[#This Row],[Yan Profili]],Anbar!$J$3:$J$1000,Anbar!$H$3:$H$1000,"Tapilmadi")</f>
        <v>Tapilmadi</v>
      </c>
      <c r="N189" s="179">
        <v>2</v>
      </c>
      <c r="O189" s="179">
        <v>46</v>
      </c>
      <c r="P189" s="179" t="s">
        <v>184</v>
      </c>
      <c r="Q189" s="179" t="str">
        <f>_xlfn.XLOOKUP(Tablo7[[#This Row],[Qulp növü]],Anbar!$J$3:$J$1000,Anbar!$H$3:$H$1000,"Tapilmadi")</f>
        <v>Tapilmadi</v>
      </c>
      <c r="R189" s="179">
        <v>1</v>
      </c>
      <c r="S189" s="180">
        <v>26</v>
      </c>
      <c r="T189" s="181" t="s">
        <v>196</v>
      </c>
      <c r="U189" s="179" t="str">
        <f>_xlfn.XLOOKUP(Tablo7[[#This Row],[Petlə]],Anbar!$J$3:$J$1000,Anbar!$H$3:$H$1000,"Tapilmadi")</f>
        <v>Tapilmadi</v>
      </c>
      <c r="V189" s="179">
        <v>4</v>
      </c>
      <c r="W189" s="180">
        <v>16</v>
      </c>
      <c r="X189" s="269">
        <v>0</v>
      </c>
      <c r="Y189" s="179" t="s">
        <v>199</v>
      </c>
      <c r="Z189" s="182"/>
      <c r="AA189" s="180">
        <v>36</v>
      </c>
      <c r="AB189" s="180"/>
      <c r="AC189" s="179" t="str">
        <f>_xlfn.XLOOKUP(Tablo7[[#This Row],[Bağlantı]],Anbar!$J$3:$J$1000,Anbar!$H$3:$H$1000,"Tapilmadi")</f>
        <v>Tapilmadi</v>
      </c>
      <c r="AD189" s="179"/>
      <c r="AE189" s="180">
        <v>8</v>
      </c>
      <c r="AF189" s="180"/>
      <c r="AG189" s="179" t="str">
        <f>_xlfn.XLOOKUP(Tablo7[[#This Row],[Mexanizm]],Anbar!$J$3:$J$1000,Anbar!$H$3:$H$1000,"Tapilmadi")</f>
        <v>Tapilmadi</v>
      </c>
      <c r="AH189" s="179">
        <v>1</v>
      </c>
      <c r="AI189" s="180">
        <v>0</v>
      </c>
      <c r="AJ189" s="180">
        <v>8</v>
      </c>
      <c r="AK189" s="180">
        <v>15</v>
      </c>
      <c r="AL189" s="180">
        <v>0</v>
      </c>
      <c r="AM189" s="180">
        <v>155</v>
      </c>
      <c r="AN189" s="180"/>
      <c r="AO189" s="180">
        <v>0</v>
      </c>
      <c r="AP189" s="194">
        <f>Tablo7[[#This Row],[Ümumi məbləğ]]-Tablo7[[#This Row],[Ödəniş]]-Tablo7[[#This Row],[Endirim]]</f>
        <v>155</v>
      </c>
      <c r="AQ189" s="183" t="str">
        <f t="shared" si="73"/>
        <v>Mesaj</v>
      </c>
      <c r="AR189" s="183" t="str">
        <f t="shared" si="74"/>
        <v>Mesaj</v>
      </c>
      <c r="AS189" s="184" t="str">
        <f>IF(ISNA(VLOOKUP(Tablo7[[#This Row],[Sifariş kodu]],'Kəsim ve təhvil'!$E$5:$E1187,1,0)),"Qəbul edilməyib","Qəbul edilib")</f>
        <v>Qəbul edilməyib</v>
      </c>
      <c r="AT189" s="185" t="str">
        <f>IF(ISNA(VLOOKUP(Tablo7[[#This Row],[Sifariş kodu]],'Kəsim ve təhvil'!$H$5:$H1187,1,0)),"Anbardadır","Təhvil verilib")</f>
        <v>Anbardadır</v>
      </c>
      <c r="AU189" s="186" t="str">
        <f>"Hörmətli *"&amp;Tablo7[[#This Row],[Müştəri]]&amp;"*  ,Sizin *"&amp;G189&amp;"* tarixli sifarişiniz qeydə alındı. Sifariş Məbləğı *"&amp;AM189&amp;" AZN* , Qalıq *"&amp;AP189&amp;" AZN* . Hörmətlə  *AlumPro*"</f>
        <v>Hörmətli *Ceyhun Bmw Doz*  ,Sizin *07,12,2024* tarixli sifarişiniz qeydə alındı. Sifariş Məbləğı *155 AZN* , Qalıq *155 AZN* . Hörmətlə  *AlumPro*</v>
      </c>
      <c r="AV189" s="187" t="str">
        <f>"Hörmətli *"&amp;Tablo7[[#This Row],[Müştəri]]&amp;"* , sizin *"&amp;G189&amp;"* tarixli  sifarişiniz hazırdır . Bizi seçdiyiniz üçün minnətdarıq. Hörmətlə  *AlumPro*."</f>
        <v>Hörmətli *Ceyhun Bmw Doz* , sizin *07,12,2024* tarixli  sifarişiniz hazırdır . Bizi seçdiyiniz üçün minnətdarıq. Hörmətlə  *AlumPro*.</v>
      </c>
      <c r="AW189" s="188" t="str">
        <f t="shared" si="76"/>
        <v>Ceyhun</v>
      </c>
      <c r="AX189" s="189" t="str">
        <f t="shared" si="75"/>
        <v xml:space="preserve">Ceyhun </v>
      </c>
    </row>
    <row r="190" spans="4:50">
      <c r="D190" s="178">
        <v>141</v>
      </c>
      <c r="E190" s="179" t="s">
        <v>592</v>
      </c>
      <c r="F190" s="179" t="s">
        <v>339</v>
      </c>
      <c r="G190" s="212" t="s">
        <v>585</v>
      </c>
      <c r="H190" s="179" t="s">
        <v>561</v>
      </c>
      <c r="I190" s="179" t="s">
        <v>562</v>
      </c>
      <c r="J190" s="179"/>
      <c r="K190" s="179" t="s">
        <v>183</v>
      </c>
      <c r="L190" s="179"/>
      <c r="M190" s="179" t="str">
        <f>_xlfn.XLOOKUP(Tablo7[[#This Row],[Yan Profili]],Anbar!$J$3:$J$1000,Anbar!$H$3:$H$1000,"Tapilmadi")</f>
        <v>Tapilmadi</v>
      </c>
      <c r="N190" s="179">
        <v>10</v>
      </c>
      <c r="O190" s="179">
        <v>230</v>
      </c>
      <c r="P190" s="179" t="s">
        <v>184</v>
      </c>
      <c r="Q190" s="179" t="str">
        <f>_xlfn.XLOOKUP(Tablo7[[#This Row],[Qulp növü]],Anbar!$J$3:$J$1000,Anbar!$H$3:$H$1000,"Tapilmadi")</f>
        <v>Tapilmadi</v>
      </c>
      <c r="R190" s="179">
        <v>26</v>
      </c>
      <c r="S190" s="180">
        <v>260</v>
      </c>
      <c r="T190" s="181"/>
      <c r="U190" s="179" t="str">
        <f>_xlfn.XLOOKUP(Tablo7[[#This Row],[Petlə]],Anbar!$J$3:$J$1000,Anbar!$H$3:$H$1000,"Tapilmadi")</f>
        <v>Tapilmadi</v>
      </c>
      <c r="V190" s="179">
        <v>0</v>
      </c>
      <c r="W190" s="180">
        <v>0</v>
      </c>
      <c r="X190" s="269">
        <v>0</v>
      </c>
      <c r="Y190" s="179" t="s">
        <v>36</v>
      </c>
      <c r="Z190" s="182"/>
      <c r="AA190" s="180">
        <v>184</v>
      </c>
      <c r="AB190" s="180"/>
      <c r="AC190" s="179" t="str">
        <f>_xlfn.XLOOKUP(Tablo7[[#This Row],[Bağlantı]],Anbar!$J$3:$J$1000,Anbar!$H$3:$H$1000,"Tapilmadi")</f>
        <v>Tapilmadi</v>
      </c>
      <c r="AD190" s="179"/>
      <c r="AE190" s="180">
        <v>40</v>
      </c>
      <c r="AF190" s="180"/>
      <c r="AG190" s="179" t="str">
        <f>_xlfn.XLOOKUP(Tablo7[[#This Row],[Mexanizm]],Anbar!$J$3:$J$1000,Anbar!$H$3:$H$1000,"Tapilmadi")</f>
        <v>Tapilmadi</v>
      </c>
      <c r="AH190" s="179">
        <v>1</v>
      </c>
      <c r="AI190" s="180">
        <v>0</v>
      </c>
      <c r="AJ190" s="180">
        <v>40</v>
      </c>
      <c r="AK190" s="180">
        <v>100</v>
      </c>
      <c r="AL190" s="180">
        <v>0</v>
      </c>
      <c r="AM190" s="180">
        <v>854</v>
      </c>
      <c r="AN190" s="180"/>
      <c r="AO190" s="180">
        <v>854</v>
      </c>
      <c r="AP190" s="194">
        <f>Tablo7[[#This Row],[Ümumi məbləğ]]-Tablo7[[#This Row],[Ödəniş]]-Tablo7[[#This Row],[Endirim]]</f>
        <v>0</v>
      </c>
      <c r="AQ190" s="183" t="str">
        <f t="shared" si="73"/>
        <v>Mesaj</v>
      </c>
      <c r="AR190" s="183" t="str">
        <f t="shared" si="74"/>
        <v>Mesaj</v>
      </c>
      <c r="AS190" s="184" t="str">
        <f>IF(ISNA(VLOOKUP(Tablo7[[#This Row],[Sifariş kodu]],'Kəsim ve təhvil'!$E$5:$E1188,1,0)),"Qəbul edilməyib","Qəbul edilib")</f>
        <v>Qəbul edilməyib</v>
      </c>
      <c r="AT190" s="185" t="str">
        <f>IF(ISNA(VLOOKUP(Tablo7[[#This Row],[Sifariş kodu]],'Kəsim ve təhvil'!$H$5:$H1188,1,0)),"Anbardadır","Təhvil verilib")</f>
        <v>Anbardadır</v>
      </c>
      <c r="AU190" s="186" t="str">
        <f>"Hörmətli *"&amp;Tablo7[[#This Row],[Müştəri]]&amp;"*  ,Sizin *"&amp;G190&amp;"* tarixli sifarişiniz qeydə alındı. Sifariş Məbləğı *"&amp;AM190&amp;" AZN* , Qalıq *"&amp;AP190&amp;" AZN* . Hörmətlə  *AlumPro*"</f>
        <v>Hörmətli *Eli Asbella*  ,Sizin *07,12,2024* tarixli sifarişiniz qeydə alındı. Sifariş Məbləğı *854 AZN* , Qalıq *0 AZN* . Hörmətlə  *AlumPro*</v>
      </c>
      <c r="AV190" s="187" t="str">
        <f>"Hörmətli *"&amp;Tablo7[[#This Row],[Müştəri]]&amp;"* , sizin *"&amp;G190&amp;"* tarixli  sifarişiniz hazırdır . Bizi seçdiyiniz üçün minnətdarıq. Hörmətlə  *AlumPro*."</f>
        <v>Hörmətli *Eli Asbella* , sizin *07,12,2024* tarixli  sifarişiniz hazırdır . Bizi seçdiyiniz üçün minnətdarıq. Hörmətlə  *AlumPro*.</v>
      </c>
      <c r="AW190" s="188" t="str">
        <f t="shared" si="76"/>
        <v>Eli</v>
      </c>
      <c r="AX190" s="189" t="str">
        <f t="shared" si="75"/>
        <v xml:space="preserve">Eli </v>
      </c>
    </row>
    <row r="191" spans="4:50">
      <c r="D191" s="178">
        <v>140</v>
      </c>
      <c r="E191" s="179" t="s">
        <v>593</v>
      </c>
      <c r="F191" s="179" t="s">
        <v>339</v>
      </c>
      <c r="G191" s="212" t="s">
        <v>585</v>
      </c>
      <c r="H191" s="179" t="s">
        <v>526</v>
      </c>
      <c r="I191" s="179">
        <v>0</v>
      </c>
      <c r="J191" s="179" t="s">
        <v>594</v>
      </c>
      <c r="K191" s="179" t="s">
        <v>189</v>
      </c>
      <c r="L191" s="179"/>
      <c r="M191" s="179" t="str">
        <f>_xlfn.XLOOKUP(Tablo7[[#This Row],[Yan Profili]],Anbar!$J$3:$J$1000,Anbar!$H$3:$H$1000,"Tapilmadi")</f>
        <v>Tapilmadi</v>
      </c>
      <c r="N191" s="179">
        <v>23</v>
      </c>
      <c r="O191" s="179">
        <v>529</v>
      </c>
      <c r="P191" s="179" t="s">
        <v>184</v>
      </c>
      <c r="Q191" s="179" t="str">
        <f>_xlfn.XLOOKUP(Tablo7[[#This Row],[Qulp növü]],Anbar!$J$3:$J$1000,Anbar!$H$3:$H$1000,"Tapilmadi")</f>
        <v>Tapilmadi</v>
      </c>
      <c r="R191" s="179">
        <v>2623</v>
      </c>
      <c r="S191" s="180">
        <v>416</v>
      </c>
      <c r="T191" s="181"/>
      <c r="U191" s="179" t="str">
        <f>_xlfn.XLOOKUP(Tablo7[[#This Row],[Petlə]],Anbar!$J$3:$J$1000,Anbar!$H$3:$H$1000,"Tapilmadi")</f>
        <v>Tapilmadi</v>
      </c>
      <c r="V191" s="179">
        <v>0</v>
      </c>
      <c r="W191" s="180">
        <v>0</v>
      </c>
      <c r="X191" s="269">
        <v>0</v>
      </c>
      <c r="Y191" s="179" t="s">
        <v>203</v>
      </c>
      <c r="Z191" s="182"/>
      <c r="AA191" s="180">
        <v>604</v>
      </c>
      <c r="AB191" s="180"/>
      <c r="AC191" s="179" t="str">
        <f>_xlfn.XLOOKUP(Tablo7[[#This Row],[Bağlantı]],Anbar!$J$3:$J$1000,Anbar!$H$3:$H$1000,"Tapilmadi")</f>
        <v>Tapilmadi</v>
      </c>
      <c r="AD191" s="179"/>
      <c r="AE191" s="180">
        <v>68</v>
      </c>
      <c r="AF191" s="180"/>
      <c r="AG191" s="179" t="str">
        <f>_xlfn.XLOOKUP(Tablo7[[#This Row],[Mexanizm]],Anbar!$J$3:$J$1000,Anbar!$H$3:$H$1000,"Tapilmadi")</f>
        <v>Tapilmadi</v>
      </c>
      <c r="AH191" s="179">
        <v>1</v>
      </c>
      <c r="AI191" s="180">
        <v>0</v>
      </c>
      <c r="AJ191" s="180">
        <v>90</v>
      </c>
      <c r="AK191" s="180">
        <v>255</v>
      </c>
      <c r="AL191" s="180">
        <v>117</v>
      </c>
      <c r="AM191" s="180">
        <v>2079</v>
      </c>
      <c r="AN191" s="180"/>
      <c r="AO191" s="180">
        <v>2079</v>
      </c>
      <c r="AP191" s="194">
        <f>Tablo7[[#This Row],[Ümumi məbləğ]]-Tablo7[[#This Row],[Ödəniş]]-Tablo7[[#This Row],[Endirim]]</f>
        <v>0</v>
      </c>
      <c r="AQ191" s="183" t="str">
        <f t="shared" si="73"/>
        <v>Mesaj</v>
      </c>
      <c r="AR191" s="183" t="str">
        <f t="shared" si="74"/>
        <v>Mesaj</v>
      </c>
      <c r="AS191" s="184" t="str">
        <f>IF(ISNA(VLOOKUP(Tablo7[[#This Row],[Sifariş kodu]],'Kəsim ve təhvil'!$E$5:$E1189,1,0)),"Qəbul edilməyib","Qəbul edilib")</f>
        <v>Qəbul edilməyib</v>
      </c>
      <c r="AT191" s="185" t="str">
        <f>IF(ISNA(VLOOKUP(Tablo7[[#This Row],[Sifariş kodu]],'Kəsim ve təhvil'!$H$5:$H1189,1,0)),"Anbardadır","Təhvil verilib")</f>
        <v>Anbardadır</v>
      </c>
      <c r="AU191" s="186" t="str">
        <f>"Hörmətli *"&amp;Tablo7[[#This Row],[Müştəri]]&amp;"*  ,Sizin *"&amp;G191&amp;"* tarixli sifarişiniz qeydə alındı. Sifariş Məbləğı *"&amp;AM191&amp;" AZN* , Qalıq *"&amp;AP191&amp;" AZN* . Hörmətlə  *AlumPro*"</f>
        <v>Hörmətli *Perviz Bine*  ,Sizin *07,12,2024* tarixli sifarişiniz qeydə alındı. Sifariş Məbləğı *2079 AZN* , Qalıq *0 AZN* . Hörmətlə  *AlumPro*</v>
      </c>
      <c r="AV191" s="187" t="str">
        <f>"Hörmətli *"&amp;Tablo7[[#This Row],[Müştəri]]&amp;"* , sizin *"&amp;G191&amp;"* tarixli  sifarişiniz hazırdır . Bizi seçdiyiniz üçün minnətdarıq. Hörmətlə  *AlumPro*."</f>
        <v>Hörmətli *Perviz Bine* , sizin *07,12,2024* tarixli  sifarişiniz hazırdır . Bizi seçdiyiniz üçün minnətdarıq. Hörmətlə  *AlumPro*.</v>
      </c>
      <c r="AW191" s="188" t="str">
        <f t="shared" si="76"/>
        <v>Perviz</v>
      </c>
      <c r="AX191" s="189" t="str">
        <f t="shared" si="75"/>
        <v xml:space="preserve">Perviz </v>
      </c>
    </row>
    <row r="192" spans="4:50">
      <c r="D192" s="178">
        <v>139</v>
      </c>
      <c r="E192" s="179" t="s">
        <v>595</v>
      </c>
      <c r="F192" s="179" t="s">
        <v>339</v>
      </c>
      <c r="G192" s="212" t="s">
        <v>585</v>
      </c>
      <c r="H192" s="179" t="s">
        <v>41</v>
      </c>
      <c r="I192" s="179" t="s">
        <v>116</v>
      </c>
      <c r="J192" s="179"/>
      <c r="K192" s="179" t="s">
        <v>194</v>
      </c>
      <c r="L192" s="179"/>
      <c r="M192" s="179" t="str">
        <f>_xlfn.XLOOKUP(Tablo7[[#This Row],[Yan Profili]],Anbar!$J$3:$J$1000,Anbar!$H$3:$H$1000,"Tapilmadi")</f>
        <v>Tapilmadi</v>
      </c>
      <c r="N192" s="179">
        <v>9</v>
      </c>
      <c r="O192" s="179">
        <v>207</v>
      </c>
      <c r="P192" s="179" t="s">
        <v>184</v>
      </c>
      <c r="Q192" s="179" t="str">
        <f>_xlfn.XLOOKUP(Tablo7[[#This Row],[Qulp növü]],Anbar!$J$3:$J$1000,Anbar!$H$3:$H$1000,"Tapilmadi")</f>
        <v>Tapilmadi</v>
      </c>
      <c r="R192" s="179">
        <v>6</v>
      </c>
      <c r="S192" s="180">
        <v>156</v>
      </c>
      <c r="T192" s="181" t="s">
        <v>196</v>
      </c>
      <c r="U192" s="179" t="str">
        <f>_xlfn.XLOOKUP(Tablo7[[#This Row],[Petlə]],Anbar!$J$3:$J$1000,Anbar!$H$3:$H$1000,"Tapilmadi")</f>
        <v>Tapilmadi</v>
      </c>
      <c r="V192" s="179">
        <v>30</v>
      </c>
      <c r="W192" s="180">
        <v>120</v>
      </c>
      <c r="X192" s="269">
        <v>0</v>
      </c>
      <c r="Y192" s="179" t="s">
        <v>203</v>
      </c>
      <c r="Z192" s="182"/>
      <c r="AA192" s="180">
        <v>194</v>
      </c>
      <c r="AB192" s="180"/>
      <c r="AC192" s="179" t="str">
        <f>_xlfn.XLOOKUP(Tablo7[[#This Row],[Bağlantı]],Anbar!$J$3:$J$1000,Anbar!$H$3:$H$1000,"Tapilmadi")</f>
        <v>Tapilmadi</v>
      </c>
      <c r="AD192" s="179"/>
      <c r="AE192" s="180">
        <v>88</v>
      </c>
      <c r="AF192" s="180"/>
      <c r="AG192" s="179" t="str">
        <f>_xlfn.XLOOKUP(Tablo7[[#This Row],[Mexanizm]],Anbar!$J$3:$J$1000,Anbar!$H$3:$H$1000,"Tapilmadi")</f>
        <v>Tapilmadi</v>
      </c>
      <c r="AH192" s="179">
        <v>1</v>
      </c>
      <c r="AI192" s="180">
        <v>0</v>
      </c>
      <c r="AJ192" s="180">
        <v>60</v>
      </c>
      <c r="AK192" s="180">
        <v>130</v>
      </c>
      <c r="AL192" s="180">
        <v>0</v>
      </c>
      <c r="AM192" s="180">
        <v>955</v>
      </c>
      <c r="AN192" s="180"/>
      <c r="AO192" s="180">
        <v>955</v>
      </c>
      <c r="AP192" s="194">
        <f>Tablo7[[#This Row],[Ümumi məbləğ]]-Tablo7[[#This Row],[Ödəniş]]-Tablo7[[#This Row],[Endirim]]</f>
        <v>0</v>
      </c>
      <c r="AQ192" s="183" t="str">
        <f t="shared" si="73"/>
        <v>Mesaj</v>
      </c>
      <c r="AR192" s="183" t="str">
        <f t="shared" si="74"/>
        <v>Mesaj</v>
      </c>
      <c r="AS192" s="184" t="str">
        <f>IF(ISNA(VLOOKUP(Tablo7[[#This Row],[Sifariş kodu]],'Kəsim ve təhvil'!$E$5:$E1190,1,0)),"Qəbul edilməyib","Qəbul edilib")</f>
        <v>Qəbul edilməyib</v>
      </c>
      <c r="AT192" s="185" t="str">
        <f>IF(ISNA(VLOOKUP(Tablo7[[#This Row],[Sifariş kodu]],'Kəsim ve təhvil'!$H$5:$H1190,1,0)),"Anbardadır","Təhvil verilib")</f>
        <v>Anbardadır</v>
      </c>
      <c r="AU192" s="186" t="str">
        <f>"Hörmətli *"&amp;Tablo7[[#This Row],[Müştəri]]&amp;"*  ,Sizin *"&amp;G192&amp;"* tarixli sifarişiniz qeydə alındı. Sifariş Məbləğı *"&amp;AM192&amp;" AZN* , Qalıq *"&amp;AP192&amp;" AZN* . Hörmətlə  *AlumPro*"</f>
        <v>Hörmətli *Fariz Faiq*  ,Sizin *07,12,2024* tarixli sifarişiniz qeydə alındı. Sifariş Məbləğı *955 AZN* , Qalıq *0 AZN* . Hörmətlə  *AlumPro*</v>
      </c>
      <c r="AV192" s="187" t="str">
        <f>"Hörmətli *"&amp;Tablo7[[#This Row],[Müştəri]]&amp;"* , sizin *"&amp;G192&amp;"* tarixli  sifarişiniz hazırdır . Bizi seçdiyiniz üçün minnətdarıq. Hörmətlə  *AlumPro*."</f>
        <v>Hörmətli *Fariz Faiq* , sizin *07,12,2024* tarixli  sifarişiniz hazırdır . Bizi seçdiyiniz üçün minnətdarıq. Hörmətlə  *AlumPro*.</v>
      </c>
      <c r="AW192" s="188" t="str">
        <f t="shared" si="76"/>
        <v>Fariz</v>
      </c>
      <c r="AX192" s="189" t="str">
        <f t="shared" si="75"/>
        <v xml:space="preserve">Fariz </v>
      </c>
    </row>
    <row r="193" spans="4:50">
      <c r="D193" s="178">
        <v>138</v>
      </c>
      <c r="E193" s="179" t="s">
        <v>596</v>
      </c>
      <c r="F193" s="179" t="s">
        <v>339</v>
      </c>
      <c r="G193" s="212" t="s">
        <v>585</v>
      </c>
      <c r="H193" s="179" t="s">
        <v>123</v>
      </c>
      <c r="I193" s="179" t="s">
        <v>124</v>
      </c>
      <c r="J193" s="179"/>
      <c r="K193" s="179" t="s">
        <v>278</v>
      </c>
      <c r="L193" s="179"/>
      <c r="M193" s="179" t="str">
        <f>_xlfn.XLOOKUP(Tablo7[[#This Row],[Yan Profili]],Anbar!$J$3:$J$1000,Anbar!$H$3:$H$1000,"Tapilmadi")</f>
        <v>Tapilmadi</v>
      </c>
      <c r="N193" s="179">
        <v>8</v>
      </c>
      <c r="O193" s="179">
        <v>184</v>
      </c>
      <c r="P193" s="179" t="s">
        <v>184</v>
      </c>
      <c r="Q193" s="179" t="str">
        <f>_xlfn.XLOOKUP(Tablo7[[#This Row],[Qulp növü]],Anbar!$J$3:$J$1000,Anbar!$H$3:$H$1000,"Tapilmadi")</f>
        <v>Tapilmadi</v>
      </c>
      <c r="R193" s="179">
        <v>6</v>
      </c>
      <c r="S193" s="180">
        <v>156</v>
      </c>
      <c r="T193" s="181"/>
      <c r="U193" s="179" t="str">
        <f>_xlfn.XLOOKUP(Tablo7[[#This Row],[Petlə]],Anbar!$J$3:$J$1000,Anbar!$H$3:$H$1000,"Tapilmadi")</f>
        <v>Tapilmadi</v>
      </c>
      <c r="V193" s="181"/>
      <c r="W193" s="180">
        <v>0</v>
      </c>
      <c r="X193" s="269">
        <v>0</v>
      </c>
      <c r="Y193" s="179" t="s">
        <v>36</v>
      </c>
      <c r="Z193" s="182"/>
      <c r="AA193" s="180">
        <v>217</v>
      </c>
      <c r="AB193" s="180"/>
      <c r="AC193" s="179" t="str">
        <f>_xlfn.XLOOKUP(Tablo7[[#This Row],[Bağlantı]],Anbar!$J$3:$J$1000,Anbar!$H$3:$H$1000,"Tapilmadi")</f>
        <v>Tapilmadi</v>
      </c>
      <c r="AD193" s="179"/>
      <c r="AE193" s="180">
        <v>48</v>
      </c>
      <c r="AF193" s="180"/>
      <c r="AG193" s="179" t="str">
        <f>_xlfn.XLOOKUP(Tablo7[[#This Row],[Mexanizm]],Anbar!$J$3:$J$1000,Anbar!$H$3:$H$1000,"Tapilmadi")</f>
        <v>Tapilmadi</v>
      </c>
      <c r="AH193" s="179">
        <v>1</v>
      </c>
      <c r="AI193" s="180">
        <v>0</v>
      </c>
      <c r="AJ193" s="180">
        <v>60</v>
      </c>
      <c r="AK193" s="180">
        <v>90</v>
      </c>
      <c r="AL193" s="180">
        <v>0</v>
      </c>
      <c r="AM193" s="180">
        <v>755</v>
      </c>
      <c r="AN193" s="180"/>
      <c r="AO193" s="180">
        <v>755</v>
      </c>
      <c r="AP193" s="194">
        <f>Tablo7[[#This Row],[Ümumi məbləğ]]-Tablo7[[#This Row],[Ödəniş]]-Tablo7[[#This Row],[Endirim]]</f>
        <v>0</v>
      </c>
      <c r="AQ193" s="183" t="str">
        <f t="shared" si="73"/>
        <v>Mesaj</v>
      </c>
      <c r="AR193" s="183" t="str">
        <f t="shared" si="74"/>
        <v>Mesaj</v>
      </c>
      <c r="AS193" s="184" t="str">
        <f>IF(ISNA(VLOOKUP(Tablo7[[#This Row],[Sifariş kodu]],'Kəsim ve təhvil'!$E$5:$E1191,1,0)),"Qəbul edilməyib","Qəbul edilib")</f>
        <v>Qəbul edilməyib</v>
      </c>
      <c r="AT193" s="185" t="str">
        <f>IF(ISNA(VLOOKUP(Tablo7[[#This Row],[Sifariş kodu]],'Kəsim ve təhvil'!$H$5:$H1191,1,0)),"Anbardadır","Təhvil verilib")</f>
        <v>Anbardadır</v>
      </c>
      <c r="AU193" s="186" t="str">
        <f>"Hörmətli *"&amp;Tablo7[[#This Row],[Müştəri]]&amp;"*  ,Sizin *"&amp;G193&amp;"* tarixli sifarişiniz qeydə alındı. Sifariş Məbləğı *"&amp;AM193&amp;" AZN* , Qalıq *"&amp;AP193&amp;" AZN* . Hörmətlə  *AlumPro*"</f>
        <v>Hörmətli *Lux Concept*  ,Sizin *07,12,2024* tarixli sifarişiniz qeydə alındı. Sifariş Məbləğı *755 AZN* , Qalıq *0 AZN* . Hörmətlə  *AlumPro*</v>
      </c>
      <c r="AV193" s="187" t="str">
        <f>"Hörmətli *"&amp;Tablo7[[#This Row],[Müştəri]]&amp;"* , sizin *"&amp;G193&amp;"* tarixli  sifarişiniz hazırdır . Bizi seçdiyiniz üçün minnətdarıq. Hörmətlə  *AlumPro*."</f>
        <v>Hörmətli *Lux Concept* , sizin *07,12,2024* tarixli  sifarişiniz hazırdır . Bizi seçdiyiniz üçün minnətdarıq. Hörmətlə  *AlumPro*.</v>
      </c>
      <c r="AW193" s="188" t="str">
        <f t="shared" si="76"/>
        <v>Lux</v>
      </c>
      <c r="AX193" s="189" t="str">
        <f t="shared" si="75"/>
        <v xml:space="preserve">Lux </v>
      </c>
    </row>
    <row r="194" spans="4:50">
      <c r="D194" s="178">
        <v>137</v>
      </c>
      <c r="E194" s="179" t="s">
        <v>597</v>
      </c>
      <c r="F194" s="179" t="s">
        <v>339</v>
      </c>
      <c r="G194" s="212" t="s">
        <v>585</v>
      </c>
      <c r="H194" s="179" t="s">
        <v>123</v>
      </c>
      <c r="I194" s="179" t="s">
        <v>124</v>
      </c>
      <c r="J194" s="179"/>
      <c r="K194" s="179" t="s">
        <v>278</v>
      </c>
      <c r="L194" s="179"/>
      <c r="M194" s="179">
        <f>_xlfn.XLOOKUP(Tablo7[[#This Row],[Yan Profili]],Anbar!$J$3:$J$1000,Anbar!$H$3:$H$1000,"Tapilmadi")</f>
        <v>0</v>
      </c>
      <c r="N194" s="179">
        <v>7</v>
      </c>
      <c r="O194" s="179">
        <v>161</v>
      </c>
      <c r="P194" s="179" t="s">
        <v>184</v>
      </c>
      <c r="Q194" s="179" t="str">
        <f>_xlfn.XLOOKUP(Tablo7[[#This Row],[Qulp növü]],Anbar!$J$3:$J$1000,Anbar!$H$3:$H$1000,"Tapilmadi")</f>
        <v>Tapilmadi</v>
      </c>
      <c r="R194" s="179">
        <v>5</v>
      </c>
      <c r="S194" s="180">
        <v>130</v>
      </c>
      <c r="T194" s="181"/>
      <c r="U194" s="179" t="str">
        <f>_xlfn.XLOOKUP(Tablo7[[#This Row],[Petlə]],Anbar!$J$3:$J$1000,Anbar!$H$3:$H$1000,"Tapilmadi")</f>
        <v>Tapilmadi</v>
      </c>
      <c r="V194" s="181"/>
      <c r="W194" s="180">
        <v>0</v>
      </c>
      <c r="X194" s="269">
        <v>0</v>
      </c>
      <c r="Y194" s="179" t="s">
        <v>199</v>
      </c>
      <c r="Z194" s="182"/>
      <c r="AA194" s="180">
        <v>28</v>
      </c>
      <c r="AB194" s="180"/>
      <c r="AC194" s="179" t="str">
        <f>_xlfn.XLOOKUP(Tablo7[[#This Row],[Bağlantı]],Anbar!$J$3:$J$1000,Anbar!$H$3:$H$1000,"Tapilmadi")</f>
        <v>Tapilmadi</v>
      </c>
      <c r="AD194" s="179"/>
      <c r="AE194" s="180">
        <v>48</v>
      </c>
      <c r="AF194" s="180"/>
      <c r="AG194" s="179" t="str">
        <f>_xlfn.XLOOKUP(Tablo7[[#This Row],[Mexanizm]],Anbar!$J$3:$J$1000,Anbar!$H$3:$H$1000,"Tapilmadi")</f>
        <v>Tapilmadi</v>
      </c>
      <c r="AH194" s="179">
        <v>1</v>
      </c>
      <c r="AI194" s="180">
        <v>0</v>
      </c>
      <c r="AJ194" s="180">
        <v>50</v>
      </c>
      <c r="AK194" s="180">
        <v>90</v>
      </c>
      <c r="AL194" s="180">
        <v>0</v>
      </c>
      <c r="AM194" s="180">
        <v>507</v>
      </c>
      <c r="AN194" s="180"/>
      <c r="AO194" s="180">
        <v>507</v>
      </c>
      <c r="AP194" s="194">
        <f>Tablo7[[#This Row],[Ümumi məbləğ]]-Tablo7[[#This Row],[Ödəniş]]-Tablo7[[#This Row],[Endirim]]</f>
        <v>0</v>
      </c>
      <c r="AQ194" s="183" t="str">
        <f t="shared" si="73"/>
        <v>Mesaj</v>
      </c>
      <c r="AR194" s="183" t="str">
        <f t="shared" si="74"/>
        <v>Mesaj</v>
      </c>
      <c r="AS194" s="184" t="str">
        <f>IF(ISNA(VLOOKUP(Tablo7[[#This Row],[Sifariş kodu]],'Kəsim ve təhvil'!$E$5:$E1192,1,0)),"Qəbul edilməyib","Qəbul edilib")</f>
        <v>Qəbul edilməyib</v>
      </c>
      <c r="AT194" s="185" t="str">
        <f>IF(ISNA(VLOOKUP(Tablo7[[#This Row],[Sifariş kodu]],'Kəsim ve təhvil'!$H$5:$H1192,1,0)),"Anbardadır","Təhvil verilib")</f>
        <v>Anbardadır</v>
      </c>
      <c r="AU194" s="186" t="str">
        <f>"Hörmətli *"&amp;Tablo7[[#This Row],[Müştəri]]&amp;"*  ,Sizin *"&amp;G194&amp;"* tarixli sifarişiniz qeydə alındı. Sifariş Məbləğı *"&amp;AM194&amp;" AZN* , Qalıq *"&amp;AP194&amp;" AZN* . Hörmətlə  *AlumPro*"</f>
        <v>Hörmətli *Lux Concept*  ,Sizin *07,12,2024* tarixli sifarişiniz qeydə alındı. Sifariş Məbləğı *507 AZN* , Qalıq *0 AZN* . Hörmətlə  *AlumPro*</v>
      </c>
      <c r="AV194" s="187" t="str">
        <f>"Hörmətli *"&amp;Tablo7[[#This Row],[Müştəri]]&amp;"* , sizin *"&amp;G194&amp;"* tarixli  sifarişiniz hazırdır . Bizi seçdiyiniz üçün minnətdarıq. Hörmətlə  *AlumPro*."</f>
        <v>Hörmətli *Lux Concept* , sizin *07,12,2024* tarixli  sifarişiniz hazırdır . Bizi seçdiyiniz üçün minnətdarıq. Hörmətlə  *AlumPro*.</v>
      </c>
      <c r="AW194" s="188" t="str">
        <f t="shared" si="76"/>
        <v>Lux</v>
      </c>
      <c r="AX194" s="189" t="str">
        <f t="shared" si="75"/>
        <v xml:space="preserve">Lux </v>
      </c>
    </row>
    <row r="195" spans="4:50">
      <c r="D195" s="178">
        <v>136</v>
      </c>
      <c r="E195" s="179" t="s">
        <v>598</v>
      </c>
      <c r="F195" s="179" t="s">
        <v>339</v>
      </c>
      <c r="G195" s="212" t="s">
        <v>585</v>
      </c>
      <c r="H195" s="179" t="s">
        <v>599</v>
      </c>
      <c r="I195" s="179">
        <v>0</v>
      </c>
      <c r="J195" s="179"/>
      <c r="K195" s="179" t="s">
        <v>183</v>
      </c>
      <c r="L195" s="179"/>
      <c r="M195" s="179" t="str">
        <f>_xlfn.XLOOKUP(Tablo7[[#This Row],[Yan Profili]],Anbar!$J$3:$J$1000,Anbar!$H$3:$H$1000,"Tapilmadi")</f>
        <v>Tapilmadi</v>
      </c>
      <c r="N195" s="179">
        <v>2</v>
      </c>
      <c r="O195" s="179">
        <v>46</v>
      </c>
      <c r="P195" s="179" t="s">
        <v>184</v>
      </c>
      <c r="Q195" s="179" t="str">
        <f>_xlfn.XLOOKUP(Tablo7[[#This Row],[Qulp növü]],Anbar!$J$3:$J$1000,Anbar!$H$3:$H$1000,"Tapilmadi")</f>
        <v>Tapilmadi</v>
      </c>
      <c r="R195" s="179">
        <v>1</v>
      </c>
      <c r="S195" s="180">
        <v>26</v>
      </c>
      <c r="T195" s="181"/>
      <c r="U195" s="179" t="str">
        <f>_xlfn.XLOOKUP(Tablo7[[#This Row],[Petlə]],Anbar!$J$3:$J$1000,Anbar!$H$3:$H$1000,"Tapilmadi")</f>
        <v>Tapilmadi</v>
      </c>
      <c r="V195" s="181"/>
      <c r="W195" s="180">
        <v>0</v>
      </c>
      <c r="X195" s="269">
        <v>9</v>
      </c>
      <c r="Y195" s="179" t="s">
        <v>36</v>
      </c>
      <c r="Z195" s="182"/>
      <c r="AA195" s="180">
        <v>25</v>
      </c>
      <c r="AB195" s="180"/>
      <c r="AC195" s="179" t="str">
        <f>_xlfn.XLOOKUP(Tablo7[[#This Row],[Bağlantı]],Anbar!$J$3:$J$1000,Anbar!$H$3:$H$1000,"Tapilmadi")</f>
        <v>Tapilmadi</v>
      </c>
      <c r="AD195" s="179"/>
      <c r="AE195" s="180">
        <v>8</v>
      </c>
      <c r="AF195" s="180"/>
      <c r="AG195" s="179" t="str">
        <f>_xlfn.XLOOKUP(Tablo7[[#This Row],[Mexanizm]],Anbar!$J$3:$J$1000,Anbar!$H$3:$H$1000,"Tapilmadi")</f>
        <v>Tapilmadi</v>
      </c>
      <c r="AH195" s="179">
        <v>1</v>
      </c>
      <c r="AI195" s="180">
        <v>0</v>
      </c>
      <c r="AJ195" s="180">
        <v>4</v>
      </c>
      <c r="AK195" s="180">
        <v>20</v>
      </c>
      <c r="AL195" s="180">
        <v>0</v>
      </c>
      <c r="AM195" s="180">
        <v>138</v>
      </c>
      <c r="AN195" s="180"/>
      <c r="AO195" s="180">
        <v>140</v>
      </c>
      <c r="AP195" s="194">
        <f>Tablo7[[#This Row],[Ümumi məbləğ]]-Tablo7[[#This Row],[Ödəniş]]-Tablo7[[#This Row],[Endirim]]</f>
        <v>-2</v>
      </c>
      <c r="AQ195" s="183" t="str">
        <f t="shared" ref="AQ195:AQ258" si="77">HYPERLINK("https://web.whatsapp.com/send?phone="&amp;I195&amp;"&amp;text="&amp;AU195,"Mesaj")</f>
        <v>Mesaj</v>
      </c>
      <c r="AR195" s="183" t="str">
        <f t="shared" ref="AR195:AR258" si="78">HYPERLINK("https://web.whatsapp.com/send?phone="&amp;I195&amp;"&amp;text="&amp;AV195,"Mesaj")</f>
        <v>Mesaj</v>
      </c>
      <c r="AS195" s="184" t="str">
        <f>IF(ISNA(VLOOKUP(Tablo7[[#This Row],[Sifariş kodu]],'Kəsim ve təhvil'!$E$5:$E1193,1,0)),"Qəbul edilməyib","Qəbul edilib")</f>
        <v>Qəbul edilməyib</v>
      </c>
      <c r="AT195" s="185" t="str">
        <f>IF(ISNA(VLOOKUP(Tablo7[[#This Row],[Sifariş kodu]],'Kəsim ve təhvil'!$H$5:$H1193,1,0)),"Anbardadır","Təhvil verilib")</f>
        <v>Anbardadır</v>
      </c>
      <c r="AU195" s="186" t="str">
        <f>"Hörmətli *"&amp;Tablo7[[#This Row],[Müştəri]]&amp;"*  ,Sizin *"&amp;G195&amp;"* tarixli sifarişiniz qeydə alındı. Sifariş Məbləğı *"&amp;AM195&amp;" AZN* , Qalıq *"&amp;AP195&amp;" AZN* . Hörmətlə  *AlumPro*"</f>
        <v>Hörmətli *İbrahim Turk*  ,Sizin *07,12,2024* tarixli sifarişiniz qeydə alındı. Sifariş Məbləğı *138 AZN* , Qalıq *-2 AZN* . Hörmətlə  *AlumPro*</v>
      </c>
      <c r="AV195" s="187" t="str">
        <f>"Hörmətli *"&amp;Tablo7[[#This Row],[Müştəri]]&amp;"* , sizin *"&amp;G195&amp;"* tarixli  sifarişiniz hazırdır . Bizi seçdiyiniz üçün minnətdarıq. Hörmətlə  *AlumPro*."</f>
        <v>Hörmətli *İbrahim Turk* , sizin *07,12,2024* tarixli  sifarişiniz hazırdır . Bizi seçdiyiniz üçün minnətdarıq. Hörmətlə  *AlumPro*.</v>
      </c>
      <c r="AW195" s="188" t="str">
        <f t="shared" si="76"/>
        <v>İbrahim</v>
      </c>
      <c r="AX195" s="189" t="str">
        <f t="shared" ref="AX195:AX258" si="79">LEFT(H195,FIND("*",SUBSTITUTE(H195," ","*",1)))</f>
        <v xml:space="preserve">İbrahim </v>
      </c>
    </row>
    <row r="196" spans="4:50">
      <c r="D196" s="178">
        <v>135</v>
      </c>
      <c r="E196" s="179" t="s">
        <v>600</v>
      </c>
      <c r="F196" s="179" t="s">
        <v>339</v>
      </c>
      <c r="G196" s="212" t="s">
        <v>601</v>
      </c>
      <c r="H196" s="179" t="s">
        <v>602</v>
      </c>
      <c r="I196" s="179">
        <v>0</v>
      </c>
      <c r="J196" s="179"/>
      <c r="K196" s="179" t="s">
        <v>194</v>
      </c>
      <c r="L196" s="179"/>
      <c r="M196" s="179" t="str">
        <f>_xlfn.XLOOKUP(Tablo7[[#This Row],[Yan Profili]],Anbar!$J$3:$J$1000,Anbar!$H$3:$H$1000,"Tapilmadi")</f>
        <v>Tapilmadi</v>
      </c>
      <c r="N196" s="179">
        <v>1</v>
      </c>
      <c r="O196" s="179">
        <v>23</v>
      </c>
      <c r="P196" s="179" t="s">
        <v>184</v>
      </c>
      <c r="Q196" s="179" t="str">
        <f>_xlfn.XLOOKUP(Tablo7[[#This Row],[Qulp növü]],Anbar!$J$3:$J$1000,Anbar!$H$3:$H$1000,"Tapilmadi")</f>
        <v>Tapilmadi</v>
      </c>
      <c r="R196" s="179">
        <v>1</v>
      </c>
      <c r="S196" s="180">
        <v>26</v>
      </c>
      <c r="T196" s="181" t="s">
        <v>196</v>
      </c>
      <c r="U196" s="179" t="str">
        <f>_xlfn.XLOOKUP(Tablo7[[#This Row],[Petlə]],Anbar!$J$3:$J$1000,Anbar!$H$3:$H$1000,"Tapilmadi")</f>
        <v>Tapilmadi</v>
      </c>
      <c r="V196" s="181"/>
      <c r="W196" s="180">
        <v>6</v>
      </c>
      <c r="X196" s="269">
        <v>0</v>
      </c>
      <c r="Y196" s="179" t="s">
        <v>36</v>
      </c>
      <c r="Z196" s="182"/>
      <c r="AA196" s="180">
        <v>10</v>
      </c>
      <c r="AB196" s="180"/>
      <c r="AC196" s="179" t="str">
        <f>_xlfn.XLOOKUP(Tablo7[[#This Row],[Bağlantı]],Anbar!$J$3:$J$1000,Anbar!$H$3:$H$1000,"Tapilmadi")</f>
        <v>Tapilmadi</v>
      </c>
      <c r="AD196" s="179"/>
      <c r="AE196" s="180">
        <v>8</v>
      </c>
      <c r="AF196" s="180"/>
      <c r="AG196" s="179" t="str">
        <f>_xlfn.XLOOKUP(Tablo7[[#This Row],[Mexanizm]],Anbar!$J$3:$J$1000,Anbar!$H$3:$H$1000,"Tapilmadi")</f>
        <v>Tapilmadi</v>
      </c>
      <c r="AH196" s="179">
        <v>1</v>
      </c>
      <c r="AI196" s="180">
        <v>0</v>
      </c>
      <c r="AJ196" s="180">
        <v>6</v>
      </c>
      <c r="AK196" s="180">
        <v>10</v>
      </c>
      <c r="AL196" s="180">
        <v>0</v>
      </c>
      <c r="AM196" s="180">
        <v>89</v>
      </c>
      <c r="AN196" s="180"/>
      <c r="AO196" s="180">
        <v>90</v>
      </c>
      <c r="AP196" s="194">
        <f>Tablo7[[#This Row],[Ümumi məbləğ]]-Tablo7[[#This Row],[Ödəniş]]-Tablo7[[#This Row],[Endirim]]</f>
        <v>-1</v>
      </c>
      <c r="AQ196" s="183" t="str">
        <f t="shared" si="77"/>
        <v>Mesaj</v>
      </c>
      <c r="AR196" s="183" t="str">
        <f t="shared" si="78"/>
        <v>Mesaj</v>
      </c>
      <c r="AS196" s="184" t="str">
        <f>IF(ISNA(VLOOKUP(Tablo7[[#This Row],[Sifariş kodu]],'Kəsim ve təhvil'!$E$5:$E1194,1,0)),"Qəbul edilməyib","Qəbul edilib")</f>
        <v>Qəbul edilməyib</v>
      </c>
      <c r="AT196" s="185" t="str">
        <f>IF(ISNA(VLOOKUP(Tablo7[[#This Row],[Sifariş kodu]],'Kəsim ve təhvil'!$H$5:$H1194,1,0)),"Anbardadır","Təhvil verilib")</f>
        <v>Anbardadır</v>
      </c>
      <c r="AU196" s="186" t="str">
        <f>"Hörmətli *"&amp;Tablo7[[#This Row],[Müştəri]]&amp;"*  ,Sizin *"&amp;G196&amp;"* tarixli sifarişiniz qeydə alındı. Sifariş Məbləğı *"&amp;AM196&amp;" AZN* , Qalıq *"&amp;AP196&amp;" AZN* . Hörmətlə  *AlumPro*"</f>
        <v>Hörmətli *Camal Qəribov*  ,Sizin *05,12,2024* tarixli sifarişiniz qeydə alındı. Sifariş Məbləğı *89 AZN* , Qalıq *-1 AZN* . Hörmətlə  *AlumPro*</v>
      </c>
      <c r="AV196" s="187" t="str">
        <f>"Hörmətli *"&amp;Tablo7[[#This Row],[Müştəri]]&amp;"* , sizin *"&amp;G196&amp;"* tarixli  sifarişiniz hazırdır . Bizi seçdiyiniz üçün minnətdarıq. Hörmətlə  *AlumPro*."</f>
        <v>Hörmətli *Camal Qəribov* , sizin *05,12,2024* tarixli  sifarişiniz hazırdır . Bizi seçdiyiniz üçün minnətdarıq. Hörmətlə  *AlumPro*.</v>
      </c>
      <c r="AW196" s="188" t="str">
        <f t="shared" ref="AW196:AW259" si="80">SUBSTITUTE(AX196," ","")</f>
        <v>Camal</v>
      </c>
      <c r="AX196" s="189" t="str">
        <f t="shared" si="79"/>
        <v xml:space="preserve">Camal </v>
      </c>
    </row>
    <row r="197" spans="4:50">
      <c r="D197" s="178">
        <v>134</v>
      </c>
      <c r="E197" s="179" t="s">
        <v>603</v>
      </c>
      <c r="F197" s="179" t="s">
        <v>339</v>
      </c>
      <c r="G197" s="212" t="s">
        <v>601</v>
      </c>
      <c r="H197" s="179" t="s">
        <v>548</v>
      </c>
      <c r="I197" s="179" t="s">
        <v>549</v>
      </c>
      <c r="J197" s="179"/>
      <c r="K197" s="179" t="s">
        <v>183</v>
      </c>
      <c r="L197" s="179"/>
      <c r="M197" s="179" t="str">
        <f>_xlfn.XLOOKUP(Tablo7[[#This Row],[Yan Profili]],Anbar!$J$3:$J$1000,Anbar!$H$3:$H$1000,"Tapilmadi")</f>
        <v>Tapilmadi</v>
      </c>
      <c r="N197" s="179">
        <v>3</v>
      </c>
      <c r="O197" s="179">
        <v>69</v>
      </c>
      <c r="P197" s="179" t="s">
        <v>184</v>
      </c>
      <c r="Q197" s="179" t="str">
        <f>_xlfn.XLOOKUP(Tablo7[[#This Row],[Qulp növü]],Anbar!$J$3:$J$1000,Anbar!$H$3:$H$1000,"Tapilmadi")</f>
        <v>Tapilmadi</v>
      </c>
      <c r="R197" s="179">
        <v>2</v>
      </c>
      <c r="S197" s="180">
        <v>52</v>
      </c>
      <c r="T197" s="181"/>
      <c r="U197" s="179" t="str">
        <f>_xlfn.XLOOKUP(Tablo7[[#This Row],[Petlə]],Anbar!$J$3:$J$1000,Anbar!$H$3:$H$1000,"Tapilmadi")</f>
        <v>Tapilmadi</v>
      </c>
      <c r="V197" s="181">
        <v>0</v>
      </c>
      <c r="W197" s="180">
        <v>0</v>
      </c>
      <c r="X197" s="269">
        <v>15</v>
      </c>
      <c r="Y197" s="179" t="s">
        <v>276</v>
      </c>
      <c r="Z197" s="182"/>
      <c r="AA197" s="180">
        <v>76</v>
      </c>
      <c r="AB197" s="180"/>
      <c r="AC197" s="179" t="str">
        <f>_xlfn.XLOOKUP(Tablo7[[#This Row],[Bağlantı]],Anbar!$J$3:$J$1000,Anbar!$H$3:$H$1000,"Tapilmadi")</f>
        <v>Tapilmadi</v>
      </c>
      <c r="AD197" s="179"/>
      <c r="AE197" s="180">
        <v>8</v>
      </c>
      <c r="AF197" s="180"/>
      <c r="AG197" s="179" t="str">
        <f>_xlfn.XLOOKUP(Tablo7[[#This Row],[Mexanizm]],Anbar!$J$3:$J$1000,Anbar!$H$3:$H$1000,"Tapilmadi")</f>
        <v>Tapilmadi</v>
      </c>
      <c r="AH197" s="179">
        <v>1</v>
      </c>
      <c r="AI197" s="180">
        <v>0</v>
      </c>
      <c r="AJ197" s="180">
        <v>8</v>
      </c>
      <c r="AK197" s="180">
        <v>30</v>
      </c>
      <c r="AL197" s="180">
        <v>0</v>
      </c>
      <c r="AM197" s="180">
        <v>258</v>
      </c>
      <c r="AN197" s="180"/>
      <c r="AO197" s="180">
        <v>258</v>
      </c>
      <c r="AP197" s="194">
        <f>Tablo7[[#This Row],[Ümumi məbləğ]]-Tablo7[[#This Row],[Ödəniş]]-Tablo7[[#This Row],[Endirim]]</f>
        <v>0</v>
      </c>
      <c r="AQ197" s="183" t="str">
        <f t="shared" si="77"/>
        <v>Mesaj</v>
      </c>
      <c r="AR197" s="183" t="str">
        <f t="shared" si="78"/>
        <v>Mesaj</v>
      </c>
      <c r="AS197" s="184" t="str">
        <f>IF(ISNA(VLOOKUP(Tablo7[[#This Row],[Sifariş kodu]],'Kəsim ve təhvil'!$E$5:$E1195,1,0)),"Qəbul edilməyib","Qəbul edilib")</f>
        <v>Qəbul edilməyib</v>
      </c>
      <c r="AT197" s="185" t="str">
        <f>IF(ISNA(VLOOKUP(Tablo7[[#This Row],[Sifariş kodu]],'Kəsim ve təhvil'!$H$5:$H1195,1,0)),"Anbardadır","Təhvil verilib")</f>
        <v>Anbardadır</v>
      </c>
      <c r="AU197" s="186" t="str">
        <f>"Hörmətli *"&amp;Tablo7[[#This Row],[Müştəri]]&amp;"*  ,Sizin *"&amp;G197&amp;"* tarixli sifarişiniz qeydə alındı. Sifariş Məbləğı *"&amp;AM197&amp;" AZN* , Qalıq *"&amp;AP197&amp;" AZN* . Hörmətlə  *AlumPro*"</f>
        <v>Hörmətli *Faiq Enso*  ,Sizin *05,12,2024* tarixli sifarişiniz qeydə alındı. Sifariş Məbləğı *258 AZN* , Qalıq *0 AZN* . Hörmətlə  *AlumPro*</v>
      </c>
      <c r="AV197" s="187" t="str">
        <f>"Hörmətli *"&amp;Tablo7[[#This Row],[Müştəri]]&amp;"* , sizin *"&amp;G197&amp;"* tarixli  sifarişiniz hazırdır . Bizi seçdiyiniz üçün minnətdarıq. Hörmətlə  *AlumPro*."</f>
        <v>Hörmətli *Faiq Enso* , sizin *05,12,2024* tarixli  sifarişiniz hazırdır . Bizi seçdiyiniz üçün minnətdarıq. Hörmətlə  *AlumPro*.</v>
      </c>
      <c r="AW197" s="188" t="str">
        <f t="shared" si="80"/>
        <v>Faiq</v>
      </c>
      <c r="AX197" s="189" t="str">
        <f t="shared" si="79"/>
        <v xml:space="preserve">Faiq </v>
      </c>
    </row>
    <row r="198" spans="4:50">
      <c r="D198" s="178">
        <v>133</v>
      </c>
      <c r="E198" s="179" t="s">
        <v>604</v>
      </c>
      <c r="F198" s="179" t="s">
        <v>339</v>
      </c>
      <c r="G198" s="212" t="s">
        <v>601</v>
      </c>
      <c r="H198" s="179" t="s">
        <v>155</v>
      </c>
      <c r="I198" s="179">
        <v>0</v>
      </c>
      <c r="J198" s="179"/>
      <c r="K198" s="179" t="s">
        <v>194</v>
      </c>
      <c r="L198" s="179"/>
      <c r="M198" s="179" t="str">
        <f>_xlfn.XLOOKUP(Tablo7[[#This Row],[Yan Profili]],Anbar!$J$3:$J$1000,Anbar!$H$3:$H$1000,"Tapilmadi")</f>
        <v>Tapilmadi</v>
      </c>
      <c r="N198" s="179">
        <v>2</v>
      </c>
      <c r="O198" s="179">
        <v>46</v>
      </c>
      <c r="P198" s="179" t="s">
        <v>195</v>
      </c>
      <c r="Q198" s="179" t="str">
        <f>_xlfn.XLOOKUP(Tablo7[[#This Row],[Qulp növü]],Anbar!$J$3:$J$1000,Anbar!$H$3:$H$1000,"Tapilmadi")</f>
        <v>Tapilmadi</v>
      </c>
      <c r="R198" s="179">
        <v>0</v>
      </c>
      <c r="S198" s="180">
        <v>0</v>
      </c>
      <c r="T198" s="181" t="s">
        <v>196</v>
      </c>
      <c r="U198" s="179" t="str">
        <f>_xlfn.XLOOKUP(Tablo7[[#This Row],[Petlə]],Anbar!$J$3:$J$1000,Anbar!$H$3:$H$1000,"Tapilmadi")</f>
        <v>Tapilmadi</v>
      </c>
      <c r="V198" s="181">
        <v>4</v>
      </c>
      <c r="W198" s="180">
        <v>16</v>
      </c>
      <c r="X198" s="269">
        <v>0</v>
      </c>
      <c r="Y198" s="179" t="s">
        <v>36</v>
      </c>
      <c r="Z198" s="182"/>
      <c r="AA198" s="180">
        <v>14</v>
      </c>
      <c r="AB198" s="180"/>
      <c r="AC198" s="179" t="str">
        <f>_xlfn.XLOOKUP(Tablo7[[#This Row],[Bağlantı]],Anbar!$J$3:$J$1000,Anbar!$H$3:$H$1000,"Tapilmadi")</f>
        <v>Tapilmadi</v>
      </c>
      <c r="AD198" s="179"/>
      <c r="AE198" s="180">
        <v>16</v>
      </c>
      <c r="AF198" s="180"/>
      <c r="AG198" s="179" t="str">
        <f>_xlfn.XLOOKUP(Tablo7[[#This Row],[Mexanizm]],Anbar!$J$3:$J$1000,Anbar!$H$3:$H$1000,"Tapilmadi")</f>
        <v>Tapilmadi</v>
      </c>
      <c r="AH198" s="179">
        <v>1</v>
      </c>
      <c r="AI198" s="180">
        <v>0</v>
      </c>
      <c r="AJ198" s="180">
        <v>8</v>
      </c>
      <c r="AK198" s="180">
        <v>20</v>
      </c>
      <c r="AL198" s="180">
        <v>0</v>
      </c>
      <c r="AM198" s="180">
        <v>120</v>
      </c>
      <c r="AN198" s="180"/>
      <c r="AO198" s="180">
        <v>120</v>
      </c>
      <c r="AP198" s="194">
        <f>Tablo7[[#This Row],[Ümumi məbləğ]]-Tablo7[[#This Row],[Ödəniş]]-Tablo7[[#This Row],[Endirim]]</f>
        <v>0</v>
      </c>
      <c r="AQ198" s="183" t="str">
        <f t="shared" si="77"/>
        <v>Mesaj</v>
      </c>
      <c r="AR198" s="183" t="str">
        <f t="shared" si="78"/>
        <v>Mesaj</v>
      </c>
      <c r="AS198" s="184" t="str">
        <f>IF(ISNA(VLOOKUP(Tablo7[[#This Row],[Sifariş kodu]],'Kəsim ve təhvil'!$E$5:$E1196,1,0)),"Qəbul edilməyib","Qəbul edilib")</f>
        <v>Qəbul edilməyib</v>
      </c>
      <c r="AT198" s="185" t="str">
        <f>IF(ISNA(VLOOKUP(Tablo7[[#This Row],[Sifariş kodu]],'Kəsim ve təhvil'!$H$5:$H1196,1,0)),"Anbardadır","Təhvil verilib")</f>
        <v>Anbardadır</v>
      </c>
      <c r="AU198" s="186" t="str">
        <f>"Hörmətli *"&amp;Tablo7[[#This Row],[Müştəri]]&amp;"*  ,Sizin *"&amp;G198&amp;"* tarixli sifarişiniz qeydə alındı. Sifariş Məbləğı *"&amp;AM198&amp;" AZN* , Qalıq *"&amp;AP198&amp;" AZN* . Hörmətlə  *AlumPro*"</f>
        <v>Hörmətli *Celal Alumpro*  ,Sizin *05,12,2024* tarixli sifarişiniz qeydə alındı. Sifariş Məbləğı *120 AZN* , Qalıq *0 AZN* . Hörmətlə  *AlumPro*</v>
      </c>
      <c r="AV198" s="187" t="str">
        <f>"Hörmətli *"&amp;Tablo7[[#This Row],[Müştəri]]&amp;"* , sizin *"&amp;G198&amp;"* tarixli  sifarişiniz hazırdır . Bizi seçdiyiniz üçün minnətdarıq. Hörmətlə  *AlumPro*."</f>
        <v>Hörmətli *Celal Alumpro* , sizin *05,12,2024* tarixli  sifarişiniz hazırdır . Bizi seçdiyiniz üçün minnətdarıq. Hörmətlə  *AlumPro*.</v>
      </c>
      <c r="AW198" s="188" t="str">
        <f t="shared" si="80"/>
        <v>Celal</v>
      </c>
      <c r="AX198" s="189" t="str">
        <f t="shared" si="79"/>
        <v xml:space="preserve">Celal </v>
      </c>
    </row>
    <row r="199" spans="4:50">
      <c r="D199" s="178">
        <v>132</v>
      </c>
      <c r="E199" s="179" t="s">
        <v>605</v>
      </c>
      <c r="F199" s="179" t="s">
        <v>339</v>
      </c>
      <c r="G199" s="212" t="s">
        <v>601</v>
      </c>
      <c r="H199" s="179" t="s">
        <v>310</v>
      </c>
      <c r="I199" s="179" t="s">
        <v>311</v>
      </c>
      <c r="J199" s="179"/>
      <c r="K199" s="179" t="s">
        <v>189</v>
      </c>
      <c r="L199" s="179"/>
      <c r="M199" s="179" t="str">
        <f>_xlfn.XLOOKUP(Tablo7[[#This Row],[Yan Profili]],Anbar!$J$3:$J$1000,Anbar!$H$3:$H$1000,"Tapilmadi")</f>
        <v>Tapilmadi</v>
      </c>
      <c r="N199" s="179">
        <v>8</v>
      </c>
      <c r="O199" s="179">
        <v>184</v>
      </c>
      <c r="P199" s="179" t="s">
        <v>184</v>
      </c>
      <c r="Q199" s="179" t="str">
        <f>_xlfn.XLOOKUP(Tablo7[[#This Row],[Qulp növü]],Anbar!$J$3:$J$1000,Anbar!$H$3:$H$1000,"Tapilmadi")</f>
        <v>Tapilmadi</v>
      </c>
      <c r="R199" s="179">
        <v>2</v>
      </c>
      <c r="S199" s="180">
        <v>52</v>
      </c>
      <c r="T199" s="181"/>
      <c r="U199" s="179" t="str">
        <f>_xlfn.XLOOKUP(Tablo7[[#This Row],[Petlə]],Anbar!$J$3:$J$1000,Anbar!$H$3:$H$1000,"Tapilmadi")</f>
        <v>Tapilmadi</v>
      </c>
      <c r="V199" s="181">
        <v>0</v>
      </c>
      <c r="W199" s="180">
        <v>0</v>
      </c>
      <c r="X199" s="269">
        <v>0</v>
      </c>
      <c r="Y199" s="179" t="s">
        <v>199</v>
      </c>
      <c r="Z199" s="182"/>
      <c r="AA199" s="180">
        <v>112</v>
      </c>
      <c r="AB199" s="180"/>
      <c r="AC199" s="179" t="str">
        <f>_xlfn.XLOOKUP(Tablo7[[#This Row],[Bağlantı]],Anbar!$J$3:$J$1000,Anbar!$H$3:$H$1000,"Tapilmadi")</f>
        <v>Tapilmadi</v>
      </c>
      <c r="AD199" s="179"/>
      <c r="AE199" s="180">
        <v>16</v>
      </c>
      <c r="AF199" s="180"/>
      <c r="AG199" s="179" t="str">
        <f>_xlfn.XLOOKUP(Tablo7[[#This Row],[Mexanizm]],Anbar!$J$3:$J$1000,Anbar!$H$3:$H$1000,"Tapilmadi")</f>
        <v>Tapilmadi</v>
      </c>
      <c r="AH199" s="179">
        <v>1</v>
      </c>
      <c r="AI199" s="180">
        <v>0</v>
      </c>
      <c r="AJ199" s="180">
        <v>16</v>
      </c>
      <c r="AK199" s="180">
        <v>60</v>
      </c>
      <c r="AL199" s="180">
        <v>0</v>
      </c>
      <c r="AM199" s="180">
        <v>440</v>
      </c>
      <c r="AN199" s="180"/>
      <c r="AO199" s="180">
        <v>440</v>
      </c>
      <c r="AP199" s="194">
        <f>Tablo7[[#This Row],[Ümumi məbləğ]]-Tablo7[[#This Row],[Ödəniş]]-Tablo7[[#This Row],[Endirim]]</f>
        <v>0</v>
      </c>
      <c r="AQ199" s="183" t="str">
        <f t="shared" si="77"/>
        <v>Mesaj</v>
      </c>
      <c r="AR199" s="183" t="str">
        <f t="shared" si="78"/>
        <v>Mesaj</v>
      </c>
      <c r="AS199" s="184" t="str">
        <f>IF(ISNA(VLOOKUP(Tablo7[[#This Row],[Sifariş kodu]],'Kəsim ve təhvil'!$E$5:$E1197,1,0)),"Qəbul edilməyib","Qəbul edilib")</f>
        <v>Qəbul edilməyib</v>
      </c>
      <c r="AT199" s="185" t="str">
        <f>IF(ISNA(VLOOKUP(Tablo7[[#This Row],[Sifariş kodu]],'Kəsim ve təhvil'!$H$5:$H1197,1,0)),"Anbardadır","Təhvil verilib")</f>
        <v>Anbardadır</v>
      </c>
      <c r="AU199" s="186" t="str">
        <f>"Hörmətli *"&amp;Tablo7[[#This Row],[Müştəri]]&amp;"*  ,Sizin *"&amp;G199&amp;"* tarixli sifarişiniz qeydə alındı. Sifariş Məbləğı *"&amp;AM199&amp;" AZN* , Qalıq *"&amp;AP199&amp;" AZN* . Hörmətlə  *AlumPro*"</f>
        <v>Hörmətli *Mecnun Sahmurov*  ,Sizin *05,12,2024* tarixli sifarişiniz qeydə alındı. Sifariş Məbləğı *440 AZN* , Qalıq *0 AZN* . Hörmətlə  *AlumPro*</v>
      </c>
      <c r="AV199" s="187" t="str">
        <f>"Hörmətli *"&amp;Tablo7[[#This Row],[Müştəri]]&amp;"* , sizin *"&amp;G199&amp;"* tarixli  sifarişiniz hazırdır . Bizi seçdiyiniz üçün minnətdarıq. Hörmətlə  *AlumPro*."</f>
        <v>Hörmətli *Mecnun Sahmurov* , sizin *05,12,2024* tarixli  sifarişiniz hazırdır . Bizi seçdiyiniz üçün minnətdarıq. Hörmətlə  *AlumPro*.</v>
      </c>
      <c r="AW199" s="188" t="str">
        <f t="shared" si="80"/>
        <v>Mecnun</v>
      </c>
      <c r="AX199" s="189" t="str">
        <f t="shared" si="79"/>
        <v xml:space="preserve">Mecnun </v>
      </c>
    </row>
    <row r="200" spans="4:50">
      <c r="D200" s="178">
        <v>131</v>
      </c>
      <c r="E200" s="179" t="s">
        <v>606</v>
      </c>
      <c r="F200" s="179" t="s">
        <v>339</v>
      </c>
      <c r="G200" s="212" t="s">
        <v>601</v>
      </c>
      <c r="H200" s="179" t="s">
        <v>155</v>
      </c>
      <c r="I200" s="179">
        <v>0</v>
      </c>
      <c r="J200" s="179"/>
      <c r="K200" s="179" t="s">
        <v>189</v>
      </c>
      <c r="L200" s="179"/>
      <c r="M200" s="179" t="str">
        <f>_xlfn.XLOOKUP(Tablo7[[#This Row],[Yan Profili]],Anbar!$J$3:$J$1000,Anbar!$H$3:$H$1000,"Tapilmadi")</f>
        <v>Tapilmadi</v>
      </c>
      <c r="N200" s="179">
        <v>2</v>
      </c>
      <c r="O200" s="179">
        <v>46</v>
      </c>
      <c r="P200" s="179" t="s">
        <v>184</v>
      </c>
      <c r="Q200" s="179" t="str">
        <f>_xlfn.XLOOKUP(Tablo7[[#This Row],[Qulp növü]],Anbar!$J$3:$J$1000,Anbar!$H$3:$H$1000,"Tapilmadi")</f>
        <v>Tapilmadi</v>
      </c>
      <c r="R200" s="179">
        <v>1</v>
      </c>
      <c r="S200" s="180">
        <v>26</v>
      </c>
      <c r="T200" s="181"/>
      <c r="U200" s="179" t="str">
        <f>_xlfn.XLOOKUP(Tablo7[[#This Row],[Petlə]],Anbar!$J$3:$J$1000,Anbar!$H$3:$H$1000,"Tapilmadi")</f>
        <v>Tapilmadi</v>
      </c>
      <c r="V200" s="181">
        <v>0</v>
      </c>
      <c r="W200" s="180">
        <v>0</v>
      </c>
      <c r="X200" s="269">
        <v>0</v>
      </c>
      <c r="Y200" s="179" t="s">
        <v>406</v>
      </c>
      <c r="Z200" s="182"/>
      <c r="AA200" s="180">
        <v>0</v>
      </c>
      <c r="AB200" s="180"/>
      <c r="AC200" s="179" t="str">
        <f>_xlfn.XLOOKUP(Tablo7[[#This Row],[Bağlantı]],Anbar!$J$3:$J$1000,Anbar!$H$3:$H$1000,"Tapilmadi")</f>
        <v>Tapilmadi</v>
      </c>
      <c r="AD200" s="179"/>
      <c r="AE200" s="180">
        <v>4</v>
      </c>
      <c r="AF200" s="180"/>
      <c r="AG200" s="179" t="str">
        <f>_xlfn.XLOOKUP(Tablo7[[#This Row],[Mexanizm]],Anbar!$J$3:$J$1000,Anbar!$H$3:$H$1000,"Tapilmadi")</f>
        <v>Tapilmadi</v>
      </c>
      <c r="AH200" s="179">
        <v>1</v>
      </c>
      <c r="AI200" s="180">
        <v>0</v>
      </c>
      <c r="AJ200" s="180">
        <v>4</v>
      </c>
      <c r="AK200" s="180">
        <v>15</v>
      </c>
      <c r="AL200" s="180">
        <v>0</v>
      </c>
      <c r="AM200" s="180">
        <v>95</v>
      </c>
      <c r="AN200" s="180"/>
      <c r="AO200" s="180">
        <v>95</v>
      </c>
      <c r="AP200" s="194">
        <f>Tablo7[[#This Row],[Ümumi məbləğ]]-Tablo7[[#This Row],[Ödəniş]]-Tablo7[[#This Row],[Endirim]]</f>
        <v>0</v>
      </c>
      <c r="AQ200" s="183" t="str">
        <f t="shared" si="77"/>
        <v>Mesaj</v>
      </c>
      <c r="AR200" s="183" t="str">
        <f t="shared" si="78"/>
        <v>Mesaj</v>
      </c>
      <c r="AS200" s="184" t="str">
        <f>IF(ISNA(VLOOKUP(Tablo7[[#This Row],[Sifariş kodu]],'Kəsim ve təhvil'!$E$5:$E1198,1,0)),"Qəbul edilməyib","Qəbul edilib")</f>
        <v>Qəbul edilməyib</v>
      </c>
      <c r="AT200" s="185" t="str">
        <f>IF(ISNA(VLOOKUP(Tablo7[[#This Row],[Sifariş kodu]],'Kəsim ve təhvil'!$H$5:$H1198,1,0)),"Anbardadır","Təhvil verilib")</f>
        <v>Anbardadır</v>
      </c>
      <c r="AU200" s="186" t="str">
        <f>"Hörmətli *"&amp;Tablo7[[#This Row],[Müştəri]]&amp;"*  ,Sizin *"&amp;G200&amp;"* tarixli sifarişiniz qeydə alındı. Sifariş Məbləğı *"&amp;AM200&amp;" AZN* , Qalıq *"&amp;AP200&amp;" AZN* . Hörmətlə  *AlumPro*"</f>
        <v>Hörmətli *Celal Alumpro*  ,Sizin *05,12,2024* tarixli sifarişiniz qeydə alındı. Sifariş Məbləğı *95 AZN* , Qalıq *0 AZN* . Hörmətlə  *AlumPro*</v>
      </c>
      <c r="AV200" s="187" t="str">
        <f>"Hörmətli *"&amp;Tablo7[[#This Row],[Müştəri]]&amp;"* , sizin *"&amp;G200&amp;"* tarixli  sifarişiniz hazırdır . Bizi seçdiyiniz üçün minnətdarıq. Hörmətlə  *AlumPro*."</f>
        <v>Hörmətli *Celal Alumpro* , sizin *05,12,2024* tarixli  sifarişiniz hazırdır . Bizi seçdiyiniz üçün minnətdarıq. Hörmətlə  *AlumPro*.</v>
      </c>
      <c r="AW200" s="188" t="str">
        <f t="shared" si="80"/>
        <v>Celal</v>
      </c>
      <c r="AX200" s="189" t="str">
        <f t="shared" si="79"/>
        <v xml:space="preserve">Celal </v>
      </c>
    </row>
    <row r="201" spans="4:50">
      <c r="D201" s="178">
        <v>130</v>
      </c>
      <c r="E201" s="179" t="s">
        <v>607</v>
      </c>
      <c r="F201" s="179" t="s">
        <v>339</v>
      </c>
      <c r="G201" s="212" t="s">
        <v>601</v>
      </c>
      <c r="H201" s="179" t="s">
        <v>608</v>
      </c>
      <c r="I201" s="179" t="s">
        <v>609</v>
      </c>
      <c r="J201" s="179"/>
      <c r="K201" s="179" t="s">
        <v>183</v>
      </c>
      <c r="L201" s="179"/>
      <c r="M201" s="179" t="str">
        <f>_xlfn.XLOOKUP(Tablo7[[#This Row],[Yan Profili]],Anbar!$J$3:$J$1000,Anbar!$H$3:$H$1000,"Tapilmadi")</f>
        <v>Tapilmadi</v>
      </c>
      <c r="N201" s="179">
        <v>7</v>
      </c>
      <c r="O201" s="179">
        <v>161</v>
      </c>
      <c r="P201" s="179" t="s">
        <v>184</v>
      </c>
      <c r="Q201" s="179" t="str">
        <f>_xlfn.XLOOKUP(Tablo7[[#This Row],[Qulp növü]],Anbar!$J$3:$J$1000,Anbar!$H$3:$H$1000,"Tapilmadi")</f>
        <v>Tapilmadi</v>
      </c>
      <c r="R201" s="179">
        <v>2</v>
      </c>
      <c r="S201" s="180">
        <v>52</v>
      </c>
      <c r="T201" s="181"/>
      <c r="U201" s="179" t="str">
        <f>_xlfn.XLOOKUP(Tablo7[[#This Row],[Petlə]],Anbar!$J$3:$J$1000,Anbar!$H$3:$H$1000,"Tapilmadi")</f>
        <v>Tapilmadi</v>
      </c>
      <c r="V201" s="181">
        <v>0</v>
      </c>
      <c r="W201" s="180">
        <v>0</v>
      </c>
      <c r="X201" s="269">
        <v>27</v>
      </c>
      <c r="Y201" s="179" t="s">
        <v>406</v>
      </c>
      <c r="Z201" s="182"/>
      <c r="AA201" s="180">
        <v>141</v>
      </c>
      <c r="AB201" s="180"/>
      <c r="AC201" s="179" t="str">
        <f>_xlfn.XLOOKUP(Tablo7[[#This Row],[Bağlantı]],Anbar!$J$3:$J$1000,Anbar!$H$3:$H$1000,"Tapilmadi")</f>
        <v>Tapilmadi</v>
      </c>
      <c r="AD201" s="179"/>
      <c r="AE201" s="180">
        <v>20</v>
      </c>
      <c r="AF201" s="180"/>
      <c r="AG201" s="179" t="str">
        <f>_xlfn.XLOOKUP(Tablo7[[#This Row],[Mexanizm]],Anbar!$J$3:$J$1000,Anbar!$H$3:$H$1000,"Tapilmadi")</f>
        <v>Tapilmadi</v>
      </c>
      <c r="AH201" s="179">
        <v>1</v>
      </c>
      <c r="AI201" s="180">
        <v>0</v>
      </c>
      <c r="AJ201" s="180">
        <v>16</v>
      </c>
      <c r="AK201" s="180">
        <v>70</v>
      </c>
      <c r="AL201" s="180">
        <v>0</v>
      </c>
      <c r="AM201" s="180">
        <v>487</v>
      </c>
      <c r="AN201" s="180"/>
      <c r="AO201" s="180">
        <v>0</v>
      </c>
      <c r="AP201" s="194">
        <f>Tablo7[[#This Row],[Ümumi məbləğ]]-Tablo7[[#This Row],[Ödəniş]]-Tablo7[[#This Row],[Endirim]]</f>
        <v>487</v>
      </c>
      <c r="AQ201" s="183" t="str">
        <f t="shared" si="77"/>
        <v>Mesaj</v>
      </c>
      <c r="AR201" s="183" t="str">
        <f t="shared" si="78"/>
        <v>Mesaj</v>
      </c>
      <c r="AS201" s="184" t="str">
        <f>IF(ISNA(VLOOKUP(Tablo7[[#This Row],[Sifariş kodu]],'Kəsim ve təhvil'!$E$5:$E1199,1,0)),"Qəbul edilməyib","Qəbul edilib")</f>
        <v>Qəbul edilməyib</v>
      </c>
      <c r="AT201" s="185" t="str">
        <f>IF(ISNA(VLOOKUP(Tablo7[[#This Row],[Sifariş kodu]],'Kəsim ve təhvil'!$H$5:$H1199,1,0)),"Anbardadır","Təhvil verilib")</f>
        <v>Anbardadır</v>
      </c>
      <c r="AU201" s="186" t="str">
        <f>"Hörmətli *"&amp;Tablo7[[#This Row],[Müştəri]]&amp;"*  ,Sizin *"&amp;G201&amp;"* tarixli sifarişiniz qeydə alındı. Sifariş Məbləğı *"&amp;AM201&amp;" AZN* , Qalıq *"&amp;AP201&amp;" AZN* . Hörmətlə  *AlumPro*"</f>
        <v>Hörmətli *Resid Kaya Dizayn*  ,Sizin *05,12,2024* tarixli sifarişiniz qeydə alındı. Sifariş Məbləğı *487 AZN* , Qalıq *487 AZN* . Hörmətlə  *AlumPro*</v>
      </c>
      <c r="AV201" s="187" t="str">
        <f>"Hörmətli *"&amp;Tablo7[[#This Row],[Müştəri]]&amp;"* , sizin *"&amp;G201&amp;"* tarixli  sifarişiniz hazırdır . Bizi seçdiyiniz üçün minnətdarıq. Hörmətlə  *AlumPro*."</f>
        <v>Hörmətli *Resid Kaya Dizayn* , sizin *05,12,2024* tarixli  sifarişiniz hazırdır . Bizi seçdiyiniz üçün minnətdarıq. Hörmətlə  *AlumPro*.</v>
      </c>
      <c r="AW201" s="188" t="str">
        <f t="shared" si="80"/>
        <v>Resid</v>
      </c>
      <c r="AX201" s="189" t="str">
        <f t="shared" si="79"/>
        <v xml:space="preserve">Resid </v>
      </c>
    </row>
    <row r="202" spans="4:50">
      <c r="D202" s="178">
        <v>129</v>
      </c>
      <c r="E202" s="179" t="s">
        <v>610</v>
      </c>
      <c r="F202" s="179" t="s">
        <v>339</v>
      </c>
      <c r="G202" s="212" t="s">
        <v>601</v>
      </c>
      <c r="H202" s="179" t="s">
        <v>608</v>
      </c>
      <c r="I202" s="179" t="s">
        <v>609</v>
      </c>
      <c r="J202" s="179"/>
      <c r="K202" s="179" t="s">
        <v>189</v>
      </c>
      <c r="L202" s="179"/>
      <c r="M202" s="179">
        <f>_xlfn.XLOOKUP(Tablo7[[#This Row],[Yan Profili]],Anbar!$J$3:$J$1000,Anbar!$H$3:$H$1000,"Tapilmadi")</f>
        <v>0</v>
      </c>
      <c r="N202" s="179">
        <v>7</v>
      </c>
      <c r="O202" s="179">
        <v>161</v>
      </c>
      <c r="P202" s="179" t="s">
        <v>184</v>
      </c>
      <c r="Q202" s="179" t="str">
        <f>_xlfn.XLOOKUP(Tablo7[[#This Row],[Qulp növü]],Anbar!$J$3:$J$1000,Anbar!$H$3:$H$1000,"Tapilmadi")</f>
        <v>Tapilmadi</v>
      </c>
      <c r="R202" s="179">
        <v>5</v>
      </c>
      <c r="S202" s="180">
        <v>130</v>
      </c>
      <c r="T202" s="181"/>
      <c r="U202" s="179" t="str">
        <f>_xlfn.XLOOKUP(Tablo7[[#This Row],[Petlə]],Anbar!$J$3:$J$1000,Anbar!$H$3:$H$1000,"Tapilmadi")</f>
        <v>Tapilmadi</v>
      </c>
      <c r="V202" s="181">
        <v>0</v>
      </c>
      <c r="W202" s="180">
        <v>0</v>
      </c>
      <c r="X202" s="269">
        <v>0</v>
      </c>
      <c r="Y202" s="179" t="s">
        <v>505</v>
      </c>
      <c r="Z202" s="182"/>
      <c r="AA202" s="180">
        <v>221</v>
      </c>
      <c r="AB202" s="180"/>
      <c r="AC202" s="179" t="str">
        <f>_xlfn.XLOOKUP(Tablo7[[#This Row],[Bağlantı]],Anbar!$J$3:$J$1000,Anbar!$H$3:$H$1000,"Tapilmadi")</f>
        <v>Tapilmadi</v>
      </c>
      <c r="AD202" s="179"/>
      <c r="AE202" s="180">
        <v>20</v>
      </c>
      <c r="AF202" s="180"/>
      <c r="AG202" s="179" t="str">
        <f>_xlfn.XLOOKUP(Tablo7[[#This Row],[Mexanizm]],Anbar!$J$3:$J$1000,Anbar!$H$3:$H$1000,"Tapilmadi")</f>
        <v>Tapilmadi</v>
      </c>
      <c r="AH202" s="179">
        <v>1</v>
      </c>
      <c r="AI202" s="180">
        <v>0</v>
      </c>
      <c r="AJ202" s="180">
        <v>25</v>
      </c>
      <c r="AK202" s="180">
        <v>75</v>
      </c>
      <c r="AL202" s="180">
        <v>0</v>
      </c>
      <c r="AM202" s="180">
        <v>632</v>
      </c>
      <c r="AN202" s="180"/>
      <c r="AO202" s="180">
        <v>619</v>
      </c>
      <c r="AP202" s="194">
        <f>Tablo7[[#This Row],[Ümumi məbləğ]]-Tablo7[[#This Row],[Ödəniş]]-Tablo7[[#This Row],[Endirim]]</f>
        <v>13</v>
      </c>
      <c r="AQ202" s="183" t="str">
        <f t="shared" si="77"/>
        <v>Mesaj</v>
      </c>
      <c r="AR202" s="183" t="str">
        <f t="shared" si="78"/>
        <v>Mesaj</v>
      </c>
      <c r="AS202" s="184" t="str">
        <f>IF(ISNA(VLOOKUP(Tablo7[[#This Row],[Sifariş kodu]],'Kəsim ve təhvil'!$E$5:$E1200,1,0)),"Qəbul edilməyib","Qəbul edilib")</f>
        <v>Qəbul edilməyib</v>
      </c>
      <c r="AT202" s="185" t="str">
        <f>IF(ISNA(VLOOKUP(Tablo7[[#This Row],[Sifariş kodu]],'Kəsim ve təhvil'!$H$5:$H1200,1,0)),"Anbardadır","Təhvil verilib")</f>
        <v>Anbardadır</v>
      </c>
      <c r="AU202" s="186" t="str">
        <f>"Hörmətli *"&amp;Tablo7[[#This Row],[Müştəri]]&amp;"*  ,Sizin *"&amp;G202&amp;"* tarixli sifarişiniz qeydə alındı. Sifariş Məbləğı *"&amp;AM202&amp;" AZN* , Qalıq *"&amp;AP202&amp;" AZN* . Hörmətlə  *AlumPro*"</f>
        <v>Hörmətli *Resid Kaya Dizayn*  ,Sizin *05,12,2024* tarixli sifarişiniz qeydə alındı. Sifariş Məbləğı *632 AZN* , Qalıq *13 AZN* . Hörmətlə  *AlumPro*</v>
      </c>
      <c r="AV202" s="187" t="str">
        <f>"Hörmətli *"&amp;Tablo7[[#This Row],[Müştəri]]&amp;"* , sizin *"&amp;G202&amp;"* tarixli  sifarişiniz hazırdır . Bizi seçdiyiniz üçün minnətdarıq. Hörmətlə  *AlumPro*."</f>
        <v>Hörmətli *Resid Kaya Dizayn* , sizin *05,12,2024* tarixli  sifarişiniz hazırdır . Bizi seçdiyiniz üçün minnətdarıq. Hörmətlə  *AlumPro*.</v>
      </c>
      <c r="AW202" s="188" t="str">
        <f t="shared" si="80"/>
        <v>Resid</v>
      </c>
      <c r="AX202" s="189" t="str">
        <f t="shared" si="79"/>
        <v xml:space="preserve">Resid </v>
      </c>
    </row>
    <row r="203" spans="4:50">
      <c r="D203" s="178">
        <v>128</v>
      </c>
      <c r="E203" s="179" t="s">
        <v>611</v>
      </c>
      <c r="F203" s="179" t="s">
        <v>339</v>
      </c>
      <c r="G203" s="212" t="s">
        <v>601</v>
      </c>
      <c r="H203" s="179" t="s">
        <v>612</v>
      </c>
      <c r="I203" s="179" t="s">
        <v>613</v>
      </c>
      <c r="J203" s="179" t="s">
        <v>614</v>
      </c>
      <c r="K203" s="179" t="s">
        <v>581</v>
      </c>
      <c r="L203" s="179"/>
      <c r="M203" s="179" t="str">
        <f>_xlfn.XLOOKUP(Tablo7[[#This Row],[Yan Profili]],Anbar!$J$3:$J$1000,Anbar!$H$3:$H$1000,"Tapilmadi")</f>
        <v>Tapilmadi</v>
      </c>
      <c r="N203" s="179">
        <v>6</v>
      </c>
      <c r="O203" s="179">
        <v>180</v>
      </c>
      <c r="P203" s="179" t="s">
        <v>615</v>
      </c>
      <c r="Q203" s="179" t="str">
        <f>_xlfn.XLOOKUP(Tablo7[[#This Row],[Qulp növü]],Anbar!$J$3:$J$1000,Anbar!$H$3:$H$1000,"Tapilmadi")</f>
        <v>Tapilmadi</v>
      </c>
      <c r="R203" s="179">
        <v>4</v>
      </c>
      <c r="S203" s="180">
        <v>100</v>
      </c>
      <c r="T203" s="181"/>
      <c r="U203" s="179" t="str">
        <f>_xlfn.XLOOKUP(Tablo7[[#This Row],[Petlə]],Anbar!$J$3:$J$1000,Anbar!$H$3:$H$1000,"Tapilmadi")</f>
        <v>Tapilmadi</v>
      </c>
      <c r="V203" s="181">
        <v>0</v>
      </c>
      <c r="W203" s="180">
        <v>0</v>
      </c>
      <c r="X203" s="269">
        <v>0</v>
      </c>
      <c r="Y203" s="179" t="s">
        <v>232</v>
      </c>
      <c r="Z203" s="182"/>
      <c r="AA203" s="180">
        <v>970</v>
      </c>
      <c r="AB203" s="180"/>
      <c r="AC203" s="179" t="str">
        <f>_xlfn.XLOOKUP(Tablo7[[#This Row],[Bağlantı]],Anbar!$J$3:$J$1000,Anbar!$H$3:$H$1000,"Tapilmadi")</f>
        <v>Tapilmadi</v>
      </c>
      <c r="AD203" s="179"/>
      <c r="AE203" s="180">
        <v>16</v>
      </c>
      <c r="AF203" s="180"/>
      <c r="AG203" s="179" t="str">
        <f>_xlfn.XLOOKUP(Tablo7[[#This Row],[Mexanizm]],Anbar!$J$3:$J$1000,Anbar!$H$3:$H$1000,"Tapilmadi")</f>
        <v>Tapilmadi</v>
      </c>
      <c r="AH203" s="179">
        <v>1</v>
      </c>
      <c r="AI203" s="180">
        <v>0</v>
      </c>
      <c r="AJ203" s="180">
        <v>11</v>
      </c>
      <c r="AK203" s="180">
        <v>60</v>
      </c>
      <c r="AL203" s="180">
        <v>0</v>
      </c>
      <c r="AM203" s="180">
        <v>1337</v>
      </c>
      <c r="AN203" s="180"/>
      <c r="AO203" s="180">
        <v>1337</v>
      </c>
      <c r="AP203" s="194">
        <f>Tablo7[[#This Row],[Ümumi məbləğ]]-Tablo7[[#This Row],[Ödəniş]]-Tablo7[[#This Row],[Endirim]]</f>
        <v>0</v>
      </c>
      <c r="AQ203" s="183" t="str">
        <f t="shared" si="77"/>
        <v>Mesaj</v>
      </c>
      <c r="AR203" s="183" t="str">
        <f t="shared" si="78"/>
        <v>Mesaj</v>
      </c>
      <c r="AS203" s="184" t="str">
        <f>IF(ISNA(VLOOKUP(Tablo7[[#This Row],[Sifariş kodu]],'Kəsim ve təhvil'!$E$5:$E1201,1,0)),"Qəbul edilməyib","Qəbul edilib")</f>
        <v>Qəbul edilməyib</v>
      </c>
      <c r="AT203" s="185" t="str">
        <f>IF(ISNA(VLOOKUP(Tablo7[[#This Row],[Sifariş kodu]],'Kəsim ve təhvil'!$H$5:$H1201,1,0)),"Anbardadır","Təhvil verilib")</f>
        <v>Anbardadır</v>
      </c>
      <c r="AU203" s="186" t="str">
        <f>"Hörmətli *"&amp;Tablo7[[#This Row],[Müştəri]]&amp;"*  ,Sizin *"&amp;G203&amp;"* tarixli sifarişiniz qeydə alındı. Sifariş Məbləğı *"&amp;AM203&amp;" AZN* , Qalıq *"&amp;AP203&amp;" AZN* . Hörmətlə  *AlumPro*"</f>
        <v>Hörmətli *Heyder Tehmasib*  ,Sizin *05,12,2024* tarixli sifarişiniz qeydə alındı. Sifariş Məbləğı *1337 AZN* , Qalıq *0 AZN* . Hörmətlə  *AlumPro*</v>
      </c>
      <c r="AV203" s="187" t="str">
        <f>"Hörmətli *"&amp;Tablo7[[#This Row],[Müştəri]]&amp;"* , sizin *"&amp;G203&amp;"* tarixli  sifarişiniz hazırdır . Bizi seçdiyiniz üçün minnətdarıq. Hörmətlə  *AlumPro*."</f>
        <v>Hörmətli *Heyder Tehmasib* , sizin *05,12,2024* tarixli  sifarişiniz hazırdır . Bizi seçdiyiniz üçün minnətdarıq. Hörmətlə  *AlumPro*.</v>
      </c>
      <c r="AW203" s="188" t="str">
        <f t="shared" si="80"/>
        <v>Heyder</v>
      </c>
      <c r="AX203" s="189" t="str">
        <f t="shared" si="79"/>
        <v xml:space="preserve">Heyder </v>
      </c>
    </row>
    <row r="204" spans="4:50">
      <c r="D204" s="178">
        <v>127</v>
      </c>
      <c r="E204" s="179" t="s">
        <v>616</v>
      </c>
      <c r="F204" s="179" t="s">
        <v>339</v>
      </c>
      <c r="G204" s="212" t="s">
        <v>601</v>
      </c>
      <c r="H204" s="179" t="s">
        <v>617</v>
      </c>
      <c r="I204" s="179" t="s">
        <v>618</v>
      </c>
      <c r="J204" s="179"/>
      <c r="K204" s="179" t="s">
        <v>183</v>
      </c>
      <c r="L204" s="179"/>
      <c r="M204" s="179" t="str">
        <f>_xlfn.XLOOKUP(Tablo7[[#This Row],[Yan Profili]],Anbar!$J$3:$J$1000,Anbar!$H$3:$H$1000,"Tapilmadi")</f>
        <v>Tapilmadi</v>
      </c>
      <c r="N204" s="179">
        <v>2</v>
      </c>
      <c r="O204" s="179">
        <v>46</v>
      </c>
      <c r="P204" s="179" t="s">
        <v>619</v>
      </c>
      <c r="Q204" s="179" t="str">
        <f>_xlfn.XLOOKUP(Tablo7[[#This Row],[Qulp növü]],Anbar!$J$3:$J$1000,Anbar!$H$3:$H$1000,"Tapilmadi")</f>
        <v>Tapilmadi</v>
      </c>
      <c r="R204" s="179">
        <v>0</v>
      </c>
      <c r="S204" s="180">
        <v>0</v>
      </c>
      <c r="T204" s="181"/>
      <c r="U204" s="179" t="str">
        <f>_xlfn.XLOOKUP(Tablo7[[#This Row],[Petlə]],Anbar!$J$3:$J$1000,Anbar!$H$3:$H$1000,"Tapilmadi")</f>
        <v>Tapilmadi</v>
      </c>
      <c r="V204" s="181">
        <v>0</v>
      </c>
      <c r="W204" s="180">
        <v>0</v>
      </c>
      <c r="X204" s="269">
        <v>6</v>
      </c>
      <c r="Y204" s="179" t="s">
        <v>36</v>
      </c>
      <c r="Z204" s="182"/>
      <c r="AA204" s="180">
        <v>25</v>
      </c>
      <c r="AB204" s="180"/>
      <c r="AC204" s="179" t="str">
        <f>_xlfn.XLOOKUP(Tablo7[[#This Row],[Bağlantı]],Anbar!$J$3:$J$1000,Anbar!$H$3:$H$1000,"Tapilmadi")</f>
        <v>Tapilmadi</v>
      </c>
      <c r="AD204" s="179"/>
      <c r="AE204" s="180">
        <v>6</v>
      </c>
      <c r="AF204" s="180"/>
      <c r="AG204" s="179" t="str">
        <f>_xlfn.XLOOKUP(Tablo7[[#This Row],[Mexanizm]],Anbar!$J$3:$J$1000,Anbar!$H$3:$H$1000,"Tapilmadi")</f>
        <v>Tapilmadi</v>
      </c>
      <c r="AH204" s="179">
        <v>1</v>
      </c>
      <c r="AI204" s="180">
        <v>0</v>
      </c>
      <c r="AJ204" s="180">
        <v>8</v>
      </c>
      <c r="AK204" s="180">
        <v>40</v>
      </c>
      <c r="AL204" s="180">
        <v>0</v>
      </c>
      <c r="AM204" s="180">
        <v>131</v>
      </c>
      <c r="AN204" s="180"/>
      <c r="AO204" s="180">
        <v>131</v>
      </c>
      <c r="AP204" s="194">
        <f>Tablo7[[#This Row],[Ümumi məbləğ]]-Tablo7[[#This Row],[Ödəniş]]-Tablo7[[#This Row],[Endirim]]</f>
        <v>0</v>
      </c>
      <c r="AQ204" s="183" t="str">
        <f t="shared" si="77"/>
        <v>Mesaj</v>
      </c>
      <c r="AR204" s="183" t="str">
        <f t="shared" si="78"/>
        <v>Mesaj</v>
      </c>
      <c r="AS204" s="184" t="str">
        <f>IF(ISNA(VLOOKUP(Tablo7[[#This Row],[Sifariş kodu]],'Kəsim ve təhvil'!$E$5:$E1202,1,0)),"Qəbul edilməyib","Qəbul edilib")</f>
        <v>Qəbul edilməyib</v>
      </c>
      <c r="AT204" s="185" t="str">
        <f>IF(ISNA(VLOOKUP(Tablo7[[#This Row],[Sifariş kodu]],'Kəsim ve təhvil'!$H$5:$H1202,1,0)),"Anbardadır","Təhvil verilib")</f>
        <v>Anbardadır</v>
      </c>
      <c r="AU204" s="186" t="str">
        <f>"Hörmətli *"&amp;Tablo7[[#This Row],[Müştəri]]&amp;"*  ,Sizin *"&amp;G204&amp;"* tarixli sifarişiniz qeydə alındı. Sifariş Məbləğı *"&amp;AM204&amp;" AZN* , Qalıq *"&amp;AP204&amp;" AZN* . Hörmətlə  *AlumPro*"</f>
        <v>Hörmətli *Abbas Cermet*  ,Sizin *05,12,2024* tarixli sifarişiniz qeydə alındı. Sifariş Məbləğı *131 AZN* , Qalıq *0 AZN* . Hörmətlə  *AlumPro*</v>
      </c>
      <c r="AV204" s="187" t="str">
        <f>"Hörmətli *"&amp;Tablo7[[#This Row],[Müştəri]]&amp;"* , sizin *"&amp;G204&amp;"* tarixli  sifarişiniz hazırdır . Bizi seçdiyiniz üçün minnətdarıq. Hörmətlə  *AlumPro*."</f>
        <v>Hörmətli *Abbas Cermet* , sizin *05,12,2024* tarixli  sifarişiniz hazırdır . Bizi seçdiyiniz üçün minnətdarıq. Hörmətlə  *AlumPro*.</v>
      </c>
      <c r="AW204" s="188" t="str">
        <f t="shared" si="80"/>
        <v>Abbas</v>
      </c>
      <c r="AX204" s="189" t="str">
        <f t="shared" si="79"/>
        <v xml:space="preserve">Abbas </v>
      </c>
    </row>
    <row r="205" spans="4:50">
      <c r="D205" s="178">
        <v>126</v>
      </c>
      <c r="E205" s="179" t="s">
        <v>620</v>
      </c>
      <c r="F205" s="179" t="s">
        <v>339</v>
      </c>
      <c r="G205" s="212" t="s">
        <v>601</v>
      </c>
      <c r="H205" s="179" t="s">
        <v>336</v>
      </c>
      <c r="I205" s="179" t="s">
        <v>337</v>
      </c>
      <c r="J205" s="179"/>
      <c r="K205" s="179" t="s">
        <v>183</v>
      </c>
      <c r="L205" s="179"/>
      <c r="M205" s="179" t="str">
        <f>_xlfn.XLOOKUP(Tablo7[[#This Row],[Yan Profili]],Anbar!$J$3:$J$1000,Anbar!$H$3:$H$1000,"Tapilmadi")</f>
        <v>Tapilmadi</v>
      </c>
      <c r="N205" s="179">
        <v>1</v>
      </c>
      <c r="O205" s="179">
        <v>23</v>
      </c>
      <c r="P205" s="179" t="s">
        <v>184</v>
      </c>
      <c r="Q205" s="179" t="str">
        <f>_xlfn.XLOOKUP(Tablo7[[#This Row],[Qulp növü]],Anbar!$J$3:$J$1000,Anbar!$H$3:$H$1000,"Tapilmadi")</f>
        <v>Tapilmadi</v>
      </c>
      <c r="R205" s="179">
        <v>1</v>
      </c>
      <c r="S205" s="180">
        <v>26</v>
      </c>
      <c r="T205" s="181"/>
      <c r="U205" s="179" t="str">
        <f>_xlfn.XLOOKUP(Tablo7[[#This Row],[Petlə]],Anbar!$J$3:$J$1000,Anbar!$H$3:$H$1000,"Tapilmadi")</f>
        <v>Tapilmadi</v>
      </c>
      <c r="V205" s="181">
        <v>0</v>
      </c>
      <c r="W205" s="180">
        <v>0</v>
      </c>
      <c r="X205" s="269">
        <v>6</v>
      </c>
      <c r="Y205" s="179" t="s">
        <v>36</v>
      </c>
      <c r="Z205" s="182"/>
      <c r="AA205" s="180">
        <v>13</v>
      </c>
      <c r="AB205" s="180"/>
      <c r="AC205" s="179" t="str">
        <f>_xlfn.XLOOKUP(Tablo7[[#This Row],[Bağlantı]],Anbar!$J$3:$J$1000,Anbar!$H$3:$H$1000,"Tapilmadi")</f>
        <v>Tapilmadi</v>
      </c>
      <c r="AD205" s="179"/>
      <c r="AE205" s="180">
        <v>8</v>
      </c>
      <c r="AF205" s="180"/>
      <c r="AG205" s="179" t="str">
        <f>_xlfn.XLOOKUP(Tablo7[[#This Row],[Mexanizm]],Anbar!$J$3:$J$1000,Anbar!$H$3:$H$1000,"Tapilmadi")</f>
        <v>Tapilmadi</v>
      </c>
      <c r="AH205" s="179">
        <v>1</v>
      </c>
      <c r="AI205" s="180">
        <v>0</v>
      </c>
      <c r="AJ205" s="180">
        <v>4</v>
      </c>
      <c r="AK205" s="180">
        <v>20</v>
      </c>
      <c r="AL205" s="180">
        <v>0</v>
      </c>
      <c r="AM205" s="180">
        <v>100</v>
      </c>
      <c r="AN205" s="180"/>
      <c r="AO205" s="180">
        <v>100</v>
      </c>
      <c r="AP205" s="194">
        <f>Tablo7[[#This Row],[Ümumi məbləğ]]-Tablo7[[#This Row],[Ödəniş]]-Tablo7[[#This Row],[Endirim]]</f>
        <v>0</v>
      </c>
      <c r="AQ205" s="183" t="str">
        <f t="shared" si="77"/>
        <v>Mesaj</v>
      </c>
      <c r="AR205" s="183" t="str">
        <f t="shared" si="78"/>
        <v>Mesaj</v>
      </c>
      <c r="AS205" s="184" t="str">
        <f>IF(ISNA(VLOOKUP(Tablo7[[#This Row],[Sifariş kodu]],'Kəsim ve təhvil'!$E$5:$E1203,1,0)),"Qəbul edilməyib","Qəbul edilib")</f>
        <v>Qəbul edilməyib</v>
      </c>
      <c r="AT205" s="185" t="str">
        <f>IF(ISNA(VLOOKUP(Tablo7[[#This Row],[Sifariş kodu]],'Kəsim ve təhvil'!$H$5:$H1203,1,0)),"Anbardadır","Təhvil verilib")</f>
        <v>Anbardadır</v>
      </c>
      <c r="AU205" s="186" t="str">
        <f>"Hörmətli *"&amp;Tablo7[[#This Row],[Müştəri]]&amp;"*  ,Sizin *"&amp;G205&amp;"* tarixli sifarişiniz qeydə alındı. Sifariş Məbləğı *"&amp;AM205&amp;" AZN* , Qalıq *"&amp;AP205&amp;" AZN* . Hörmətlə  *AlumPro*"</f>
        <v>Hörmətli *Eshqin Lastella*  ,Sizin *05,12,2024* tarixli sifarişiniz qeydə alındı. Sifariş Məbləğı *100 AZN* , Qalıq *0 AZN* . Hörmətlə  *AlumPro*</v>
      </c>
      <c r="AV205" s="187" t="str">
        <f>"Hörmətli *"&amp;Tablo7[[#This Row],[Müştəri]]&amp;"* , sizin *"&amp;G205&amp;"* tarixli  sifarişiniz hazırdır . Bizi seçdiyiniz üçün minnətdarıq. Hörmətlə  *AlumPro*."</f>
        <v>Hörmətli *Eshqin Lastella* , sizin *05,12,2024* tarixli  sifarişiniz hazırdır . Bizi seçdiyiniz üçün minnətdarıq. Hörmətlə  *AlumPro*.</v>
      </c>
      <c r="AW205" s="188" t="str">
        <f t="shared" si="80"/>
        <v>Eshqin</v>
      </c>
      <c r="AX205" s="189" t="str">
        <f t="shared" si="79"/>
        <v xml:space="preserve">Eshqin </v>
      </c>
    </row>
    <row r="206" spans="4:50">
      <c r="D206" s="178">
        <v>125</v>
      </c>
      <c r="E206" s="179" t="s">
        <v>621</v>
      </c>
      <c r="F206" s="179" t="s">
        <v>339</v>
      </c>
      <c r="G206" s="212" t="s">
        <v>601</v>
      </c>
      <c r="H206" s="179" t="s">
        <v>268</v>
      </c>
      <c r="I206" s="179" t="s">
        <v>269</v>
      </c>
      <c r="J206" s="179"/>
      <c r="K206" s="179" t="s">
        <v>194</v>
      </c>
      <c r="L206" s="179"/>
      <c r="M206" s="179" t="str">
        <f>_xlfn.XLOOKUP(Tablo7[[#This Row],[Yan Profili]],Anbar!$J$3:$J$1000,Anbar!$H$3:$H$1000,"Tapilmadi")</f>
        <v>Tapilmadi</v>
      </c>
      <c r="N206" s="179">
        <v>3</v>
      </c>
      <c r="O206" s="179">
        <v>69</v>
      </c>
      <c r="P206" s="179" t="s">
        <v>184</v>
      </c>
      <c r="Q206" s="179" t="str">
        <f>_xlfn.XLOOKUP(Tablo7[[#This Row],[Qulp növü]],Anbar!$J$3:$J$1000,Anbar!$H$3:$H$1000,"Tapilmadi")</f>
        <v>Tapilmadi</v>
      </c>
      <c r="R206" s="179">
        <v>3</v>
      </c>
      <c r="S206" s="180">
        <v>78</v>
      </c>
      <c r="T206" s="181" t="s">
        <v>196</v>
      </c>
      <c r="U206" s="179" t="str">
        <f>_xlfn.XLOOKUP(Tablo7[[#This Row],[Petlə]],Anbar!$J$3:$J$1000,Anbar!$H$3:$H$1000,"Tapilmadi")</f>
        <v>Tapilmadi</v>
      </c>
      <c r="V206" s="181">
        <v>8</v>
      </c>
      <c r="W206" s="180">
        <v>32</v>
      </c>
      <c r="X206" s="269">
        <v>0</v>
      </c>
      <c r="Y206" s="179" t="s">
        <v>387</v>
      </c>
      <c r="Z206" s="182"/>
      <c r="AA206" s="180">
        <v>45</v>
      </c>
      <c r="AB206" s="180"/>
      <c r="AC206" s="179" t="str">
        <f>_xlfn.XLOOKUP(Tablo7[[#This Row],[Bağlantı]],Anbar!$J$3:$J$1000,Anbar!$H$3:$H$1000,"Tapilmadi")</f>
        <v>Tapilmadi</v>
      </c>
      <c r="AD206" s="179"/>
      <c r="AE206" s="180">
        <v>24</v>
      </c>
      <c r="AF206" s="180"/>
      <c r="AG206" s="179" t="str">
        <f>_xlfn.XLOOKUP(Tablo7[[#This Row],[Mexanizm]],Anbar!$J$3:$J$1000,Anbar!$H$3:$H$1000,"Tapilmadi")</f>
        <v>Tapilmadi</v>
      </c>
      <c r="AH206" s="179">
        <v>1</v>
      </c>
      <c r="AI206" s="180">
        <v>0</v>
      </c>
      <c r="AJ206" s="180">
        <v>16</v>
      </c>
      <c r="AK206" s="180">
        <v>45</v>
      </c>
      <c r="AL206" s="180">
        <v>0</v>
      </c>
      <c r="AM206" s="180">
        <v>309</v>
      </c>
      <c r="AN206" s="180"/>
      <c r="AO206" s="180">
        <v>309</v>
      </c>
      <c r="AP206" s="194">
        <f>Tablo7[[#This Row],[Ümumi məbləğ]]-Tablo7[[#This Row],[Ödəniş]]-Tablo7[[#This Row],[Endirim]]</f>
        <v>0</v>
      </c>
      <c r="AQ206" s="183" t="str">
        <f t="shared" si="77"/>
        <v>Mesaj</v>
      </c>
      <c r="AR206" s="183" t="str">
        <f t="shared" si="78"/>
        <v>Mesaj</v>
      </c>
      <c r="AS206" s="184" t="str">
        <f>IF(ISNA(VLOOKUP(Tablo7[[#This Row],[Sifariş kodu]],'Kəsim ve təhvil'!$E$5:$E1204,1,0)),"Qəbul edilməyib","Qəbul edilib")</f>
        <v>Qəbul edilməyib</v>
      </c>
      <c r="AT206" s="185" t="str">
        <f>IF(ISNA(VLOOKUP(Tablo7[[#This Row],[Sifariş kodu]],'Kəsim ve təhvil'!$H$5:$H1204,1,0)),"Anbardadır","Təhvil verilib")</f>
        <v>Anbardadır</v>
      </c>
      <c r="AU206" s="186" t="str">
        <f>"Hörmətli *"&amp;Tablo7[[#This Row],[Müştəri]]&amp;"*  ,Sizin *"&amp;G206&amp;"* tarixli sifarişiniz qeydə alındı. Sifariş Məbləğı *"&amp;AM206&amp;" AZN* , Qalıq *"&amp;AP206&amp;" AZN* . Hörmətlə  *AlumPro*"</f>
        <v>Hörmətli *Elsever Vusal Gedebey*  ,Sizin *05,12,2024* tarixli sifarişiniz qeydə alındı. Sifariş Məbləğı *309 AZN* , Qalıq *0 AZN* . Hörmətlə  *AlumPro*</v>
      </c>
      <c r="AV206" s="187" t="str">
        <f>"Hörmətli *"&amp;Tablo7[[#This Row],[Müştəri]]&amp;"* , sizin *"&amp;G206&amp;"* tarixli  sifarişiniz hazırdır . Bizi seçdiyiniz üçün minnətdarıq. Hörmətlə  *AlumPro*."</f>
        <v>Hörmətli *Elsever Vusal Gedebey* , sizin *05,12,2024* tarixli  sifarişiniz hazırdır . Bizi seçdiyiniz üçün minnətdarıq. Hörmətlə  *AlumPro*.</v>
      </c>
      <c r="AW206" s="188" t="str">
        <f t="shared" si="80"/>
        <v>Elsever</v>
      </c>
      <c r="AX206" s="189" t="str">
        <f t="shared" si="79"/>
        <v xml:space="preserve">Elsever </v>
      </c>
    </row>
    <row r="207" spans="4:50">
      <c r="D207" s="178">
        <v>124</v>
      </c>
      <c r="E207" s="179" t="s">
        <v>622</v>
      </c>
      <c r="F207" s="179" t="s">
        <v>339</v>
      </c>
      <c r="G207" s="212" t="s">
        <v>601</v>
      </c>
      <c r="H207" s="179" t="s">
        <v>268</v>
      </c>
      <c r="I207" s="179" t="s">
        <v>269</v>
      </c>
      <c r="J207" s="179"/>
      <c r="K207" s="179" t="s">
        <v>189</v>
      </c>
      <c r="L207" s="179"/>
      <c r="M207" s="179" t="str">
        <f>_xlfn.XLOOKUP(Tablo7[[#This Row],[Yan Profili]],Anbar!$J$3:$J$1000,Anbar!$H$3:$H$1000,"Tapilmadi")</f>
        <v>Tapilmadi</v>
      </c>
      <c r="N207" s="179">
        <v>4</v>
      </c>
      <c r="O207" s="179">
        <v>92</v>
      </c>
      <c r="P207" s="179" t="s">
        <v>184</v>
      </c>
      <c r="Q207" s="179" t="str">
        <f>_xlfn.XLOOKUP(Tablo7[[#This Row],[Qulp növü]],Anbar!$J$3:$J$1000,Anbar!$H$3:$H$1000,"Tapilmadi")</f>
        <v>Tapilmadi</v>
      </c>
      <c r="R207" s="179">
        <v>3</v>
      </c>
      <c r="S207" s="180">
        <v>78</v>
      </c>
      <c r="T207" s="181"/>
      <c r="U207" s="179" t="str">
        <f>_xlfn.XLOOKUP(Tablo7[[#This Row],[Petlə]],Anbar!$J$3:$J$1000,Anbar!$H$3:$H$1000,"Tapilmadi")</f>
        <v>Tapilmadi</v>
      </c>
      <c r="V207" s="181">
        <v>0</v>
      </c>
      <c r="W207" s="180">
        <v>0</v>
      </c>
      <c r="X207" s="269">
        <v>0</v>
      </c>
      <c r="Y207" s="179" t="s">
        <v>505</v>
      </c>
      <c r="Z207" s="182"/>
      <c r="AA207" s="180">
        <v>106</v>
      </c>
      <c r="AB207" s="180"/>
      <c r="AC207" s="179" t="str">
        <f>_xlfn.XLOOKUP(Tablo7[[#This Row],[Bağlantı]],Anbar!$J$3:$J$1000,Anbar!$H$3:$H$1000,"Tapilmadi")</f>
        <v>Tapilmadi</v>
      </c>
      <c r="AD207" s="179"/>
      <c r="AE207" s="180">
        <v>12</v>
      </c>
      <c r="AF207" s="180"/>
      <c r="AG207" s="179" t="str">
        <f>_xlfn.XLOOKUP(Tablo7[[#This Row],[Mexanizm]],Anbar!$J$3:$J$1000,Anbar!$H$3:$H$1000,"Tapilmadi")</f>
        <v>Tapilmadi</v>
      </c>
      <c r="AH207" s="179">
        <v>1</v>
      </c>
      <c r="AI207" s="180">
        <v>0</v>
      </c>
      <c r="AJ207" s="180">
        <v>15</v>
      </c>
      <c r="AK207" s="180">
        <v>45</v>
      </c>
      <c r="AL207" s="180">
        <v>2</v>
      </c>
      <c r="AM207" s="180">
        <v>350</v>
      </c>
      <c r="AN207" s="180"/>
      <c r="AO207" s="180">
        <v>350</v>
      </c>
      <c r="AP207" s="194">
        <f>Tablo7[[#This Row],[Ümumi məbləğ]]-Tablo7[[#This Row],[Ödəniş]]-Tablo7[[#This Row],[Endirim]]</f>
        <v>0</v>
      </c>
      <c r="AQ207" s="183" t="str">
        <f t="shared" si="77"/>
        <v>Mesaj</v>
      </c>
      <c r="AR207" s="183" t="str">
        <f t="shared" si="78"/>
        <v>Mesaj</v>
      </c>
      <c r="AS207" s="184" t="str">
        <f>IF(ISNA(VLOOKUP(Tablo7[[#This Row],[Sifariş kodu]],'Kəsim ve təhvil'!$E$5:$E1205,1,0)),"Qəbul edilməyib","Qəbul edilib")</f>
        <v>Qəbul edilməyib</v>
      </c>
      <c r="AT207" s="185" t="str">
        <f>IF(ISNA(VLOOKUP(Tablo7[[#This Row],[Sifariş kodu]],'Kəsim ve təhvil'!$H$5:$H1205,1,0)),"Anbardadır","Təhvil verilib")</f>
        <v>Anbardadır</v>
      </c>
      <c r="AU207" s="186" t="str">
        <f>"Hörmətli *"&amp;Tablo7[[#This Row],[Müştəri]]&amp;"*  ,Sizin *"&amp;G207&amp;"* tarixli sifarişiniz qeydə alındı. Sifariş Məbləğı *"&amp;AM207&amp;" AZN* , Qalıq *"&amp;AP207&amp;" AZN* . Hörmətlə  *AlumPro*"</f>
        <v>Hörmətli *Elsever Vusal Gedebey*  ,Sizin *05,12,2024* tarixli sifarişiniz qeydə alındı. Sifariş Məbləğı *350 AZN* , Qalıq *0 AZN* . Hörmətlə  *AlumPro*</v>
      </c>
      <c r="AV207" s="187" t="str">
        <f>"Hörmətli *"&amp;Tablo7[[#This Row],[Müştəri]]&amp;"* , sizin *"&amp;G207&amp;"* tarixli  sifarişiniz hazırdır . Bizi seçdiyiniz üçün minnətdarıq. Hörmətlə  *AlumPro*."</f>
        <v>Hörmətli *Elsever Vusal Gedebey* , sizin *05,12,2024* tarixli  sifarişiniz hazırdır . Bizi seçdiyiniz üçün minnətdarıq. Hörmətlə  *AlumPro*.</v>
      </c>
      <c r="AW207" s="188" t="str">
        <f t="shared" si="80"/>
        <v>Elsever</v>
      </c>
      <c r="AX207" s="189" t="str">
        <f t="shared" si="79"/>
        <v xml:space="preserve">Elsever </v>
      </c>
    </row>
    <row r="208" spans="4:50">
      <c r="D208" s="178">
        <v>123</v>
      </c>
      <c r="E208" s="179" t="s">
        <v>623</v>
      </c>
      <c r="F208" s="179" t="s">
        <v>339</v>
      </c>
      <c r="G208" s="212" t="s">
        <v>601</v>
      </c>
      <c r="H208" s="179" t="s">
        <v>514</v>
      </c>
      <c r="I208" s="179">
        <v>0</v>
      </c>
      <c r="J208" s="179"/>
      <c r="K208" s="179" t="s">
        <v>189</v>
      </c>
      <c r="L208" s="179"/>
      <c r="M208" s="179" t="str">
        <f>_xlfn.XLOOKUP(Tablo7[[#This Row],[Yan Profili]],Anbar!$J$3:$J$1000,Anbar!$H$3:$H$1000,"Tapilmadi")</f>
        <v>Tapilmadi</v>
      </c>
      <c r="N208" s="179">
        <v>2</v>
      </c>
      <c r="O208" s="179">
        <v>46</v>
      </c>
      <c r="P208" s="179" t="s">
        <v>184</v>
      </c>
      <c r="Q208" s="179" t="str">
        <f>_xlfn.XLOOKUP(Tablo7[[#This Row],[Qulp növü]],Anbar!$J$3:$J$1000,Anbar!$H$3:$H$1000,"Tapilmadi")</f>
        <v>Tapilmadi</v>
      </c>
      <c r="R208" s="179">
        <v>2</v>
      </c>
      <c r="S208" s="180">
        <v>52</v>
      </c>
      <c r="T208" s="181"/>
      <c r="U208" s="179" t="str">
        <f>_xlfn.XLOOKUP(Tablo7[[#This Row],[Petlə]],Anbar!$J$3:$J$1000,Anbar!$H$3:$H$1000,"Tapilmadi")</f>
        <v>Tapilmadi</v>
      </c>
      <c r="V208" s="181">
        <v>0</v>
      </c>
      <c r="W208" s="180">
        <v>0</v>
      </c>
      <c r="X208" s="269">
        <v>0</v>
      </c>
      <c r="Y208" s="179" t="s">
        <v>36</v>
      </c>
      <c r="Z208" s="182"/>
      <c r="AA208" s="180">
        <v>35</v>
      </c>
      <c r="AB208" s="180"/>
      <c r="AC208" s="179" t="str">
        <f>_xlfn.XLOOKUP(Tablo7[[#This Row],[Bağlantı]],Anbar!$J$3:$J$1000,Anbar!$H$3:$H$1000,"Tapilmadi")</f>
        <v>Tapilmadi</v>
      </c>
      <c r="AD208" s="179"/>
      <c r="AE208" s="180">
        <v>8</v>
      </c>
      <c r="AF208" s="180"/>
      <c r="AG208" s="179" t="str">
        <f>_xlfn.XLOOKUP(Tablo7[[#This Row],[Mexanizm]],Anbar!$J$3:$J$1000,Anbar!$H$3:$H$1000,"Tapilmadi")</f>
        <v>Tapilmadi</v>
      </c>
      <c r="AH208" s="179">
        <v>1</v>
      </c>
      <c r="AI208" s="180">
        <v>0</v>
      </c>
      <c r="AJ208" s="180">
        <v>8</v>
      </c>
      <c r="AK208" s="180">
        <v>30</v>
      </c>
      <c r="AL208" s="180">
        <v>51</v>
      </c>
      <c r="AM208" s="180">
        <v>230</v>
      </c>
      <c r="AN208" s="180"/>
      <c r="AO208" s="180">
        <v>230</v>
      </c>
      <c r="AP208" s="194">
        <f>Tablo7[[#This Row],[Ümumi məbləğ]]-Tablo7[[#This Row],[Ödəniş]]-Tablo7[[#This Row],[Endirim]]</f>
        <v>0</v>
      </c>
      <c r="AQ208" s="183" t="str">
        <f t="shared" si="77"/>
        <v>Mesaj</v>
      </c>
      <c r="AR208" s="183" t="str">
        <f t="shared" si="78"/>
        <v>Mesaj</v>
      </c>
      <c r="AS208" s="184" t="str">
        <f>IF(ISNA(VLOOKUP(Tablo7[[#This Row],[Sifariş kodu]],'Kəsim ve təhvil'!$E$5:$E1206,1,0)),"Qəbul edilməyib","Qəbul edilib")</f>
        <v>Qəbul edilməyib</v>
      </c>
      <c r="AT208" s="185" t="str">
        <f>IF(ISNA(VLOOKUP(Tablo7[[#This Row],[Sifariş kodu]],'Kəsim ve təhvil'!$H$5:$H1206,1,0)),"Anbardadır","Təhvil verilib")</f>
        <v>Anbardadır</v>
      </c>
      <c r="AU208" s="186" t="str">
        <f>"Hörmətli *"&amp;Tablo7[[#This Row],[Müştəri]]&amp;"*  ,Sizin *"&amp;G208&amp;"* tarixli sifarişiniz qeydə alındı. Sifariş Məbləğı *"&amp;AM208&amp;" AZN* , Qalıq *"&amp;AP208&amp;" AZN* . Hörmətlə  *AlumPro*"</f>
        <v>Hörmətli *Ceyhun Kaktus*  ,Sizin *05,12,2024* tarixli sifarişiniz qeydə alındı. Sifariş Məbləğı *230 AZN* , Qalıq *0 AZN* . Hörmətlə  *AlumPro*</v>
      </c>
      <c r="AV208" s="187" t="str">
        <f>"Hörmətli *"&amp;Tablo7[[#This Row],[Müştəri]]&amp;"* , sizin *"&amp;G208&amp;"* tarixli  sifarişiniz hazırdır . Bizi seçdiyiniz üçün minnətdarıq. Hörmətlə  *AlumPro*."</f>
        <v>Hörmətli *Ceyhun Kaktus* , sizin *05,12,2024* tarixli  sifarişiniz hazırdır . Bizi seçdiyiniz üçün minnətdarıq. Hörmətlə  *AlumPro*.</v>
      </c>
      <c r="AW208" s="188" t="str">
        <f t="shared" si="80"/>
        <v>Ceyhun</v>
      </c>
      <c r="AX208" s="189" t="str">
        <f t="shared" si="79"/>
        <v xml:space="preserve">Ceyhun </v>
      </c>
    </row>
    <row r="209" spans="4:50">
      <c r="D209" s="178">
        <v>122</v>
      </c>
      <c r="E209" s="179" t="s">
        <v>624</v>
      </c>
      <c r="F209" s="179" t="s">
        <v>339</v>
      </c>
      <c r="G209" s="212" t="s">
        <v>601</v>
      </c>
      <c r="H209" s="179" t="s">
        <v>336</v>
      </c>
      <c r="I209" s="179" t="s">
        <v>337</v>
      </c>
      <c r="J209" s="179"/>
      <c r="K209" s="179" t="s">
        <v>183</v>
      </c>
      <c r="L209" s="179"/>
      <c r="M209" s="179" t="str">
        <f>_xlfn.XLOOKUP(Tablo7[[#This Row],[Yan Profili]],Anbar!$J$3:$J$1000,Anbar!$H$3:$H$1000,"Tapilmadi")</f>
        <v>Tapilmadi</v>
      </c>
      <c r="N209" s="179">
        <v>10</v>
      </c>
      <c r="O209" s="179">
        <v>230</v>
      </c>
      <c r="P209" s="179" t="s">
        <v>184</v>
      </c>
      <c r="Q209" s="179" t="str">
        <f>_xlfn.XLOOKUP(Tablo7[[#This Row],[Qulp növü]],Anbar!$J$3:$J$1000,Anbar!$H$3:$H$1000,"Tapilmadi")</f>
        <v>Tapilmadi</v>
      </c>
      <c r="R209" s="179">
        <v>8</v>
      </c>
      <c r="S209" s="180">
        <v>208</v>
      </c>
      <c r="T209" s="181"/>
      <c r="U209" s="179" t="str">
        <f>_xlfn.XLOOKUP(Tablo7[[#This Row],[Petlə]],Anbar!$J$3:$J$1000,Anbar!$H$3:$H$1000,"Tapilmadi")</f>
        <v>Tapilmadi</v>
      </c>
      <c r="V209" s="181">
        <v>0</v>
      </c>
      <c r="W209" s="180">
        <v>0</v>
      </c>
      <c r="X209" s="269">
        <v>54</v>
      </c>
      <c r="Y209" s="179" t="s">
        <v>36</v>
      </c>
      <c r="Z209" s="182"/>
      <c r="AA209" s="180">
        <v>238</v>
      </c>
      <c r="AB209" s="180"/>
      <c r="AC209" s="179" t="str">
        <f>_xlfn.XLOOKUP(Tablo7[[#This Row],[Bağlantı]],Anbar!$J$3:$J$1000,Anbar!$H$3:$H$1000,"Tapilmadi")</f>
        <v>Tapilmadi</v>
      </c>
      <c r="AD209" s="179"/>
      <c r="AE209" s="180">
        <v>32</v>
      </c>
      <c r="AF209" s="180"/>
      <c r="AG209" s="179" t="str">
        <f>_xlfn.XLOOKUP(Tablo7[[#This Row],[Mexanizm]],Anbar!$J$3:$J$1000,Anbar!$H$3:$H$1000,"Tapilmadi")</f>
        <v>Tapilmadi</v>
      </c>
      <c r="AH209" s="179">
        <v>1</v>
      </c>
      <c r="AI209" s="180">
        <v>0</v>
      </c>
      <c r="AJ209" s="180">
        <v>32</v>
      </c>
      <c r="AK209" s="180">
        <v>120</v>
      </c>
      <c r="AL209" s="180">
        <v>0</v>
      </c>
      <c r="AM209" s="180">
        <v>914</v>
      </c>
      <c r="AN209" s="180"/>
      <c r="AO209" s="180">
        <v>914</v>
      </c>
      <c r="AP209" s="194">
        <f>Tablo7[[#This Row],[Ümumi məbləğ]]-Tablo7[[#This Row],[Ödəniş]]-Tablo7[[#This Row],[Endirim]]</f>
        <v>0</v>
      </c>
      <c r="AQ209" s="183" t="str">
        <f t="shared" si="77"/>
        <v>Mesaj</v>
      </c>
      <c r="AR209" s="183" t="str">
        <f t="shared" si="78"/>
        <v>Mesaj</v>
      </c>
      <c r="AS209" s="184" t="str">
        <f>IF(ISNA(VLOOKUP(Tablo7[[#This Row],[Sifariş kodu]],'Kəsim ve təhvil'!$E$5:$E1207,1,0)),"Qəbul edilməyib","Qəbul edilib")</f>
        <v>Qəbul edilməyib</v>
      </c>
      <c r="AT209" s="185" t="str">
        <f>IF(ISNA(VLOOKUP(Tablo7[[#This Row],[Sifariş kodu]],'Kəsim ve təhvil'!$H$5:$H1207,1,0)),"Anbardadır","Təhvil verilib")</f>
        <v>Anbardadır</v>
      </c>
      <c r="AU209" s="186" t="str">
        <f>"Hörmətli *"&amp;Tablo7[[#This Row],[Müştəri]]&amp;"*  ,Sizin *"&amp;G209&amp;"* tarixli sifarişiniz qeydə alındı. Sifariş Məbləğı *"&amp;AM209&amp;" AZN* , Qalıq *"&amp;AP209&amp;" AZN* . Hörmətlə  *AlumPro*"</f>
        <v>Hörmətli *Eshqin Lastella*  ,Sizin *05,12,2024* tarixli sifarişiniz qeydə alındı. Sifariş Məbləğı *914 AZN* , Qalıq *0 AZN* . Hörmətlə  *AlumPro*</v>
      </c>
      <c r="AV209" s="187" t="str">
        <f>"Hörmətli *"&amp;Tablo7[[#This Row],[Müştəri]]&amp;"* , sizin *"&amp;G209&amp;"* tarixli  sifarişiniz hazırdır . Bizi seçdiyiniz üçün minnətdarıq. Hörmətlə  *AlumPro*."</f>
        <v>Hörmətli *Eshqin Lastella* , sizin *05,12,2024* tarixli  sifarişiniz hazırdır . Bizi seçdiyiniz üçün minnətdarıq. Hörmətlə  *AlumPro*.</v>
      </c>
      <c r="AW209" s="188" t="str">
        <f t="shared" si="80"/>
        <v>Eshqin</v>
      </c>
      <c r="AX209" s="189" t="str">
        <f t="shared" si="79"/>
        <v xml:space="preserve">Eshqin </v>
      </c>
    </row>
    <row r="210" spans="4:50">
      <c r="D210" s="178">
        <v>121</v>
      </c>
      <c r="E210" s="179" t="s">
        <v>625</v>
      </c>
      <c r="F210" s="179" t="s">
        <v>339</v>
      </c>
      <c r="G210" s="212" t="s">
        <v>626</v>
      </c>
      <c r="H210" s="179" t="s">
        <v>627</v>
      </c>
      <c r="I210" s="179" t="s">
        <v>628</v>
      </c>
      <c r="J210" s="179" t="s">
        <v>629</v>
      </c>
      <c r="K210" s="179" t="s">
        <v>429</v>
      </c>
      <c r="L210" s="179"/>
      <c r="M210" s="179">
        <f>_xlfn.XLOOKUP(Tablo7[[#This Row],[Yan Profili]],Anbar!$J$3:$J$1000,Anbar!$H$3:$H$1000,"Tapilmadi")</f>
        <v>0</v>
      </c>
      <c r="N210" s="179">
        <v>6</v>
      </c>
      <c r="O210" s="179">
        <v>180</v>
      </c>
      <c r="P210" s="179">
        <v>0</v>
      </c>
      <c r="Q210" s="179" t="str">
        <f>_xlfn.XLOOKUP(Tablo7[[#This Row],[Qulp növü]],Anbar!$J$3:$J$1000,Anbar!$H$3:$H$1000,"Tapilmadi")</f>
        <v>Tapilmadi</v>
      </c>
      <c r="R210" s="179">
        <v>0</v>
      </c>
      <c r="S210" s="180">
        <v>0</v>
      </c>
      <c r="T210" s="181"/>
      <c r="U210" s="179" t="str">
        <f>_xlfn.XLOOKUP(Tablo7[[#This Row],[Petlə]],Anbar!$J$3:$J$1000,Anbar!$H$3:$H$1000,"Tapilmadi")</f>
        <v>Tapilmadi</v>
      </c>
      <c r="V210" s="181">
        <v>0</v>
      </c>
      <c r="W210" s="180">
        <v>0</v>
      </c>
      <c r="X210" s="269">
        <v>0</v>
      </c>
      <c r="Y210" s="179" t="s">
        <v>276</v>
      </c>
      <c r="Z210" s="182"/>
      <c r="AA210" s="180">
        <v>103</v>
      </c>
      <c r="AB210" s="180"/>
      <c r="AC210" s="179" t="str">
        <f>_xlfn.XLOOKUP(Tablo7[[#This Row],[Bağlantı]],Anbar!$J$3:$J$1000,Anbar!$H$3:$H$1000,"Tapilmadi")</f>
        <v>Tapilmadi</v>
      </c>
      <c r="AD210" s="179"/>
      <c r="AE210" s="180">
        <v>16</v>
      </c>
      <c r="AF210" s="180"/>
      <c r="AG210" s="179" t="str">
        <f>_xlfn.XLOOKUP(Tablo7[[#This Row],[Mexanizm]],Anbar!$J$3:$J$1000,Anbar!$H$3:$H$1000,"Tapilmadi")</f>
        <v>Tapilmadi</v>
      </c>
      <c r="AH210" s="179">
        <v>1</v>
      </c>
      <c r="AI210" s="180">
        <v>0</v>
      </c>
      <c r="AJ210" s="180">
        <v>8</v>
      </c>
      <c r="AK210" s="180">
        <v>60</v>
      </c>
      <c r="AL210" s="180">
        <v>0</v>
      </c>
      <c r="AM210" s="180">
        <v>367</v>
      </c>
      <c r="AN210" s="180"/>
      <c r="AO210" s="180">
        <v>370</v>
      </c>
      <c r="AP210" s="194">
        <f>Tablo7[[#This Row],[Ümumi məbləğ]]-Tablo7[[#This Row],[Ödəniş]]-Tablo7[[#This Row],[Endirim]]</f>
        <v>-3</v>
      </c>
      <c r="AQ210" s="183" t="str">
        <f t="shared" si="77"/>
        <v>Mesaj</v>
      </c>
      <c r="AR210" s="183" t="str">
        <f t="shared" si="78"/>
        <v>Mesaj</v>
      </c>
      <c r="AS210" s="184" t="str">
        <f>IF(ISNA(VLOOKUP(Tablo7[[#This Row],[Sifariş kodu]],'Kəsim ve təhvil'!$E$5:$E1208,1,0)),"Qəbul edilməyib","Qəbul edilib")</f>
        <v>Qəbul edilməyib</v>
      </c>
      <c r="AT210" s="185" t="str">
        <f>IF(ISNA(VLOOKUP(Tablo7[[#This Row],[Sifariş kodu]],'Kəsim ve təhvil'!$H$5:$H1208,1,0)),"Anbardadır","Təhvil verilib")</f>
        <v>Anbardadır</v>
      </c>
      <c r="AU210" s="186" t="str">
        <f>"Hörmətli *"&amp;Tablo7[[#This Row],[Müştəri]]&amp;"*  ,Sizin *"&amp;G210&amp;"* tarixli sifarişiniz qeydə alındı. Sifariş Məbləğı *"&amp;AM210&amp;" AZN* , Qalıq *"&amp;AP210&amp;" AZN* . Hörmətlə  *AlumPro*"</f>
        <v>Hörmətli *Hakim Klyent*  ,Sizin *04,12,2024* tarixli sifarişiniz qeydə alındı. Sifariş Məbləğı *367 AZN* , Qalıq *-3 AZN* . Hörmətlə  *AlumPro*</v>
      </c>
      <c r="AV210" s="187" t="str">
        <f>"Hörmətli *"&amp;Tablo7[[#This Row],[Müştəri]]&amp;"* , sizin *"&amp;G210&amp;"* tarixli  sifarişiniz hazırdır . Bizi seçdiyiniz üçün minnətdarıq. Hörmətlə  *AlumPro*."</f>
        <v>Hörmətli *Hakim Klyent* , sizin *04,12,2024* tarixli  sifarişiniz hazırdır . Bizi seçdiyiniz üçün minnətdarıq. Hörmətlə  *AlumPro*.</v>
      </c>
      <c r="AW210" s="188" t="str">
        <f t="shared" si="80"/>
        <v>Hakim</v>
      </c>
      <c r="AX210" s="189" t="str">
        <f t="shared" si="79"/>
        <v xml:space="preserve">Hakim </v>
      </c>
    </row>
    <row r="211" spans="4:50">
      <c r="D211" s="178">
        <v>120</v>
      </c>
      <c r="E211" s="179" t="s">
        <v>630</v>
      </c>
      <c r="F211" s="179" t="s">
        <v>339</v>
      </c>
      <c r="G211" s="212" t="s">
        <v>626</v>
      </c>
      <c r="H211" s="179" t="s">
        <v>548</v>
      </c>
      <c r="I211" s="179" t="s">
        <v>549</v>
      </c>
      <c r="J211" s="179"/>
      <c r="K211" s="179" t="s">
        <v>194</v>
      </c>
      <c r="L211" s="179"/>
      <c r="M211" s="179" t="str">
        <f>_xlfn.XLOOKUP(Tablo7[[#This Row],[Yan Profili]],Anbar!$J$3:$J$1000,Anbar!$H$3:$H$1000,"Tapilmadi")</f>
        <v>Tapilmadi</v>
      </c>
      <c r="N211" s="179">
        <v>8</v>
      </c>
      <c r="O211" s="179">
        <v>184</v>
      </c>
      <c r="P211" s="179" t="s">
        <v>184</v>
      </c>
      <c r="Q211" s="179" t="str">
        <f>_xlfn.XLOOKUP(Tablo7[[#This Row],[Qulp növü]],Anbar!$J$3:$J$1000,Anbar!$H$3:$H$1000,"Tapilmadi")</f>
        <v>Tapilmadi</v>
      </c>
      <c r="R211" s="179">
        <v>4</v>
      </c>
      <c r="S211" s="180">
        <v>104</v>
      </c>
      <c r="T211" s="181" t="s">
        <v>196</v>
      </c>
      <c r="U211" s="179" t="str">
        <f>_xlfn.XLOOKUP(Tablo7[[#This Row],[Petlə]],Anbar!$J$3:$J$1000,Anbar!$H$3:$H$1000,"Tapilmadi")</f>
        <v>Tapilmadi</v>
      </c>
      <c r="V211" s="181">
        <v>24</v>
      </c>
      <c r="W211" s="180">
        <v>96</v>
      </c>
      <c r="X211" s="269">
        <v>0</v>
      </c>
      <c r="Y211" s="179" t="s">
        <v>199</v>
      </c>
      <c r="Z211" s="182"/>
      <c r="AA211" s="180">
        <v>176</v>
      </c>
      <c r="AB211" s="180"/>
      <c r="AC211" s="179" t="str">
        <f>_xlfn.XLOOKUP(Tablo7[[#This Row],[Bağlantı]],Anbar!$J$3:$J$1000,Anbar!$H$3:$H$1000,"Tapilmadi")</f>
        <v>Tapilmadi</v>
      </c>
      <c r="AD211" s="179"/>
      <c r="AE211" s="180">
        <v>72</v>
      </c>
      <c r="AF211" s="180"/>
      <c r="AG211" s="179" t="str">
        <f>_xlfn.XLOOKUP(Tablo7[[#This Row],[Mexanizm]],Anbar!$J$3:$J$1000,Anbar!$H$3:$H$1000,"Tapilmadi")</f>
        <v>Tapilmadi</v>
      </c>
      <c r="AH211" s="179">
        <v>1</v>
      </c>
      <c r="AI211" s="180">
        <v>0</v>
      </c>
      <c r="AJ211" s="180">
        <v>48</v>
      </c>
      <c r="AK211" s="180">
        <v>105</v>
      </c>
      <c r="AL211" s="180">
        <v>65</v>
      </c>
      <c r="AM211" s="180">
        <v>850</v>
      </c>
      <c r="AN211" s="180"/>
      <c r="AO211" s="180">
        <v>850</v>
      </c>
      <c r="AP211" s="194">
        <f>Tablo7[[#This Row],[Ümumi məbləğ]]-Tablo7[[#This Row],[Ödəniş]]-Tablo7[[#This Row],[Endirim]]</f>
        <v>0</v>
      </c>
      <c r="AQ211" s="183" t="str">
        <f t="shared" si="77"/>
        <v>Mesaj</v>
      </c>
      <c r="AR211" s="183" t="str">
        <f t="shared" si="78"/>
        <v>Mesaj</v>
      </c>
      <c r="AS211" s="184" t="str">
        <f>IF(ISNA(VLOOKUP(Tablo7[[#This Row],[Sifariş kodu]],'Kəsim ve təhvil'!$E$5:$E1209,1,0)),"Qəbul edilməyib","Qəbul edilib")</f>
        <v>Qəbul edilməyib</v>
      </c>
      <c r="AT211" s="185" t="str">
        <f>IF(ISNA(VLOOKUP(Tablo7[[#This Row],[Sifariş kodu]],'Kəsim ve təhvil'!$H$5:$H1209,1,0)),"Anbardadır","Təhvil verilib")</f>
        <v>Anbardadır</v>
      </c>
      <c r="AU211" s="186" t="str">
        <f>"Hörmətli *"&amp;Tablo7[[#This Row],[Müştəri]]&amp;"*  ,Sizin *"&amp;G211&amp;"* tarixli sifarişiniz qeydə alındı. Sifariş Məbləğı *"&amp;AM211&amp;" AZN* , Qalıq *"&amp;AP211&amp;" AZN* . Hörmətlə  *AlumPro*"</f>
        <v>Hörmətli *Faiq Enso*  ,Sizin *04,12,2024* tarixli sifarişiniz qeydə alındı. Sifariş Məbləğı *850 AZN* , Qalıq *0 AZN* . Hörmətlə  *AlumPro*</v>
      </c>
      <c r="AV211" s="187" t="str">
        <f>"Hörmətli *"&amp;Tablo7[[#This Row],[Müştəri]]&amp;"* , sizin *"&amp;G211&amp;"* tarixli  sifarişiniz hazırdır . Bizi seçdiyiniz üçün minnətdarıq. Hörmətlə  *AlumPro*."</f>
        <v>Hörmətli *Faiq Enso* , sizin *04,12,2024* tarixli  sifarişiniz hazırdır . Bizi seçdiyiniz üçün minnətdarıq. Hörmətlə  *AlumPro*.</v>
      </c>
      <c r="AW211" s="188" t="str">
        <f t="shared" si="80"/>
        <v>Faiq</v>
      </c>
      <c r="AX211" s="189" t="str">
        <f t="shared" si="79"/>
        <v xml:space="preserve">Faiq </v>
      </c>
    </row>
    <row r="212" spans="4:50">
      <c r="D212" s="178">
        <v>119</v>
      </c>
      <c r="E212" s="179" t="s">
        <v>631</v>
      </c>
      <c r="F212" s="179" t="s">
        <v>339</v>
      </c>
      <c r="G212" s="212" t="s">
        <v>626</v>
      </c>
      <c r="H212" s="179" t="s">
        <v>345</v>
      </c>
      <c r="I212" s="179" t="s">
        <v>346</v>
      </c>
      <c r="J212" s="179"/>
      <c r="K212" s="179" t="s">
        <v>194</v>
      </c>
      <c r="L212" s="179"/>
      <c r="M212" s="179" t="str">
        <f>_xlfn.XLOOKUP(Tablo7[[#This Row],[Yan Profili]],Anbar!$J$3:$J$1000,Anbar!$H$3:$H$1000,"Tapilmadi")</f>
        <v>Tapilmadi</v>
      </c>
      <c r="N212" s="179">
        <v>3</v>
      </c>
      <c r="O212" s="179">
        <v>69</v>
      </c>
      <c r="P212" s="179" t="s">
        <v>184</v>
      </c>
      <c r="Q212" s="179" t="str">
        <f>_xlfn.XLOOKUP(Tablo7[[#This Row],[Qulp növü]],Anbar!$J$3:$J$1000,Anbar!$H$3:$H$1000,"Tapilmadi")</f>
        <v>Tapilmadi</v>
      </c>
      <c r="R212" s="179">
        <v>2</v>
      </c>
      <c r="S212" s="180">
        <v>52</v>
      </c>
      <c r="T212" s="181" t="s">
        <v>196</v>
      </c>
      <c r="U212" s="179" t="str">
        <f>_xlfn.XLOOKUP(Tablo7[[#This Row],[Petlə]],Anbar!$J$3:$J$1000,Anbar!$H$3:$H$1000,"Tapilmadi")</f>
        <v>Tapilmadi</v>
      </c>
      <c r="V212" s="181">
        <v>10</v>
      </c>
      <c r="W212" s="180">
        <v>40</v>
      </c>
      <c r="X212" s="269">
        <v>0</v>
      </c>
      <c r="Y212" s="179" t="s">
        <v>276</v>
      </c>
      <c r="Z212" s="182"/>
      <c r="AA212" s="180">
        <v>110</v>
      </c>
      <c r="AB212" s="180"/>
      <c r="AC212" s="179" t="str">
        <f>_xlfn.XLOOKUP(Tablo7[[#This Row],[Bağlantı]],Anbar!$J$3:$J$1000,Anbar!$H$3:$H$1000,"Tapilmadi")</f>
        <v>Tapilmadi</v>
      </c>
      <c r="AD212" s="179"/>
      <c r="AE212" s="180">
        <v>16</v>
      </c>
      <c r="AF212" s="180"/>
      <c r="AG212" s="179" t="str">
        <f>_xlfn.XLOOKUP(Tablo7[[#This Row],[Mexanizm]],Anbar!$J$3:$J$1000,Anbar!$H$3:$H$1000,"Tapilmadi")</f>
        <v>Tapilmadi</v>
      </c>
      <c r="AH212" s="179">
        <v>1</v>
      </c>
      <c r="AI212" s="180">
        <v>0</v>
      </c>
      <c r="AJ212" s="180">
        <v>20</v>
      </c>
      <c r="AK212" s="180">
        <v>30</v>
      </c>
      <c r="AL212" s="180">
        <v>0</v>
      </c>
      <c r="AM212" s="180">
        <v>337</v>
      </c>
      <c r="AN212" s="180"/>
      <c r="AO212" s="180">
        <v>337</v>
      </c>
      <c r="AP212" s="194">
        <f>Tablo7[[#This Row],[Ümumi məbləğ]]-Tablo7[[#This Row],[Ödəniş]]-Tablo7[[#This Row],[Endirim]]</f>
        <v>0</v>
      </c>
      <c r="AQ212" s="183" t="str">
        <f t="shared" si="77"/>
        <v>Mesaj</v>
      </c>
      <c r="AR212" s="183" t="str">
        <f t="shared" si="78"/>
        <v>Mesaj</v>
      </c>
      <c r="AS212" s="184" t="str">
        <f>IF(ISNA(VLOOKUP(Tablo7[[#This Row],[Sifariş kodu]],'Kəsim ve təhvil'!$E$5:$E1210,1,0)),"Qəbul edilməyib","Qəbul edilib")</f>
        <v>Qəbul edilməyib</v>
      </c>
      <c r="AT212" s="185" t="str">
        <f>IF(ISNA(VLOOKUP(Tablo7[[#This Row],[Sifariş kodu]],'Kəsim ve təhvil'!$H$5:$H1210,1,0)),"Anbardadır","Təhvil verilib")</f>
        <v>Anbardadır</v>
      </c>
      <c r="AU212" s="186" t="str">
        <f>"Hörmətli *"&amp;Tablo7[[#This Row],[Müştəri]]&amp;"*  ,Sizin *"&amp;G212&amp;"* tarixli sifarişiniz qeydə alındı. Sifariş Məbləğı *"&amp;AM212&amp;" AZN* , Qalıq *"&amp;AP212&amp;" AZN* . Hörmətlə  *AlumPro*"</f>
        <v>Hörmətli *Vusal Nusalov*  ,Sizin *04,12,2024* tarixli sifarişiniz qeydə alındı. Sifariş Məbləğı *337 AZN* , Qalıq *0 AZN* . Hörmətlə  *AlumPro*</v>
      </c>
      <c r="AV212" s="187" t="str">
        <f>"Hörmətli *"&amp;Tablo7[[#This Row],[Müştəri]]&amp;"* , sizin *"&amp;G212&amp;"* tarixli  sifarişiniz hazırdır . Bizi seçdiyiniz üçün minnətdarıq. Hörmətlə  *AlumPro*."</f>
        <v>Hörmətli *Vusal Nusalov* , sizin *04,12,2024* tarixli  sifarişiniz hazırdır . Bizi seçdiyiniz üçün minnətdarıq. Hörmətlə  *AlumPro*.</v>
      </c>
      <c r="AW212" s="188" t="str">
        <f t="shared" si="80"/>
        <v>Vusal</v>
      </c>
      <c r="AX212" s="189" t="str">
        <f t="shared" si="79"/>
        <v xml:space="preserve">Vusal </v>
      </c>
    </row>
    <row r="213" spans="4:50">
      <c r="D213" s="178">
        <v>118</v>
      </c>
      <c r="E213" s="179" t="s">
        <v>632</v>
      </c>
      <c r="F213" s="179" t="s">
        <v>339</v>
      </c>
      <c r="G213" s="212" t="s">
        <v>626</v>
      </c>
      <c r="H213" s="179" t="s">
        <v>633</v>
      </c>
      <c r="I213" s="179" t="s">
        <v>634</v>
      </c>
      <c r="J213" s="179"/>
      <c r="K213" s="179" t="s">
        <v>183</v>
      </c>
      <c r="L213" s="179"/>
      <c r="M213" s="179" t="str">
        <f>_xlfn.XLOOKUP(Tablo7[[#This Row],[Yan Profili]],Anbar!$J$3:$J$1000,Anbar!$H$3:$H$1000,"Tapilmadi")</f>
        <v>Tapilmadi</v>
      </c>
      <c r="N213" s="179">
        <v>1</v>
      </c>
      <c r="O213" s="179">
        <v>23</v>
      </c>
      <c r="P213" s="179" t="s">
        <v>184</v>
      </c>
      <c r="Q213" s="179" t="str">
        <f>_xlfn.XLOOKUP(Tablo7[[#This Row],[Qulp növü]],Anbar!$J$3:$J$1000,Anbar!$H$3:$H$1000,"Tapilmadi")</f>
        <v>Tapilmadi</v>
      </c>
      <c r="R213" s="179">
        <v>1</v>
      </c>
      <c r="S213" s="180">
        <v>26</v>
      </c>
      <c r="T213" s="181"/>
      <c r="U213" s="179" t="str">
        <f>_xlfn.XLOOKUP(Tablo7[[#This Row],[Petlə]],Anbar!$J$3:$J$1000,Anbar!$H$3:$H$1000,"Tapilmadi")</f>
        <v>Tapilmadi</v>
      </c>
      <c r="V213" s="181">
        <v>0</v>
      </c>
      <c r="W213" s="180">
        <v>0</v>
      </c>
      <c r="X213" s="269">
        <v>0</v>
      </c>
      <c r="Y213" s="179" t="s">
        <v>36</v>
      </c>
      <c r="Z213" s="182"/>
      <c r="AA213" s="180">
        <v>11</v>
      </c>
      <c r="AB213" s="180"/>
      <c r="AC213" s="179" t="str">
        <f>_xlfn.XLOOKUP(Tablo7[[#This Row],[Bağlantı]],Anbar!$J$3:$J$1000,Anbar!$H$3:$H$1000,"Tapilmadi")</f>
        <v>Tapilmadi</v>
      </c>
      <c r="AD213" s="179"/>
      <c r="AE213" s="180">
        <v>4</v>
      </c>
      <c r="AF213" s="180"/>
      <c r="AG213" s="179" t="str">
        <f>_xlfn.XLOOKUP(Tablo7[[#This Row],[Mexanizm]],Anbar!$J$3:$J$1000,Anbar!$H$3:$H$1000,"Tapilmadi")</f>
        <v>Tapilmadi</v>
      </c>
      <c r="AH213" s="179">
        <v>1</v>
      </c>
      <c r="AI213" s="180">
        <v>0</v>
      </c>
      <c r="AJ213" s="180">
        <v>4</v>
      </c>
      <c r="AK213" s="180">
        <v>30</v>
      </c>
      <c r="AL213" s="180">
        <v>0</v>
      </c>
      <c r="AM213" s="180">
        <v>98</v>
      </c>
      <c r="AN213" s="180"/>
      <c r="AO213" s="180">
        <v>98</v>
      </c>
      <c r="AP213" s="194">
        <f>Tablo7[[#This Row],[Ümumi məbləğ]]-Tablo7[[#This Row],[Ödəniş]]-Tablo7[[#This Row],[Endirim]]</f>
        <v>0</v>
      </c>
      <c r="AQ213" s="183" t="str">
        <f t="shared" si="77"/>
        <v>Mesaj</v>
      </c>
      <c r="AR213" s="183" t="str">
        <f t="shared" si="78"/>
        <v>Mesaj</v>
      </c>
      <c r="AS213" s="184" t="str">
        <f>IF(ISNA(VLOOKUP(Tablo7[[#This Row],[Sifariş kodu]],'Kəsim ve təhvil'!$E$5:$E1211,1,0)),"Qəbul edilməyib","Qəbul edilib")</f>
        <v>Qəbul edilməyib</v>
      </c>
      <c r="AT213" s="185" t="str">
        <f>IF(ISNA(VLOOKUP(Tablo7[[#This Row],[Sifariş kodu]],'Kəsim ve təhvil'!$H$5:$H1211,1,0)),"Anbardadır","Təhvil verilib")</f>
        <v>Anbardadır</v>
      </c>
      <c r="AU213" s="186" t="str">
        <f>"Hörmətli *"&amp;Tablo7[[#This Row],[Müştəri]]&amp;"*  ,Sizin *"&amp;G213&amp;"* tarixli sifarişiniz qeydə alındı. Sifariş Məbləğı *"&amp;AM213&amp;" AZN* , Qalıq *"&amp;AP213&amp;" AZN* . Hörmətlə  *AlumPro*"</f>
        <v>Hörmətli *Soltan Musteri*  ,Sizin *04,12,2024* tarixli sifarişiniz qeydə alındı. Sifariş Məbləğı *98 AZN* , Qalıq *0 AZN* . Hörmətlə  *AlumPro*</v>
      </c>
      <c r="AV213" s="187" t="str">
        <f>"Hörmətli *"&amp;Tablo7[[#This Row],[Müştəri]]&amp;"* , sizin *"&amp;G213&amp;"* tarixli  sifarişiniz hazırdır . Bizi seçdiyiniz üçün minnətdarıq. Hörmətlə  *AlumPro*."</f>
        <v>Hörmətli *Soltan Musteri* , sizin *04,12,2024* tarixli  sifarişiniz hazırdır . Bizi seçdiyiniz üçün minnətdarıq. Hörmətlə  *AlumPro*.</v>
      </c>
      <c r="AW213" s="188" t="str">
        <f t="shared" si="80"/>
        <v>Soltan</v>
      </c>
      <c r="AX213" s="189" t="str">
        <f t="shared" si="79"/>
        <v xml:space="preserve">Soltan </v>
      </c>
    </row>
    <row r="214" spans="4:50">
      <c r="D214" s="178">
        <v>117</v>
      </c>
      <c r="E214" s="179" t="s">
        <v>635</v>
      </c>
      <c r="F214" s="179" t="s">
        <v>339</v>
      </c>
      <c r="G214" s="212" t="s">
        <v>626</v>
      </c>
      <c r="H214" s="179" t="s">
        <v>633</v>
      </c>
      <c r="I214" s="179" t="s">
        <v>634</v>
      </c>
      <c r="J214" s="179"/>
      <c r="K214" s="179" t="s">
        <v>183</v>
      </c>
      <c r="L214" s="179"/>
      <c r="M214" s="179" t="str">
        <f>_xlfn.XLOOKUP(Tablo7[[#This Row],[Yan Profili]],Anbar!$J$3:$J$1000,Anbar!$H$3:$H$1000,"Tapilmadi")</f>
        <v>Tapilmadi</v>
      </c>
      <c r="N214" s="179">
        <v>5</v>
      </c>
      <c r="O214" s="179">
        <v>115</v>
      </c>
      <c r="P214" s="179" t="s">
        <v>195</v>
      </c>
      <c r="Q214" s="179" t="str">
        <f>_xlfn.XLOOKUP(Tablo7[[#This Row],[Qulp növü]],Anbar!$J$3:$J$1000,Anbar!$H$3:$H$1000,"Tapilmadi")</f>
        <v>Tapilmadi</v>
      </c>
      <c r="R214" s="179">
        <v>0</v>
      </c>
      <c r="S214" s="180">
        <v>0</v>
      </c>
      <c r="T214" s="181"/>
      <c r="U214" s="179" t="str">
        <f>_xlfn.XLOOKUP(Tablo7[[#This Row],[Petlə]],Anbar!$J$3:$J$1000,Anbar!$H$3:$H$1000,"Tapilmadi")</f>
        <v>Tapilmadi</v>
      </c>
      <c r="V214" s="181">
        <v>0</v>
      </c>
      <c r="W214" s="180">
        <v>0</v>
      </c>
      <c r="X214" s="269">
        <v>15</v>
      </c>
      <c r="Y214" s="179" t="s">
        <v>36</v>
      </c>
      <c r="Z214" s="182"/>
      <c r="AA214" s="180">
        <v>45</v>
      </c>
      <c r="AB214" s="180"/>
      <c r="AC214" s="179" t="str">
        <f>_xlfn.XLOOKUP(Tablo7[[#This Row],[Bağlantı]],Anbar!$J$3:$J$1000,Anbar!$H$3:$H$1000,"Tapilmadi")</f>
        <v>Tapilmadi</v>
      </c>
      <c r="AD214" s="179"/>
      <c r="AE214" s="180">
        <v>24</v>
      </c>
      <c r="AF214" s="180"/>
      <c r="AG214" s="179" t="str">
        <f>_xlfn.XLOOKUP(Tablo7[[#This Row],[Mexanizm]],Anbar!$J$3:$J$1000,Anbar!$H$3:$H$1000,"Tapilmadi")</f>
        <v>Tapilmadi</v>
      </c>
      <c r="AH214" s="179">
        <v>1</v>
      </c>
      <c r="AI214" s="180">
        <v>0</v>
      </c>
      <c r="AJ214" s="180">
        <v>12</v>
      </c>
      <c r="AK214" s="180">
        <v>60</v>
      </c>
      <c r="AL214" s="180">
        <v>0</v>
      </c>
      <c r="AM214" s="180">
        <v>271</v>
      </c>
      <c r="AN214" s="180"/>
      <c r="AO214" s="180">
        <v>271</v>
      </c>
      <c r="AP214" s="194">
        <f>Tablo7[[#This Row],[Ümumi məbləğ]]-Tablo7[[#This Row],[Ödəniş]]-Tablo7[[#This Row],[Endirim]]</f>
        <v>0</v>
      </c>
      <c r="AQ214" s="183" t="str">
        <f t="shared" si="77"/>
        <v>Mesaj</v>
      </c>
      <c r="AR214" s="183" t="str">
        <f t="shared" si="78"/>
        <v>Mesaj</v>
      </c>
      <c r="AS214" s="184" t="str">
        <f>IF(ISNA(VLOOKUP(Tablo7[[#This Row],[Sifariş kodu]],'Kəsim ve təhvil'!$E$5:$E1212,1,0)),"Qəbul edilməyib","Qəbul edilib")</f>
        <v>Qəbul edilməyib</v>
      </c>
      <c r="AT214" s="185" t="str">
        <f>IF(ISNA(VLOOKUP(Tablo7[[#This Row],[Sifariş kodu]],'Kəsim ve təhvil'!$H$5:$H1212,1,0)),"Anbardadır","Təhvil verilib")</f>
        <v>Anbardadır</v>
      </c>
      <c r="AU214" s="186" t="str">
        <f>"Hörmətli *"&amp;Tablo7[[#This Row],[Müştəri]]&amp;"*  ,Sizin *"&amp;G214&amp;"* tarixli sifarişiniz qeydə alındı. Sifariş Məbləğı *"&amp;AM214&amp;" AZN* , Qalıq *"&amp;AP214&amp;" AZN* . Hörmətlə  *AlumPro*"</f>
        <v>Hörmətli *Soltan Musteri*  ,Sizin *04,12,2024* tarixli sifarişiniz qeydə alındı. Sifariş Məbləğı *271 AZN* , Qalıq *0 AZN* . Hörmətlə  *AlumPro*</v>
      </c>
      <c r="AV214" s="187" t="str">
        <f>"Hörmətli *"&amp;Tablo7[[#This Row],[Müştəri]]&amp;"* , sizin *"&amp;G214&amp;"* tarixli  sifarişiniz hazırdır . Bizi seçdiyiniz üçün minnətdarıq. Hörmətlə  *AlumPro*."</f>
        <v>Hörmətli *Soltan Musteri* , sizin *04,12,2024* tarixli  sifarişiniz hazırdır . Bizi seçdiyiniz üçün minnətdarıq. Hörmətlə  *AlumPro*.</v>
      </c>
      <c r="AW214" s="188" t="str">
        <f t="shared" si="80"/>
        <v>Soltan</v>
      </c>
      <c r="AX214" s="189" t="str">
        <f t="shared" si="79"/>
        <v xml:space="preserve">Soltan </v>
      </c>
    </row>
    <row r="215" spans="4:50">
      <c r="D215" s="178">
        <v>116</v>
      </c>
      <c r="E215" s="179" t="s">
        <v>636</v>
      </c>
      <c r="F215" s="179" t="s">
        <v>339</v>
      </c>
      <c r="G215" s="212" t="s">
        <v>626</v>
      </c>
      <c r="H215" s="179" t="s">
        <v>633</v>
      </c>
      <c r="I215" s="179" t="s">
        <v>634</v>
      </c>
      <c r="J215" s="179"/>
      <c r="K215" s="179" t="s">
        <v>189</v>
      </c>
      <c r="L215" s="179"/>
      <c r="M215" s="179" t="str">
        <f>_xlfn.XLOOKUP(Tablo7[[#This Row],[Yan Profili]],Anbar!$J$3:$J$1000,Anbar!$H$3:$H$1000,"Tapilmadi")</f>
        <v>Tapilmadi</v>
      </c>
      <c r="N215" s="179">
        <v>2</v>
      </c>
      <c r="O215" s="179">
        <v>46</v>
      </c>
      <c r="P215" s="179" t="s">
        <v>184</v>
      </c>
      <c r="Q215" s="179" t="str">
        <f>_xlfn.XLOOKUP(Tablo7[[#This Row],[Qulp növü]],Anbar!$J$3:$J$1000,Anbar!$H$3:$H$1000,"Tapilmadi")</f>
        <v>Tapilmadi</v>
      </c>
      <c r="R215" s="179">
        <v>1</v>
      </c>
      <c r="S215" s="180">
        <v>26</v>
      </c>
      <c r="T215" s="181"/>
      <c r="U215" s="179" t="str">
        <f>_xlfn.XLOOKUP(Tablo7[[#This Row],[Petlə]],Anbar!$J$3:$J$1000,Anbar!$H$3:$H$1000,"Tapilmadi")</f>
        <v>Tapilmadi</v>
      </c>
      <c r="V215" s="181">
        <v>0</v>
      </c>
      <c r="W215" s="180">
        <v>0</v>
      </c>
      <c r="X215" s="269">
        <v>0</v>
      </c>
      <c r="Y215" s="179" t="s">
        <v>199</v>
      </c>
      <c r="Z215" s="182"/>
      <c r="AA215" s="180">
        <v>25</v>
      </c>
      <c r="AB215" s="180"/>
      <c r="AC215" s="179" t="str">
        <f>_xlfn.XLOOKUP(Tablo7[[#This Row],[Bağlantı]],Anbar!$J$3:$J$1000,Anbar!$H$3:$H$1000,"Tapilmadi")</f>
        <v>Tapilmadi</v>
      </c>
      <c r="AD215" s="179"/>
      <c r="AE215" s="180">
        <v>6</v>
      </c>
      <c r="AF215" s="180"/>
      <c r="AG215" s="179" t="str">
        <f>_xlfn.XLOOKUP(Tablo7[[#This Row],[Mexanizm]],Anbar!$J$3:$J$1000,Anbar!$H$3:$H$1000,"Tapilmadi")</f>
        <v>Tapilmadi</v>
      </c>
      <c r="AH215" s="179">
        <v>1</v>
      </c>
      <c r="AI215" s="180">
        <v>0</v>
      </c>
      <c r="AJ215" s="180">
        <v>6</v>
      </c>
      <c r="AK215" s="180">
        <v>30</v>
      </c>
      <c r="AL215" s="180">
        <v>0</v>
      </c>
      <c r="AM215" s="180">
        <v>139</v>
      </c>
      <c r="AN215" s="180"/>
      <c r="AO215" s="180">
        <v>139</v>
      </c>
      <c r="AP215" s="194">
        <f>Tablo7[[#This Row],[Ümumi məbləğ]]-Tablo7[[#This Row],[Ödəniş]]-Tablo7[[#This Row],[Endirim]]</f>
        <v>0</v>
      </c>
      <c r="AQ215" s="183" t="str">
        <f t="shared" si="77"/>
        <v>Mesaj</v>
      </c>
      <c r="AR215" s="183" t="str">
        <f t="shared" si="78"/>
        <v>Mesaj</v>
      </c>
      <c r="AS215" s="184" t="str">
        <f>IF(ISNA(VLOOKUP(Tablo7[[#This Row],[Sifariş kodu]],'Kəsim ve təhvil'!$E$5:$E1213,1,0)),"Qəbul edilməyib","Qəbul edilib")</f>
        <v>Qəbul edilməyib</v>
      </c>
      <c r="AT215" s="185" t="str">
        <f>IF(ISNA(VLOOKUP(Tablo7[[#This Row],[Sifariş kodu]],'Kəsim ve təhvil'!$H$5:$H1213,1,0)),"Anbardadır","Təhvil verilib")</f>
        <v>Anbardadır</v>
      </c>
      <c r="AU215" s="186" t="str">
        <f>"Hörmətli *"&amp;Tablo7[[#This Row],[Müştəri]]&amp;"*  ,Sizin *"&amp;G215&amp;"* tarixli sifarişiniz qeydə alındı. Sifariş Məbləğı *"&amp;AM215&amp;" AZN* , Qalıq *"&amp;AP215&amp;" AZN* . Hörmətlə  *AlumPro*"</f>
        <v>Hörmətli *Soltan Musteri*  ,Sizin *04,12,2024* tarixli sifarişiniz qeydə alındı. Sifariş Məbləğı *139 AZN* , Qalıq *0 AZN* . Hörmətlə  *AlumPro*</v>
      </c>
      <c r="AV215" s="187" t="str">
        <f>"Hörmətli *"&amp;Tablo7[[#This Row],[Müştəri]]&amp;"* , sizin *"&amp;G215&amp;"* tarixli  sifarişiniz hazırdır . Bizi seçdiyiniz üçün minnətdarıq. Hörmətlə  *AlumPro*."</f>
        <v>Hörmətli *Soltan Musteri* , sizin *04,12,2024* tarixli  sifarişiniz hazırdır . Bizi seçdiyiniz üçün minnətdarıq. Hörmətlə  *AlumPro*.</v>
      </c>
      <c r="AW215" s="188" t="str">
        <f t="shared" si="80"/>
        <v>Soltan</v>
      </c>
      <c r="AX215" s="189" t="str">
        <f t="shared" si="79"/>
        <v xml:space="preserve">Soltan </v>
      </c>
    </row>
    <row r="216" spans="4:50">
      <c r="D216" s="178">
        <v>115</v>
      </c>
      <c r="E216" s="179" t="s">
        <v>637</v>
      </c>
      <c r="F216" s="179" t="s">
        <v>339</v>
      </c>
      <c r="G216" s="212" t="s">
        <v>638</v>
      </c>
      <c r="H216" s="179" t="s">
        <v>123</v>
      </c>
      <c r="I216" s="179" t="s">
        <v>124</v>
      </c>
      <c r="J216" s="179"/>
      <c r="K216" s="179" t="s">
        <v>194</v>
      </c>
      <c r="L216" s="179"/>
      <c r="M216" s="179" t="str">
        <f>_xlfn.XLOOKUP(Tablo7[[#This Row],[Yan Profili]],Anbar!$J$3:$J$1000,Anbar!$H$3:$H$1000,"Tapilmadi")</f>
        <v>Tapilmadi</v>
      </c>
      <c r="N216" s="179">
        <v>2</v>
      </c>
      <c r="O216" s="179">
        <v>46</v>
      </c>
      <c r="P216" s="179" t="s">
        <v>195</v>
      </c>
      <c r="Q216" s="179" t="str">
        <f>_xlfn.XLOOKUP(Tablo7[[#This Row],[Qulp növü]],Anbar!$J$3:$J$1000,Anbar!$H$3:$H$1000,"Tapilmadi")</f>
        <v>Tapilmadi</v>
      </c>
      <c r="R216" s="179">
        <v>0</v>
      </c>
      <c r="S216" s="180">
        <v>0</v>
      </c>
      <c r="T216" s="181" t="s">
        <v>196</v>
      </c>
      <c r="U216" s="179" t="str">
        <f>_xlfn.XLOOKUP(Tablo7[[#This Row],[Petlə]],Anbar!$J$3:$J$1000,Anbar!$H$3:$H$1000,"Tapilmadi")</f>
        <v>Tapilmadi</v>
      </c>
      <c r="V216" s="181">
        <v>4</v>
      </c>
      <c r="W216" s="180">
        <v>16</v>
      </c>
      <c r="X216" s="269">
        <v>0</v>
      </c>
      <c r="Y216" s="179" t="s">
        <v>36</v>
      </c>
      <c r="Z216" s="182"/>
      <c r="AA216" s="180">
        <v>20</v>
      </c>
      <c r="AB216" s="180"/>
      <c r="AC216" s="179" t="str">
        <f>_xlfn.XLOOKUP(Tablo7[[#This Row],[Bağlantı]],Anbar!$J$3:$J$1000,Anbar!$H$3:$H$1000,"Tapilmadi")</f>
        <v>Tapilmadi</v>
      </c>
      <c r="AD216" s="179"/>
      <c r="AE216" s="180">
        <v>8</v>
      </c>
      <c r="AF216" s="180"/>
      <c r="AG216" s="179" t="str">
        <f>_xlfn.XLOOKUP(Tablo7[[#This Row],[Mexanizm]],Anbar!$J$3:$J$1000,Anbar!$H$3:$H$1000,"Tapilmadi")</f>
        <v>Tapilmadi</v>
      </c>
      <c r="AH216" s="179">
        <v>1</v>
      </c>
      <c r="AI216" s="180">
        <v>0</v>
      </c>
      <c r="AJ216" s="180">
        <v>8</v>
      </c>
      <c r="AK216" s="180">
        <v>15</v>
      </c>
      <c r="AL216" s="180">
        <v>0</v>
      </c>
      <c r="AM216" s="180">
        <v>113</v>
      </c>
      <c r="AN216" s="180"/>
      <c r="AO216" s="180">
        <v>113</v>
      </c>
      <c r="AP216" s="194">
        <f>Tablo7[[#This Row],[Ümumi məbləğ]]-Tablo7[[#This Row],[Ödəniş]]-Tablo7[[#This Row],[Endirim]]</f>
        <v>0</v>
      </c>
      <c r="AQ216" s="183" t="str">
        <f t="shared" si="77"/>
        <v>Mesaj</v>
      </c>
      <c r="AR216" s="183" t="str">
        <f t="shared" si="78"/>
        <v>Mesaj</v>
      </c>
      <c r="AS216" s="184" t="str">
        <f>IF(ISNA(VLOOKUP(Tablo7[[#This Row],[Sifariş kodu]],'Kəsim ve təhvil'!$E$5:$E1214,1,0)),"Qəbul edilməyib","Qəbul edilib")</f>
        <v>Qəbul edilməyib</v>
      </c>
      <c r="AT216" s="185" t="str">
        <f>IF(ISNA(VLOOKUP(Tablo7[[#This Row],[Sifariş kodu]],'Kəsim ve təhvil'!$H$5:$H1214,1,0)),"Anbardadır","Təhvil verilib")</f>
        <v>Anbardadır</v>
      </c>
      <c r="AU216" s="186" t="str">
        <f>"Hörmətli *"&amp;Tablo7[[#This Row],[Müştəri]]&amp;"*  ,Sizin *"&amp;G216&amp;"* tarixli sifarişiniz qeydə alındı. Sifariş Məbləğı *"&amp;AM216&amp;" AZN* , Qalıq *"&amp;AP216&amp;" AZN* . Hörmətlə  *AlumPro*"</f>
        <v>Hörmətli *Lux Concept*  ,Sizin *03,12,2024* tarixli sifarişiniz qeydə alındı. Sifariş Məbləğı *113 AZN* , Qalıq *0 AZN* . Hörmətlə  *AlumPro*</v>
      </c>
      <c r="AV216" s="187" t="str">
        <f>"Hörmətli *"&amp;Tablo7[[#This Row],[Müştəri]]&amp;"* , sizin *"&amp;G216&amp;"* tarixli  sifarişiniz hazırdır . Bizi seçdiyiniz üçün minnətdarıq. Hörmətlə  *AlumPro*."</f>
        <v>Hörmətli *Lux Concept* , sizin *03,12,2024* tarixli  sifarişiniz hazırdır . Bizi seçdiyiniz üçün minnətdarıq. Hörmətlə  *AlumPro*.</v>
      </c>
      <c r="AW216" s="188" t="str">
        <f t="shared" si="80"/>
        <v>Lux</v>
      </c>
      <c r="AX216" s="189" t="str">
        <f t="shared" si="79"/>
        <v xml:space="preserve">Lux </v>
      </c>
    </row>
    <row r="217" spans="4:50">
      <c r="D217" s="178">
        <v>114</v>
      </c>
      <c r="E217" s="179" t="s">
        <v>639</v>
      </c>
      <c r="F217" s="179" t="s">
        <v>339</v>
      </c>
      <c r="G217" s="212" t="s">
        <v>638</v>
      </c>
      <c r="H217" s="179" t="s">
        <v>138</v>
      </c>
      <c r="I217" s="179" t="s">
        <v>139</v>
      </c>
      <c r="J217" s="179"/>
      <c r="K217" s="179" t="s">
        <v>183</v>
      </c>
      <c r="L217" s="179"/>
      <c r="M217" s="179" t="str">
        <f>_xlfn.XLOOKUP(Tablo7[[#This Row],[Yan Profili]],Anbar!$J$3:$J$1000,Anbar!$H$3:$H$1000,"Tapilmadi")</f>
        <v>Tapilmadi</v>
      </c>
      <c r="N217" s="179">
        <v>3</v>
      </c>
      <c r="O217" s="179">
        <v>69</v>
      </c>
      <c r="P217" s="179" t="s">
        <v>184</v>
      </c>
      <c r="Q217" s="179" t="str">
        <f>_xlfn.XLOOKUP(Tablo7[[#This Row],[Qulp növü]],Anbar!$J$3:$J$1000,Anbar!$H$3:$H$1000,"Tapilmadi")</f>
        <v>Tapilmadi</v>
      </c>
      <c r="R217" s="179">
        <v>2</v>
      </c>
      <c r="S217" s="180">
        <v>52</v>
      </c>
      <c r="T217" s="181"/>
      <c r="U217" s="179" t="str">
        <f>_xlfn.XLOOKUP(Tablo7[[#This Row],[Petlə]],Anbar!$J$3:$J$1000,Anbar!$H$3:$H$1000,"Tapilmadi")</f>
        <v>Tapilmadi</v>
      </c>
      <c r="V217" s="181">
        <v>0</v>
      </c>
      <c r="W217" s="180">
        <v>0</v>
      </c>
      <c r="X217" s="269">
        <v>15</v>
      </c>
      <c r="Y217" s="179" t="s">
        <v>203</v>
      </c>
      <c r="Z217" s="182"/>
      <c r="AA217" s="180">
        <v>67</v>
      </c>
      <c r="AB217" s="180"/>
      <c r="AC217" s="179" t="str">
        <f>_xlfn.XLOOKUP(Tablo7[[#This Row],[Bağlantı]],Anbar!$J$3:$J$1000,Anbar!$H$3:$H$1000,"Tapilmadi")</f>
        <v>Tapilmadi</v>
      </c>
      <c r="AD217" s="179"/>
      <c r="AE217" s="180">
        <v>8</v>
      </c>
      <c r="AF217" s="180"/>
      <c r="AG217" s="179" t="str">
        <f>_xlfn.XLOOKUP(Tablo7[[#This Row],[Mexanizm]],Anbar!$J$3:$J$1000,Anbar!$H$3:$H$1000,"Tapilmadi")</f>
        <v>Tapilmadi</v>
      </c>
      <c r="AH217" s="179">
        <v>1</v>
      </c>
      <c r="AI217" s="180">
        <v>0</v>
      </c>
      <c r="AJ217" s="180">
        <v>8</v>
      </c>
      <c r="AK217" s="180">
        <v>30</v>
      </c>
      <c r="AL217" s="180">
        <v>0</v>
      </c>
      <c r="AM217" s="180">
        <v>249</v>
      </c>
      <c r="AN217" s="180"/>
      <c r="AO217" s="180">
        <v>250</v>
      </c>
      <c r="AP217" s="194">
        <f>Tablo7[[#This Row],[Ümumi məbləğ]]-Tablo7[[#This Row],[Ödəniş]]-Tablo7[[#This Row],[Endirim]]</f>
        <v>-1</v>
      </c>
      <c r="AQ217" s="183" t="str">
        <f t="shared" si="77"/>
        <v>Mesaj</v>
      </c>
      <c r="AR217" s="183" t="str">
        <f t="shared" si="78"/>
        <v>Mesaj</v>
      </c>
      <c r="AS217" s="184" t="str">
        <f>IF(ISNA(VLOOKUP(Tablo7[[#This Row],[Sifariş kodu]],'Kəsim ve təhvil'!$E$5:$E1215,1,0)),"Qəbul edilməyib","Qəbul edilib")</f>
        <v>Qəbul edilməyib</v>
      </c>
      <c r="AT217" s="185" t="str">
        <f>IF(ISNA(VLOOKUP(Tablo7[[#This Row],[Sifariş kodu]],'Kəsim ve təhvil'!$H$5:$H1215,1,0)),"Anbardadır","Təhvil verilib")</f>
        <v>Anbardadır</v>
      </c>
      <c r="AU217" s="186" t="str">
        <f>"Hörmətli *"&amp;Tablo7[[#This Row],[Müştəri]]&amp;"*  ,Sizin *"&amp;G217&amp;"* tarixli sifarişiniz qeydə alındı. Sifariş Məbləğı *"&amp;AM217&amp;" AZN* , Qalıq *"&amp;AP217&amp;" AZN* . Hörmətlə  *AlumPro*"</f>
        <v>Hörmətli *Omer Isazade*  ,Sizin *03,12,2024* tarixli sifarişiniz qeydə alındı. Sifariş Məbləğı *249 AZN* , Qalıq *-1 AZN* . Hörmətlə  *AlumPro*</v>
      </c>
      <c r="AV217" s="187" t="str">
        <f>"Hörmətli *"&amp;Tablo7[[#This Row],[Müştəri]]&amp;"* , sizin *"&amp;G217&amp;"* tarixli  sifarişiniz hazırdır . Bizi seçdiyiniz üçün minnətdarıq. Hörmətlə  *AlumPro*."</f>
        <v>Hörmətli *Omer Isazade* , sizin *03,12,2024* tarixli  sifarişiniz hazırdır . Bizi seçdiyiniz üçün minnətdarıq. Hörmətlə  *AlumPro*.</v>
      </c>
      <c r="AW217" s="188" t="str">
        <f t="shared" si="80"/>
        <v>Omer</v>
      </c>
      <c r="AX217" s="189" t="str">
        <f t="shared" si="79"/>
        <v xml:space="preserve">Omer </v>
      </c>
    </row>
    <row r="218" spans="4:50">
      <c r="D218" s="178">
        <v>113</v>
      </c>
      <c r="E218" s="179" t="s">
        <v>640</v>
      </c>
      <c r="F218" s="179" t="s">
        <v>339</v>
      </c>
      <c r="G218" s="212" t="s">
        <v>638</v>
      </c>
      <c r="H218" s="179" t="s">
        <v>252</v>
      </c>
      <c r="I218" s="179" t="s">
        <v>253</v>
      </c>
      <c r="J218" s="179"/>
      <c r="K218" s="179" t="s">
        <v>226</v>
      </c>
      <c r="L218" s="179"/>
      <c r="M218" s="179">
        <f>_xlfn.XLOOKUP(Tablo7[[#This Row],[Yan Profili]],Anbar!$J$3:$J$1000,Anbar!$H$3:$H$1000,"Tapilmadi")</f>
        <v>0</v>
      </c>
      <c r="N218" s="179">
        <v>3</v>
      </c>
      <c r="O218" s="179">
        <v>69</v>
      </c>
      <c r="P218" s="179" t="s">
        <v>184</v>
      </c>
      <c r="Q218" s="179" t="str">
        <f>_xlfn.XLOOKUP(Tablo7[[#This Row],[Qulp növü]],Anbar!$J$3:$J$1000,Anbar!$H$3:$H$1000,"Tapilmadi")</f>
        <v>Tapilmadi</v>
      </c>
      <c r="R218" s="179">
        <v>2</v>
      </c>
      <c r="S218" s="180">
        <v>52</v>
      </c>
      <c r="T218" s="181" t="s">
        <v>196</v>
      </c>
      <c r="U218" s="179" t="str">
        <f>_xlfn.XLOOKUP(Tablo7[[#This Row],[Petlə]],Anbar!$J$3:$J$1000,Anbar!$H$3:$H$1000,"Tapilmadi")</f>
        <v>Tapilmadi</v>
      </c>
      <c r="V218" s="181">
        <v>8</v>
      </c>
      <c r="W218" s="180">
        <v>32</v>
      </c>
      <c r="X218" s="269">
        <v>0</v>
      </c>
      <c r="Y218" s="179" t="s">
        <v>276</v>
      </c>
      <c r="Z218" s="182"/>
      <c r="AA218" s="180">
        <v>119</v>
      </c>
      <c r="AB218" s="180"/>
      <c r="AC218" s="179" t="str">
        <f>_xlfn.XLOOKUP(Tablo7[[#This Row],[Bağlantı]],Anbar!$J$3:$J$1000,Anbar!$H$3:$H$1000,"Tapilmadi")</f>
        <v>Tapilmadi</v>
      </c>
      <c r="AD218" s="179"/>
      <c r="AE218" s="180">
        <v>16</v>
      </c>
      <c r="AF218" s="180"/>
      <c r="AG218" s="179" t="str">
        <f>_xlfn.XLOOKUP(Tablo7[[#This Row],[Mexanizm]],Anbar!$J$3:$J$1000,Anbar!$H$3:$H$1000,"Tapilmadi")</f>
        <v>Tapilmadi</v>
      </c>
      <c r="AH218" s="179">
        <v>1</v>
      </c>
      <c r="AI218" s="180">
        <v>0</v>
      </c>
      <c r="AJ218" s="180">
        <v>16</v>
      </c>
      <c r="AK218" s="180">
        <v>30</v>
      </c>
      <c r="AL218" s="180">
        <v>0</v>
      </c>
      <c r="AM218" s="180">
        <v>334</v>
      </c>
      <c r="AN218" s="180"/>
      <c r="AO218" s="180">
        <v>334</v>
      </c>
      <c r="AP218" s="194">
        <f>Tablo7[[#This Row],[Ümumi məbləğ]]-Tablo7[[#This Row],[Ödəniş]]-Tablo7[[#This Row],[Endirim]]</f>
        <v>0</v>
      </c>
      <c r="AQ218" s="183" t="str">
        <f t="shared" si="77"/>
        <v>Mesaj</v>
      </c>
      <c r="AR218" s="183" t="str">
        <f t="shared" si="78"/>
        <v>Mesaj</v>
      </c>
      <c r="AS218" s="184" t="str">
        <f>IF(ISNA(VLOOKUP(Tablo7[[#This Row],[Sifariş kodu]],'Kəsim ve təhvil'!$E$5:$E1216,1,0)),"Qəbul edilməyib","Qəbul edilib")</f>
        <v>Qəbul edilməyib</v>
      </c>
      <c r="AT218" s="185" t="str">
        <f>IF(ISNA(VLOOKUP(Tablo7[[#This Row],[Sifariş kodu]],'Kəsim ve təhvil'!$H$5:$H1216,1,0)),"Anbardadır","Təhvil verilib")</f>
        <v>Anbardadır</v>
      </c>
      <c r="AU218" s="186" t="str">
        <f>"Hörmətli *"&amp;Tablo7[[#This Row],[Müştəri]]&amp;"*  ,Sizin *"&amp;G218&amp;"* tarixli sifarişiniz qeydə alındı. Sifariş Məbləğı *"&amp;AM218&amp;" AZN* , Qalıq *"&amp;AP218&amp;" AZN* . Hörmətlə  *AlumPro*"</f>
        <v>Hörmətli *Rovsen Sex Mebel*  ,Sizin *03,12,2024* tarixli sifarişiniz qeydə alındı. Sifariş Məbləğı *334 AZN* , Qalıq *0 AZN* . Hörmətlə  *AlumPro*</v>
      </c>
      <c r="AV218" s="187" t="str">
        <f>"Hörmətli *"&amp;Tablo7[[#This Row],[Müştəri]]&amp;"* , sizin *"&amp;G218&amp;"* tarixli  sifarişiniz hazırdır . Bizi seçdiyiniz üçün minnətdarıq. Hörmətlə  *AlumPro*."</f>
        <v>Hörmətli *Rovsen Sex Mebel* , sizin *03,12,2024* tarixli  sifarişiniz hazırdır . Bizi seçdiyiniz üçün minnətdarıq. Hörmətlə  *AlumPro*.</v>
      </c>
      <c r="AW218" s="188" t="str">
        <f t="shared" si="80"/>
        <v>Rovsen</v>
      </c>
      <c r="AX218" s="189" t="str">
        <f t="shared" si="79"/>
        <v xml:space="preserve">Rovsen </v>
      </c>
    </row>
    <row r="219" spans="4:50">
      <c r="D219" s="178">
        <v>112</v>
      </c>
      <c r="E219" s="179" t="s">
        <v>641</v>
      </c>
      <c r="F219" s="179" t="s">
        <v>339</v>
      </c>
      <c r="G219" s="212" t="s">
        <v>638</v>
      </c>
      <c r="H219" s="179" t="s">
        <v>642</v>
      </c>
      <c r="I219" s="179" t="s">
        <v>643</v>
      </c>
      <c r="J219" s="179"/>
      <c r="K219" s="179" t="s">
        <v>189</v>
      </c>
      <c r="L219" s="179"/>
      <c r="M219" s="179" t="str">
        <f>_xlfn.XLOOKUP(Tablo7[[#This Row],[Yan Profili]],Anbar!$J$3:$J$1000,Anbar!$H$3:$H$1000,"Tapilmadi")</f>
        <v>Tapilmadi</v>
      </c>
      <c r="N219" s="179">
        <v>3</v>
      </c>
      <c r="O219" s="179">
        <v>69</v>
      </c>
      <c r="P219" s="179" t="s">
        <v>184</v>
      </c>
      <c r="Q219" s="179" t="str">
        <f>_xlfn.XLOOKUP(Tablo7[[#This Row],[Qulp növü]],Anbar!$J$3:$J$1000,Anbar!$H$3:$H$1000,"Tapilmadi")</f>
        <v>Tapilmadi</v>
      </c>
      <c r="R219" s="179">
        <v>2</v>
      </c>
      <c r="S219" s="180">
        <v>52</v>
      </c>
      <c r="T219" s="181"/>
      <c r="U219" s="179" t="str">
        <f>_xlfn.XLOOKUP(Tablo7[[#This Row],[Petlə]],Anbar!$J$3:$J$1000,Anbar!$H$3:$H$1000,"Tapilmadi")</f>
        <v>Tapilmadi</v>
      </c>
      <c r="V219" s="181">
        <v>0</v>
      </c>
      <c r="W219" s="180">
        <v>0</v>
      </c>
      <c r="X219" s="269">
        <v>0</v>
      </c>
      <c r="Y219" s="179" t="s">
        <v>199</v>
      </c>
      <c r="Z219" s="182"/>
      <c r="AA219" s="180">
        <v>73</v>
      </c>
      <c r="AB219" s="180"/>
      <c r="AC219" s="179" t="str">
        <f>_xlfn.XLOOKUP(Tablo7[[#This Row],[Bağlantı]],Anbar!$J$3:$J$1000,Anbar!$H$3:$H$1000,"Tapilmadi")</f>
        <v>Tapilmadi</v>
      </c>
      <c r="AD219" s="179"/>
      <c r="AE219" s="180">
        <v>8</v>
      </c>
      <c r="AF219" s="180"/>
      <c r="AG219" s="179" t="str">
        <f>_xlfn.XLOOKUP(Tablo7[[#This Row],[Mexanizm]],Anbar!$J$3:$J$1000,Anbar!$H$3:$H$1000,"Tapilmadi")</f>
        <v>Tapilmadi</v>
      </c>
      <c r="AH219" s="179">
        <v>1</v>
      </c>
      <c r="AI219" s="180">
        <v>0</v>
      </c>
      <c r="AJ219" s="180">
        <v>8</v>
      </c>
      <c r="AK219" s="180">
        <v>30</v>
      </c>
      <c r="AL219" s="180">
        <v>0</v>
      </c>
      <c r="AM219" s="180">
        <v>240</v>
      </c>
      <c r="AN219" s="180"/>
      <c r="AO219" s="180">
        <v>240</v>
      </c>
      <c r="AP219" s="194">
        <f>Tablo7[[#This Row],[Ümumi məbləğ]]-Tablo7[[#This Row],[Ödəniş]]-Tablo7[[#This Row],[Endirim]]</f>
        <v>0</v>
      </c>
      <c r="AQ219" s="183" t="str">
        <f t="shared" si="77"/>
        <v>Mesaj</v>
      </c>
      <c r="AR219" s="183" t="str">
        <f t="shared" si="78"/>
        <v>Mesaj</v>
      </c>
      <c r="AS219" s="184" t="str">
        <f>IF(ISNA(VLOOKUP(Tablo7[[#This Row],[Sifariş kodu]],'Kəsim ve təhvil'!$E$5:$E1217,1,0)),"Qəbul edilməyib","Qəbul edilib")</f>
        <v>Qəbul edilməyib</v>
      </c>
      <c r="AT219" s="185" t="str">
        <f>IF(ISNA(VLOOKUP(Tablo7[[#This Row],[Sifariş kodu]],'Kəsim ve təhvil'!$H$5:$H1217,1,0)),"Anbardadır","Təhvil verilib")</f>
        <v>Anbardadır</v>
      </c>
      <c r="AU219" s="186" t="str">
        <f>"Hörmətli *"&amp;Tablo7[[#This Row],[Müştəri]]&amp;"*  ,Sizin *"&amp;G219&amp;"* tarixli sifarişiniz qeydə alındı. Sifariş Məbləğı *"&amp;AM219&amp;" AZN* , Qalıq *"&amp;AP219&amp;" AZN* . Hörmətlə  *AlumPro*"</f>
        <v>Hörmətli *Natiq Emrahov*  ,Sizin *03,12,2024* tarixli sifarişiniz qeydə alındı. Sifariş Məbləğı *240 AZN* , Qalıq *0 AZN* . Hörmətlə  *AlumPro*</v>
      </c>
      <c r="AV219" s="187" t="str">
        <f>"Hörmətli *"&amp;Tablo7[[#This Row],[Müştəri]]&amp;"* , sizin *"&amp;G219&amp;"* tarixli  sifarişiniz hazırdır . Bizi seçdiyiniz üçün minnətdarıq. Hörmətlə  *AlumPro*."</f>
        <v>Hörmətli *Natiq Emrahov* , sizin *03,12,2024* tarixli  sifarişiniz hazırdır . Bizi seçdiyiniz üçün minnətdarıq. Hörmətlə  *AlumPro*.</v>
      </c>
      <c r="AW219" s="188" t="str">
        <f t="shared" si="80"/>
        <v>Natiq</v>
      </c>
      <c r="AX219" s="189" t="str">
        <f t="shared" si="79"/>
        <v xml:space="preserve">Natiq </v>
      </c>
    </row>
    <row r="220" spans="4:50">
      <c r="D220" s="178">
        <v>111</v>
      </c>
      <c r="E220" s="179" t="s">
        <v>644</v>
      </c>
      <c r="F220" s="179" t="s">
        <v>339</v>
      </c>
      <c r="G220" s="212" t="s">
        <v>638</v>
      </c>
      <c r="H220" s="179" t="s">
        <v>645</v>
      </c>
      <c r="I220" s="179" t="s">
        <v>646</v>
      </c>
      <c r="J220" s="179"/>
      <c r="K220" s="179" t="s">
        <v>183</v>
      </c>
      <c r="L220" s="179"/>
      <c r="M220" s="179" t="str">
        <f>_xlfn.XLOOKUP(Tablo7[[#This Row],[Yan Profili]],Anbar!$J$3:$J$1000,Anbar!$H$3:$H$1000,"Tapilmadi")</f>
        <v>Tapilmadi</v>
      </c>
      <c r="N220" s="179">
        <v>2</v>
      </c>
      <c r="O220" s="179">
        <v>46</v>
      </c>
      <c r="P220" s="179" t="s">
        <v>195</v>
      </c>
      <c r="Q220" s="179" t="str">
        <f>_xlfn.XLOOKUP(Tablo7[[#This Row],[Qulp növü]],Anbar!$J$3:$J$1000,Anbar!$H$3:$H$1000,"Tapilmadi")</f>
        <v>Tapilmadi</v>
      </c>
      <c r="R220" s="179">
        <v>0</v>
      </c>
      <c r="S220" s="180">
        <v>0</v>
      </c>
      <c r="T220" s="181"/>
      <c r="U220" s="179" t="str">
        <f>_xlfn.XLOOKUP(Tablo7[[#This Row],[Petlə]],Anbar!$J$3:$J$1000,Anbar!$H$3:$H$1000,"Tapilmadi")</f>
        <v>Tapilmadi</v>
      </c>
      <c r="V220" s="181">
        <v>0</v>
      </c>
      <c r="W220" s="180">
        <v>0</v>
      </c>
      <c r="X220" s="269">
        <v>6</v>
      </c>
      <c r="Y220" s="179" t="s">
        <v>36</v>
      </c>
      <c r="Z220" s="182"/>
      <c r="AA220" s="180">
        <v>26</v>
      </c>
      <c r="AB220" s="180"/>
      <c r="AC220" s="179" t="str">
        <f>_xlfn.XLOOKUP(Tablo7[[#This Row],[Bağlantı]],Anbar!$J$3:$J$1000,Anbar!$H$3:$H$1000,"Tapilmadi")</f>
        <v>Tapilmadi</v>
      </c>
      <c r="AD220" s="179"/>
      <c r="AE220" s="180">
        <v>4</v>
      </c>
      <c r="AF220" s="180"/>
      <c r="AG220" s="179" t="str">
        <f>_xlfn.XLOOKUP(Tablo7[[#This Row],[Mexanizm]],Anbar!$J$3:$J$1000,Anbar!$H$3:$H$1000,"Tapilmadi")</f>
        <v>Tapilmadi</v>
      </c>
      <c r="AH220" s="179">
        <v>1</v>
      </c>
      <c r="AI220" s="180">
        <v>0</v>
      </c>
      <c r="AJ220" s="180">
        <v>4</v>
      </c>
      <c r="AK220" s="180">
        <v>15</v>
      </c>
      <c r="AL220" s="180">
        <v>0</v>
      </c>
      <c r="AM220" s="180">
        <v>101</v>
      </c>
      <c r="AN220" s="180">
        <v>1</v>
      </c>
      <c r="AO220" s="180">
        <v>100</v>
      </c>
      <c r="AP220" s="194">
        <f>Tablo7[[#This Row],[Ümumi məbləğ]]-Tablo7[[#This Row],[Ödəniş]]-Tablo7[[#This Row],[Endirim]]</f>
        <v>0</v>
      </c>
      <c r="AQ220" s="183" t="str">
        <f t="shared" si="77"/>
        <v>Mesaj</v>
      </c>
      <c r="AR220" s="183" t="str">
        <f t="shared" si="78"/>
        <v>Mesaj</v>
      </c>
      <c r="AS220" s="184" t="str">
        <f>IF(ISNA(VLOOKUP(Tablo7[[#This Row],[Sifariş kodu]],'Kəsim ve təhvil'!$E$5:$E1218,1,0)),"Qəbul edilməyib","Qəbul edilib")</f>
        <v>Qəbul edilməyib</v>
      </c>
      <c r="AT220" s="185" t="str">
        <f>IF(ISNA(VLOOKUP(Tablo7[[#This Row],[Sifariş kodu]],'Kəsim ve təhvil'!$H$5:$H1218,1,0)),"Anbardadır","Təhvil verilib")</f>
        <v>Anbardadır</v>
      </c>
      <c r="AU220" s="186" t="str">
        <f>"Hörmətli *"&amp;Tablo7[[#This Row],[Müştəri]]&amp;"*  ,Sizin *"&amp;G220&amp;"* tarixli sifarişiniz qeydə alındı. Sifariş Məbləğı *"&amp;AM220&amp;" AZN* , Qalıq *"&amp;AP220&amp;" AZN* . Hörmətlə  *AlumPro*"</f>
        <v>Hörmətli *Emin Abdullayev*  ,Sizin *03,12,2024* tarixli sifarişiniz qeydə alındı. Sifariş Məbləğı *101 AZN* , Qalıq *0 AZN* . Hörmətlə  *AlumPro*</v>
      </c>
      <c r="AV220" s="187" t="str">
        <f>"Hörmətli *"&amp;Tablo7[[#This Row],[Müştəri]]&amp;"* , sizin *"&amp;G220&amp;"* tarixli  sifarişiniz hazırdır . Bizi seçdiyiniz üçün minnətdarıq. Hörmətlə  *AlumPro*."</f>
        <v>Hörmətli *Emin Abdullayev* , sizin *03,12,2024* tarixli  sifarişiniz hazırdır . Bizi seçdiyiniz üçün minnətdarıq. Hörmətlə  *AlumPro*.</v>
      </c>
      <c r="AW220" s="188" t="str">
        <f t="shared" si="80"/>
        <v>Emin</v>
      </c>
      <c r="AX220" s="189" t="str">
        <f t="shared" si="79"/>
        <v xml:space="preserve">Emin </v>
      </c>
    </row>
    <row r="221" spans="4:50">
      <c r="D221" s="178">
        <v>110</v>
      </c>
      <c r="E221" s="179" t="s">
        <v>647</v>
      </c>
      <c r="F221" s="179" t="s">
        <v>339</v>
      </c>
      <c r="G221" s="212" t="s">
        <v>648</v>
      </c>
      <c r="H221" s="179" t="s">
        <v>158</v>
      </c>
      <c r="I221" s="179" t="s">
        <v>159</v>
      </c>
      <c r="J221" s="179"/>
      <c r="K221" s="179" t="s">
        <v>194</v>
      </c>
      <c r="L221" s="179"/>
      <c r="M221" s="179" t="str">
        <f>_xlfn.XLOOKUP(Tablo7[[#This Row],[Yan Profili]],Anbar!$J$3:$J$1000,Anbar!$H$3:$H$1000,"Tapilmadi")</f>
        <v>Tapilmadi</v>
      </c>
      <c r="N221" s="179">
        <v>4</v>
      </c>
      <c r="O221" s="179">
        <v>92</v>
      </c>
      <c r="P221" s="179" t="s">
        <v>195</v>
      </c>
      <c r="Q221" s="179" t="str">
        <f>_xlfn.XLOOKUP(Tablo7[[#This Row],[Qulp növü]],Anbar!$J$3:$J$1000,Anbar!$H$3:$H$1000,"Tapilmadi")</f>
        <v>Tapilmadi</v>
      </c>
      <c r="R221" s="179">
        <v>0</v>
      </c>
      <c r="S221" s="180">
        <v>0</v>
      </c>
      <c r="T221" s="181" t="s">
        <v>196</v>
      </c>
      <c r="U221" s="179" t="str">
        <f>_xlfn.XLOOKUP(Tablo7[[#This Row],[Petlə]],Anbar!$J$3:$J$1000,Anbar!$H$3:$H$1000,"Tapilmadi")</f>
        <v>Tapilmadi</v>
      </c>
      <c r="V221" s="181">
        <v>12</v>
      </c>
      <c r="W221" s="180">
        <v>48</v>
      </c>
      <c r="X221" s="269">
        <v>0</v>
      </c>
      <c r="Y221" s="179" t="s">
        <v>36</v>
      </c>
      <c r="Z221" s="182"/>
      <c r="AA221" s="180">
        <v>28</v>
      </c>
      <c r="AB221" s="180"/>
      <c r="AC221" s="179" t="str">
        <f>_xlfn.XLOOKUP(Tablo7[[#This Row],[Bağlantı]],Anbar!$J$3:$J$1000,Anbar!$H$3:$H$1000,"Tapilmadi")</f>
        <v>Tapilmadi</v>
      </c>
      <c r="AD221" s="179"/>
      <c r="AE221" s="180">
        <v>48</v>
      </c>
      <c r="AF221" s="180"/>
      <c r="AG221" s="179" t="str">
        <f>_xlfn.XLOOKUP(Tablo7[[#This Row],[Mexanizm]],Anbar!$J$3:$J$1000,Anbar!$H$3:$H$1000,"Tapilmadi")</f>
        <v>Tapilmadi</v>
      </c>
      <c r="AH221" s="179">
        <v>1</v>
      </c>
      <c r="AI221" s="180">
        <v>0</v>
      </c>
      <c r="AJ221" s="180">
        <v>24</v>
      </c>
      <c r="AK221" s="180">
        <v>60</v>
      </c>
      <c r="AL221" s="180">
        <v>0</v>
      </c>
      <c r="AM221" s="180">
        <v>300</v>
      </c>
      <c r="AN221" s="180"/>
      <c r="AO221" s="180">
        <v>0</v>
      </c>
      <c r="AP221" s="194">
        <f>Tablo7[[#This Row],[Ümumi məbləğ]]-Tablo7[[#This Row],[Ödəniş]]-Tablo7[[#This Row],[Endirim]]</f>
        <v>300</v>
      </c>
      <c r="AQ221" s="183" t="str">
        <f t="shared" si="77"/>
        <v>Mesaj</v>
      </c>
      <c r="AR221" s="183" t="str">
        <f t="shared" si="78"/>
        <v>Mesaj</v>
      </c>
      <c r="AS221" s="184" t="str">
        <f>IF(ISNA(VLOOKUP(Tablo7[[#This Row],[Sifariş kodu]],'Kəsim ve təhvil'!$E$5:$E1219,1,0)),"Qəbul edilməyib","Qəbul edilib")</f>
        <v>Qəbul edilməyib</v>
      </c>
      <c r="AT221" s="185" t="str">
        <f>IF(ISNA(VLOOKUP(Tablo7[[#This Row],[Sifariş kodu]],'Kəsim ve təhvil'!$H$5:$H1219,1,0)),"Anbardadır","Təhvil verilib")</f>
        <v>Anbardadır</v>
      </c>
      <c r="AU221" s="186" t="str">
        <f>"Hörmətli *"&amp;Tablo7[[#This Row],[Müştəri]]&amp;"*  ,Sizin *"&amp;G221&amp;"* tarixli sifarişiniz qeydə alındı. Sifariş Məbləğı *"&amp;AM221&amp;" AZN* , Qalıq *"&amp;AP221&amp;" AZN* . Hörmətlə  *AlumPro*"</f>
        <v>Hörmətli *My Concept*  ,Sizin *02,12,2024* tarixli sifarişiniz qeydə alındı. Sifariş Məbləğı *300 AZN* , Qalıq *300 AZN* . Hörmətlə  *AlumPro*</v>
      </c>
      <c r="AV221" s="187" t="str">
        <f>"Hörmətli *"&amp;Tablo7[[#This Row],[Müştəri]]&amp;"* , sizin *"&amp;G221&amp;"* tarixli  sifarişiniz hazırdır . Bizi seçdiyiniz üçün minnətdarıq. Hörmətlə  *AlumPro*."</f>
        <v>Hörmətli *My Concept* , sizin *02,12,2024* tarixli  sifarişiniz hazırdır . Bizi seçdiyiniz üçün minnətdarıq. Hörmətlə  *AlumPro*.</v>
      </c>
      <c r="AW221" s="188" t="str">
        <f t="shared" si="80"/>
        <v>My</v>
      </c>
      <c r="AX221" s="189" t="str">
        <f t="shared" si="79"/>
        <v xml:space="preserve">My </v>
      </c>
    </row>
    <row r="222" spans="4:50">
      <c r="D222" s="178">
        <v>109</v>
      </c>
      <c r="E222" s="179" t="s">
        <v>649</v>
      </c>
      <c r="F222" s="179" t="s">
        <v>339</v>
      </c>
      <c r="G222" s="212" t="s">
        <v>648</v>
      </c>
      <c r="H222" s="179" t="s">
        <v>158</v>
      </c>
      <c r="I222" s="179" t="s">
        <v>159</v>
      </c>
      <c r="J222" s="179"/>
      <c r="K222" s="179" t="s">
        <v>194</v>
      </c>
      <c r="L222" s="179"/>
      <c r="M222" s="179" t="str">
        <f>_xlfn.XLOOKUP(Tablo7[[#This Row],[Yan Profili]],Anbar!$J$3:$J$1000,Anbar!$H$3:$H$1000,"Tapilmadi")</f>
        <v>Tapilmadi</v>
      </c>
      <c r="N222" s="179">
        <v>2</v>
      </c>
      <c r="O222" s="179">
        <v>46</v>
      </c>
      <c r="P222" s="179" t="s">
        <v>195</v>
      </c>
      <c r="Q222" s="179" t="str">
        <f>_xlfn.XLOOKUP(Tablo7[[#This Row],[Qulp növü]],Anbar!$J$3:$J$1000,Anbar!$H$3:$H$1000,"Tapilmadi")</f>
        <v>Tapilmadi</v>
      </c>
      <c r="R222" s="179">
        <v>0</v>
      </c>
      <c r="S222" s="180">
        <v>0</v>
      </c>
      <c r="T222" s="181" t="s">
        <v>196</v>
      </c>
      <c r="U222" s="179" t="str">
        <f>_xlfn.XLOOKUP(Tablo7[[#This Row],[Petlə]],Anbar!$J$3:$J$1000,Anbar!$H$3:$H$1000,"Tapilmadi")</f>
        <v>Tapilmadi</v>
      </c>
      <c r="V222" s="181">
        <v>4</v>
      </c>
      <c r="W222" s="180">
        <v>16</v>
      </c>
      <c r="X222" s="269">
        <v>0</v>
      </c>
      <c r="Y222" s="179" t="s">
        <v>36</v>
      </c>
      <c r="Z222" s="182"/>
      <c r="AA222" s="180">
        <v>17</v>
      </c>
      <c r="AB222" s="180"/>
      <c r="AC222" s="179" t="str">
        <f>_xlfn.XLOOKUP(Tablo7[[#This Row],[Bağlantı]],Anbar!$J$3:$J$1000,Anbar!$H$3:$H$1000,"Tapilmadi")</f>
        <v>Tapilmadi</v>
      </c>
      <c r="AD222" s="179"/>
      <c r="AE222" s="180">
        <v>16</v>
      </c>
      <c r="AF222" s="180"/>
      <c r="AG222" s="179" t="str">
        <f>_xlfn.XLOOKUP(Tablo7[[#This Row],[Mexanizm]],Anbar!$J$3:$J$1000,Anbar!$H$3:$H$1000,"Tapilmadi")</f>
        <v>Tapilmadi</v>
      </c>
      <c r="AH222" s="179">
        <v>1</v>
      </c>
      <c r="AI222" s="180">
        <v>0</v>
      </c>
      <c r="AJ222" s="180">
        <v>8</v>
      </c>
      <c r="AK222" s="180">
        <v>30</v>
      </c>
      <c r="AL222" s="180">
        <v>0</v>
      </c>
      <c r="AM222" s="180">
        <v>133</v>
      </c>
      <c r="AN222" s="180"/>
      <c r="AO222" s="180">
        <v>0</v>
      </c>
      <c r="AP222" s="194">
        <f>Tablo7[[#This Row],[Ümumi məbləğ]]-Tablo7[[#This Row],[Ödəniş]]-Tablo7[[#This Row],[Endirim]]</f>
        <v>133</v>
      </c>
      <c r="AQ222" s="183" t="str">
        <f t="shared" si="77"/>
        <v>Mesaj</v>
      </c>
      <c r="AR222" s="183" t="str">
        <f t="shared" si="78"/>
        <v>Mesaj</v>
      </c>
      <c r="AS222" s="184" t="str">
        <f>IF(ISNA(VLOOKUP(Tablo7[[#This Row],[Sifariş kodu]],'Kəsim ve təhvil'!$E$5:$E1220,1,0)),"Qəbul edilməyib","Qəbul edilib")</f>
        <v>Qəbul edilməyib</v>
      </c>
      <c r="AT222" s="185" t="str">
        <f>IF(ISNA(VLOOKUP(Tablo7[[#This Row],[Sifariş kodu]],'Kəsim ve təhvil'!$H$5:$H1220,1,0)),"Anbardadır","Təhvil verilib")</f>
        <v>Anbardadır</v>
      </c>
      <c r="AU222" s="186" t="str">
        <f>"Hörmətli *"&amp;Tablo7[[#This Row],[Müştəri]]&amp;"*  ,Sizin *"&amp;G222&amp;"* tarixli sifarişiniz qeydə alındı. Sifariş Məbləğı *"&amp;AM222&amp;" AZN* , Qalıq *"&amp;AP222&amp;" AZN* . Hörmətlə  *AlumPro*"</f>
        <v>Hörmətli *My Concept*  ,Sizin *02,12,2024* tarixli sifarişiniz qeydə alındı. Sifariş Məbləğı *133 AZN* , Qalıq *133 AZN* . Hörmətlə  *AlumPro*</v>
      </c>
      <c r="AV222" s="187" t="str">
        <f>"Hörmətli *"&amp;Tablo7[[#This Row],[Müştəri]]&amp;"* , sizin *"&amp;G222&amp;"* tarixli  sifarişiniz hazırdır . Bizi seçdiyiniz üçün minnətdarıq. Hörmətlə  *AlumPro*."</f>
        <v>Hörmətli *My Concept* , sizin *02,12,2024* tarixli  sifarişiniz hazırdır . Bizi seçdiyiniz üçün minnətdarıq. Hörmətlə  *AlumPro*.</v>
      </c>
      <c r="AW222" s="188" t="str">
        <f t="shared" si="80"/>
        <v>My</v>
      </c>
      <c r="AX222" s="189" t="str">
        <f t="shared" si="79"/>
        <v xml:space="preserve">My </v>
      </c>
    </row>
    <row r="223" spans="4:50">
      <c r="D223" s="178">
        <v>108</v>
      </c>
      <c r="E223" s="179" t="s">
        <v>650</v>
      </c>
      <c r="F223" s="179" t="s">
        <v>339</v>
      </c>
      <c r="G223" s="212" t="s">
        <v>648</v>
      </c>
      <c r="H223" s="179" t="s">
        <v>158</v>
      </c>
      <c r="I223" s="179" t="s">
        <v>159</v>
      </c>
      <c r="J223" s="179"/>
      <c r="K223" s="179" t="s">
        <v>194</v>
      </c>
      <c r="L223" s="179"/>
      <c r="M223" s="179" t="str">
        <f>_xlfn.XLOOKUP(Tablo7[[#This Row],[Yan Profili]],Anbar!$J$3:$J$1000,Anbar!$H$3:$H$1000,"Tapilmadi")</f>
        <v>Tapilmadi</v>
      </c>
      <c r="N223" s="179">
        <v>4</v>
      </c>
      <c r="O223" s="179">
        <v>92</v>
      </c>
      <c r="P223" s="179" t="s">
        <v>184</v>
      </c>
      <c r="Q223" s="179" t="str">
        <f>_xlfn.XLOOKUP(Tablo7[[#This Row],[Qulp növü]],Anbar!$J$3:$J$1000,Anbar!$H$3:$H$1000,"Tapilmadi")</f>
        <v>Tapilmadi</v>
      </c>
      <c r="R223" s="179">
        <v>2</v>
      </c>
      <c r="S223" s="180">
        <v>52</v>
      </c>
      <c r="T223" s="181" t="s">
        <v>196</v>
      </c>
      <c r="U223" s="179" t="str">
        <f>_xlfn.XLOOKUP(Tablo7[[#This Row],[Petlə]],Anbar!$J$3:$J$1000,Anbar!$H$3:$H$1000,"Tapilmadi")</f>
        <v>Tapilmadi</v>
      </c>
      <c r="V223" s="181">
        <v>8</v>
      </c>
      <c r="W223" s="180">
        <v>32</v>
      </c>
      <c r="X223" s="269">
        <v>0</v>
      </c>
      <c r="Y223" s="179" t="s">
        <v>36</v>
      </c>
      <c r="Z223" s="182"/>
      <c r="AA223" s="180">
        <v>51</v>
      </c>
      <c r="AB223" s="180"/>
      <c r="AC223" s="179" t="str">
        <f>_xlfn.XLOOKUP(Tablo7[[#This Row],[Bağlantı]],Anbar!$J$3:$J$1000,Anbar!$H$3:$H$1000,"Tapilmadi")</f>
        <v>Tapilmadi</v>
      </c>
      <c r="AD223" s="179"/>
      <c r="AE223" s="180">
        <v>16</v>
      </c>
      <c r="AF223" s="180"/>
      <c r="AG223" s="179" t="str">
        <f>_xlfn.XLOOKUP(Tablo7[[#This Row],[Mexanizm]],Anbar!$J$3:$J$1000,Anbar!$H$3:$H$1000,"Tapilmadi")</f>
        <v>Tapilmadi</v>
      </c>
      <c r="AH223" s="179">
        <v>1</v>
      </c>
      <c r="AI223" s="180">
        <v>0</v>
      </c>
      <c r="AJ223" s="180">
        <v>16</v>
      </c>
      <c r="AK223" s="180">
        <v>30</v>
      </c>
      <c r="AL223" s="180">
        <v>0</v>
      </c>
      <c r="AM223" s="180">
        <v>289</v>
      </c>
      <c r="AN223" s="180"/>
      <c r="AO223" s="180">
        <v>0</v>
      </c>
      <c r="AP223" s="194">
        <f>Tablo7[[#This Row],[Ümumi məbləğ]]-Tablo7[[#This Row],[Ödəniş]]-Tablo7[[#This Row],[Endirim]]</f>
        <v>289</v>
      </c>
      <c r="AQ223" s="183" t="str">
        <f t="shared" si="77"/>
        <v>Mesaj</v>
      </c>
      <c r="AR223" s="183" t="str">
        <f t="shared" si="78"/>
        <v>Mesaj</v>
      </c>
      <c r="AS223" s="184" t="str">
        <f>IF(ISNA(VLOOKUP(Tablo7[[#This Row],[Sifariş kodu]],'Kəsim ve təhvil'!$E$5:$E1221,1,0)),"Qəbul edilməyib","Qəbul edilib")</f>
        <v>Qəbul edilməyib</v>
      </c>
      <c r="AT223" s="185" t="str">
        <f>IF(ISNA(VLOOKUP(Tablo7[[#This Row],[Sifariş kodu]],'Kəsim ve təhvil'!$H$5:$H1221,1,0)),"Anbardadır","Təhvil verilib")</f>
        <v>Anbardadır</v>
      </c>
      <c r="AU223" s="186" t="str">
        <f>"Hörmətli *"&amp;Tablo7[[#This Row],[Müştəri]]&amp;"*  ,Sizin *"&amp;G223&amp;"* tarixli sifarişiniz qeydə alındı. Sifariş Məbləğı *"&amp;AM223&amp;" AZN* , Qalıq *"&amp;AP223&amp;" AZN* . Hörmətlə  *AlumPro*"</f>
        <v>Hörmətli *My Concept*  ,Sizin *02,12,2024* tarixli sifarişiniz qeydə alındı. Sifariş Məbləğı *289 AZN* , Qalıq *289 AZN* . Hörmətlə  *AlumPro*</v>
      </c>
      <c r="AV223" s="187" t="str">
        <f>"Hörmətli *"&amp;Tablo7[[#This Row],[Müştəri]]&amp;"* , sizin *"&amp;G223&amp;"* tarixli  sifarişiniz hazırdır . Bizi seçdiyiniz üçün minnətdarıq. Hörmətlə  *AlumPro*."</f>
        <v>Hörmətli *My Concept* , sizin *02,12,2024* tarixli  sifarişiniz hazırdır . Bizi seçdiyiniz üçün minnətdarıq. Hörmətlə  *AlumPro*.</v>
      </c>
      <c r="AW223" s="188" t="str">
        <f t="shared" si="80"/>
        <v>My</v>
      </c>
      <c r="AX223" s="189" t="str">
        <f t="shared" si="79"/>
        <v xml:space="preserve">My </v>
      </c>
    </row>
    <row r="224" spans="4:50">
      <c r="D224" s="178">
        <v>107</v>
      </c>
      <c r="E224" s="179" t="s">
        <v>651</v>
      </c>
      <c r="F224" s="179" t="s">
        <v>339</v>
      </c>
      <c r="G224" s="212" t="s">
        <v>648</v>
      </c>
      <c r="H224" s="179" t="s">
        <v>192</v>
      </c>
      <c r="I224" s="179" t="s">
        <v>193</v>
      </c>
      <c r="J224" s="179"/>
      <c r="K224" s="179" t="s">
        <v>183</v>
      </c>
      <c r="L224" s="179"/>
      <c r="M224" s="179" t="str">
        <f>_xlfn.XLOOKUP(Tablo7[[#This Row],[Yan Profili]],Anbar!$J$3:$J$1000,Anbar!$H$3:$H$1000,"Tapilmadi")</f>
        <v>Tapilmadi</v>
      </c>
      <c r="N224" s="179">
        <v>3</v>
      </c>
      <c r="O224" s="179">
        <v>69</v>
      </c>
      <c r="P224" s="179" t="s">
        <v>184</v>
      </c>
      <c r="Q224" s="179" t="str">
        <f>_xlfn.XLOOKUP(Tablo7[[#This Row],[Qulp növü]],Anbar!$J$3:$J$1000,Anbar!$H$3:$H$1000,"Tapilmadi")</f>
        <v>Tapilmadi</v>
      </c>
      <c r="R224" s="179">
        <v>1</v>
      </c>
      <c r="S224" s="180">
        <v>26</v>
      </c>
      <c r="T224" s="181"/>
      <c r="U224" s="179" t="str">
        <f>_xlfn.XLOOKUP(Tablo7[[#This Row],[Petlə]],Anbar!$J$3:$J$1000,Anbar!$H$3:$H$1000,"Tapilmadi")</f>
        <v>Tapilmadi</v>
      </c>
      <c r="V224" s="181">
        <v>0</v>
      </c>
      <c r="W224" s="180">
        <v>0</v>
      </c>
      <c r="X224" s="269">
        <v>12</v>
      </c>
      <c r="Y224" s="179" t="s">
        <v>36</v>
      </c>
      <c r="Z224" s="182"/>
      <c r="AA224" s="180">
        <v>36</v>
      </c>
      <c r="AB224" s="180"/>
      <c r="AC224" s="179" t="str">
        <f>_xlfn.XLOOKUP(Tablo7[[#This Row],[Bağlantı]],Anbar!$J$3:$J$1000,Anbar!$H$3:$H$1000,"Tapilmadi")</f>
        <v>Tapilmadi</v>
      </c>
      <c r="AD224" s="179"/>
      <c r="AE224" s="180">
        <v>16</v>
      </c>
      <c r="AF224" s="180"/>
      <c r="AG224" s="179" t="str">
        <f>_xlfn.XLOOKUP(Tablo7[[#This Row],[Mexanizm]],Anbar!$J$3:$J$1000,Anbar!$H$3:$H$1000,"Tapilmadi")</f>
        <v>Tapilmadi</v>
      </c>
      <c r="AH224" s="179">
        <v>1</v>
      </c>
      <c r="AI224" s="180">
        <v>0</v>
      </c>
      <c r="AJ224" s="180">
        <v>8</v>
      </c>
      <c r="AK224" s="180">
        <v>40</v>
      </c>
      <c r="AL224" s="180">
        <v>0</v>
      </c>
      <c r="AM224" s="180">
        <v>207</v>
      </c>
      <c r="AN224" s="180"/>
      <c r="AO224" s="180">
        <v>207</v>
      </c>
      <c r="AP224" s="194">
        <f>Tablo7[[#This Row],[Ümumi məbləğ]]-Tablo7[[#This Row],[Ödəniş]]-Tablo7[[#This Row],[Endirim]]</f>
        <v>0</v>
      </c>
      <c r="AQ224" s="183" t="str">
        <f t="shared" si="77"/>
        <v>Mesaj</v>
      </c>
      <c r="AR224" s="183" t="str">
        <f t="shared" si="78"/>
        <v>Mesaj</v>
      </c>
      <c r="AS224" s="184" t="str">
        <f>IF(ISNA(VLOOKUP(Tablo7[[#This Row],[Sifariş kodu]],'Kəsim ve təhvil'!$E$5:$E1222,1,0)),"Qəbul edilməyib","Qəbul edilib")</f>
        <v>Qəbul edilməyib</v>
      </c>
      <c r="AT224" s="185" t="str">
        <f>IF(ISNA(VLOOKUP(Tablo7[[#This Row],[Sifariş kodu]],'Kəsim ve təhvil'!$H$5:$H1222,1,0)),"Anbardadır","Təhvil verilib")</f>
        <v>Anbardadır</v>
      </c>
      <c r="AU224" s="186" t="str">
        <f>"Hörmətli *"&amp;Tablo7[[#This Row],[Müştəri]]&amp;"*  ,Sizin *"&amp;G224&amp;"* tarixli sifarişiniz qeydə alındı. Sifariş Məbləğı *"&amp;AM224&amp;" AZN* , Qalıq *"&amp;AP224&amp;" AZN* . Hörmətlə  *AlumPro*"</f>
        <v>Hörmətli *Aksin Mahmudov*  ,Sizin *02,12,2024* tarixli sifarişiniz qeydə alındı. Sifariş Məbləğı *207 AZN* , Qalıq *0 AZN* . Hörmətlə  *AlumPro*</v>
      </c>
      <c r="AV224" s="187" t="str">
        <f>"Hörmətli *"&amp;Tablo7[[#This Row],[Müştəri]]&amp;"* , sizin *"&amp;G224&amp;"* tarixli  sifarişiniz hazırdır . Bizi seçdiyiniz üçün minnətdarıq. Hörmətlə  *AlumPro*."</f>
        <v>Hörmətli *Aksin Mahmudov* , sizin *02,12,2024* tarixli  sifarişiniz hazırdır . Bizi seçdiyiniz üçün minnətdarıq. Hörmətlə  *AlumPro*.</v>
      </c>
      <c r="AW224" s="188" t="str">
        <f t="shared" si="80"/>
        <v>Aksin</v>
      </c>
      <c r="AX224" s="189" t="str">
        <f t="shared" si="79"/>
        <v xml:space="preserve">Aksin </v>
      </c>
    </row>
    <row r="225" spans="4:50">
      <c r="D225" s="178">
        <v>106</v>
      </c>
      <c r="E225" s="179" t="s">
        <v>652</v>
      </c>
      <c r="F225" s="179" t="s">
        <v>339</v>
      </c>
      <c r="G225" s="212" t="s">
        <v>648</v>
      </c>
      <c r="H225" s="179" t="s">
        <v>653</v>
      </c>
      <c r="I225" s="179">
        <v>0</v>
      </c>
      <c r="J225" s="179"/>
      <c r="K225" s="179" t="s">
        <v>183</v>
      </c>
      <c r="L225" s="179"/>
      <c r="M225" s="179" t="str">
        <f>_xlfn.XLOOKUP(Tablo7[[#This Row],[Yan Profili]],Anbar!$J$3:$J$1000,Anbar!$H$3:$H$1000,"Tapilmadi")</f>
        <v>Tapilmadi</v>
      </c>
      <c r="N225" s="179">
        <v>2</v>
      </c>
      <c r="O225" s="179">
        <v>46</v>
      </c>
      <c r="P225" s="179" t="s">
        <v>184</v>
      </c>
      <c r="Q225" s="179" t="str">
        <f>_xlfn.XLOOKUP(Tablo7[[#This Row],[Qulp növü]],Anbar!$J$3:$J$1000,Anbar!$H$3:$H$1000,"Tapilmadi")</f>
        <v>Tapilmadi</v>
      </c>
      <c r="R225" s="179">
        <v>1</v>
      </c>
      <c r="S225" s="180">
        <v>26</v>
      </c>
      <c r="T225" s="181"/>
      <c r="U225" s="179" t="str">
        <f>_xlfn.XLOOKUP(Tablo7[[#This Row],[Petlə]],Anbar!$J$3:$J$1000,Anbar!$H$3:$H$1000,"Tapilmadi")</f>
        <v>Tapilmadi</v>
      </c>
      <c r="V225" s="181">
        <v>0</v>
      </c>
      <c r="W225" s="180">
        <v>0</v>
      </c>
      <c r="X225" s="269">
        <v>0</v>
      </c>
      <c r="Y225" s="179" t="s">
        <v>199</v>
      </c>
      <c r="Z225" s="182"/>
      <c r="AA225" s="180">
        <v>24</v>
      </c>
      <c r="AB225" s="180"/>
      <c r="AC225" s="179" t="str">
        <f>_xlfn.XLOOKUP(Tablo7[[#This Row],[Bağlantı]],Anbar!$J$3:$J$1000,Anbar!$H$3:$H$1000,"Tapilmadi")</f>
        <v>Tapilmadi</v>
      </c>
      <c r="AD225" s="179"/>
      <c r="AE225" s="180">
        <v>4</v>
      </c>
      <c r="AF225" s="180"/>
      <c r="AG225" s="179" t="str">
        <f>_xlfn.XLOOKUP(Tablo7[[#This Row],[Mexanizm]],Anbar!$J$3:$J$1000,Anbar!$H$3:$H$1000,"Tapilmadi")</f>
        <v>Tapilmadi</v>
      </c>
      <c r="AH225" s="179">
        <v>1</v>
      </c>
      <c r="AI225" s="180">
        <v>0</v>
      </c>
      <c r="AJ225" s="180">
        <v>4</v>
      </c>
      <c r="AK225" s="180">
        <v>15</v>
      </c>
      <c r="AL225" s="180">
        <v>0</v>
      </c>
      <c r="AM225" s="180">
        <v>119</v>
      </c>
      <c r="AN225" s="180"/>
      <c r="AO225" s="180">
        <v>119</v>
      </c>
      <c r="AP225" s="194">
        <f>Tablo7[[#This Row],[Ümumi məbləğ]]-Tablo7[[#This Row],[Ödəniş]]-Tablo7[[#This Row],[Endirim]]</f>
        <v>0</v>
      </c>
      <c r="AQ225" s="183" t="str">
        <f t="shared" si="77"/>
        <v>Mesaj</v>
      </c>
      <c r="AR225" s="183" t="str">
        <f t="shared" si="78"/>
        <v>Mesaj</v>
      </c>
      <c r="AS225" s="184" t="str">
        <f>IF(ISNA(VLOOKUP(Tablo7[[#This Row],[Sifariş kodu]],'Kəsim ve təhvil'!$E$5:$E1223,1,0)),"Qəbul edilməyib","Qəbul edilib")</f>
        <v>Qəbul edilməyib</v>
      </c>
      <c r="AT225" s="185" t="str">
        <f>IF(ISNA(VLOOKUP(Tablo7[[#This Row],[Sifariş kodu]],'Kəsim ve təhvil'!$H$5:$H1223,1,0)),"Anbardadır","Təhvil verilib")</f>
        <v>Anbardadır</v>
      </c>
      <c r="AU225" s="186" t="str">
        <f>"Hörmətli *"&amp;Tablo7[[#This Row],[Müştəri]]&amp;"*  ,Sizin *"&amp;G225&amp;"* tarixli sifarişiniz qeydə alındı. Sifariş Məbləğı *"&amp;AM225&amp;" AZN* , Qalıq *"&amp;AP225&amp;" AZN* . Hörmətlə  *AlumPro*"</f>
        <v>Hörmətli * Ramin Klent*  ,Sizin *02,12,2024* tarixli sifarişiniz qeydə alındı. Sifariş Məbləğı *119 AZN* , Qalıq *0 AZN* . Hörmətlə  *AlumPro*</v>
      </c>
      <c r="AV225" s="187" t="str">
        <f>"Hörmətli *"&amp;Tablo7[[#This Row],[Müştəri]]&amp;"* , sizin *"&amp;G225&amp;"* tarixli  sifarişiniz hazırdır . Bizi seçdiyiniz üçün minnətdarıq. Hörmətlə  *AlumPro*."</f>
        <v>Hörmətli * Ramin Klent* , sizin *02,12,2024* tarixli  sifarişiniz hazırdır . Bizi seçdiyiniz üçün minnətdarıq. Hörmətlə  *AlumPro*.</v>
      </c>
      <c r="AW225" s="188" t="str">
        <f t="shared" si="80"/>
        <v/>
      </c>
      <c r="AX225" s="189" t="str">
        <f t="shared" si="79"/>
        <v xml:space="preserve"> </v>
      </c>
    </row>
    <row r="226" spans="4:50">
      <c r="D226" s="178">
        <v>105</v>
      </c>
      <c r="E226" s="179" t="s">
        <v>654</v>
      </c>
      <c r="F226" s="179" t="s">
        <v>339</v>
      </c>
      <c r="G226" s="212" t="s">
        <v>648</v>
      </c>
      <c r="H226" s="179" t="s">
        <v>242</v>
      </c>
      <c r="I226" s="179" t="s">
        <v>243</v>
      </c>
      <c r="J226" s="179"/>
      <c r="K226" s="179" t="s">
        <v>226</v>
      </c>
      <c r="L226" s="179"/>
      <c r="M226" s="179">
        <f>_xlfn.XLOOKUP(Tablo7[[#This Row],[Yan Profili]],Anbar!$J$3:$J$1000,Anbar!$H$3:$H$1000,"Tapilmadi")</f>
        <v>0</v>
      </c>
      <c r="N226" s="179">
        <v>2</v>
      </c>
      <c r="O226" s="179">
        <v>66</v>
      </c>
      <c r="P226" s="179" t="s">
        <v>184</v>
      </c>
      <c r="Q226" s="179" t="str">
        <f>_xlfn.XLOOKUP(Tablo7[[#This Row],[Qulp növü]],Anbar!$J$3:$J$1000,Anbar!$H$3:$H$1000,"Tapilmadi")</f>
        <v>Tapilmadi</v>
      </c>
      <c r="R226" s="179">
        <v>1</v>
      </c>
      <c r="S226" s="180">
        <v>36</v>
      </c>
      <c r="T226" s="181" t="s">
        <v>196</v>
      </c>
      <c r="U226" s="179" t="str">
        <f>_xlfn.XLOOKUP(Tablo7[[#This Row],[Petlə]],Anbar!$J$3:$J$1000,Anbar!$H$3:$H$1000,"Tapilmadi")</f>
        <v>Tapilmadi</v>
      </c>
      <c r="V226" s="181">
        <v>7</v>
      </c>
      <c r="W226" s="180">
        <v>28</v>
      </c>
      <c r="X226" s="269">
        <v>0</v>
      </c>
      <c r="Y226" s="179" t="s">
        <v>199</v>
      </c>
      <c r="Z226" s="182"/>
      <c r="AA226" s="180">
        <v>48</v>
      </c>
      <c r="AB226" s="180"/>
      <c r="AC226" s="179" t="str">
        <f>_xlfn.XLOOKUP(Tablo7[[#This Row],[Bağlantı]],Anbar!$J$3:$J$1000,Anbar!$H$3:$H$1000,"Tapilmadi")</f>
        <v>Tapilmadi</v>
      </c>
      <c r="AD226" s="179"/>
      <c r="AE226" s="180">
        <v>16</v>
      </c>
      <c r="AF226" s="180"/>
      <c r="AG226" s="179" t="str">
        <f>_xlfn.XLOOKUP(Tablo7[[#This Row],[Mexanizm]],Anbar!$J$3:$J$1000,Anbar!$H$3:$H$1000,"Tapilmadi")</f>
        <v>Tapilmadi</v>
      </c>
      <c r="AH226" s="179">
        <v>1</v>
      </c>
      <c r="AI226" s="180">
        <v>0</v>
      </c>
      <c r="AJ226" s="180">
        <v>14</v>
      </c>
      <c r="AK226" s="180">
        <v>30</v>
      </c>
      <c r="AL226" s="180">
        <v>0</v>
      </c>
      <c r="AM226" s="180">
        <v>238</v>
      </c>
      <c r="AN226" s="180"/>
      <c r="AO226" s="180">
        <v>0</v>
      </c>
      <c r="AP226" s="194">
        <f>Tablo7[[#This Row],[Ümumi məbləğ]]-Tablo7[[#This Row],[Ödəniş]]-Tablo7[[#This Row],[Endirim]]</f>
        <v>238</v>
      </c>
      <c r="AQ226" s="183" t="str">
        <f t="shared" si="77"/>
        <v>Mesaj</v>
      </c>
      <c r="AR226" s="183" t="str">
        <f t="shared" si="78"/>
        <v>Mesaj</v>
      </c>
      <c r="AS226" s="184" t="str">
        <f>IF(ISNA(VLOOKUP(Tablo7[[#This Row],[Sifariş kodu]],'Kəsim ve təhvil'!$E$5:$E1224,1,0)),"Qəbul edilməyib","Qəbul edilib")</f>
        <v>Qəbul edilməyib</v>
      </c>
      <c r="AT226" s="185" t="str">
        <f>IF(ISNA(VLOOKUP(Tablo7[[#This Row],[Sifariş kodu]],'Kəsim ve təhvil'!$H$5:$H1224,1,0)),"Anbardadır","Təhvil verilib")</f>
        <v>Anbardadır</v>
      </c>
      <c r="AU226" s="186" t="str">
        <f>"Hörmətli *"&amp;Tablo7[[#This Row],[Müştəri]]&amp;"*  ,Sizin *"&amp;G226&amp;"* tarixli sifarişiniz qeydə alındı. Sifariş Məbləğı *"&amp;AM226&amp;" AZN* , Qalıq *"&amp;AP226&amp;" AZN* . Hörmətlə  *AlumPro*"</f>
        <v>Hörmətli *Mutfakci Maliyye*  ,Sizin *02,12,2024* tarixli sifarişiniz qeydə alındı. Sifariş Məbləğı *238 AZN* , Qalıq *238 AZN* . Hörmətlə  *AlumPro*</v>
      </c>
      <c r="AV226" s="187" t="str">
        <f>"Hörmətli *"&amp;Tablo7[[#This Row],[Müştəri]]&amp;"* , sizin *"&amp;G226&amp;"* tarixli  sifarişiniz hazırdır . Bizi seçdiyiniz üçün minnətdarıq. Hörmətlə  *AlumPro*."</f>
        <v>Hörmətli *Mutfakci Maliyye* , sizin *02,12,2024* tarixli  sifarişiniz hazırdır . Bizi seçdiyiniz üçün minnətdarıq. Hörmətlə  *AlumPro*.</v>
      </c>
      <c r="AW226" s="188" t="str">
        <f t="shared" si="80"/>
        <v>Mutfakci</v>
      </c>
      <c r="AX226" s="189" t="str">
        <f t="shared" si="79"/>
        <v xml:space="preserve">Mutfakci </v>
      </c>
    </row>
    <row r="227" spans="4:50">
      <c r="D227" s="178">
        <v>104</v>
      </c>
      <c r="E227" s="179" t="s">
        <v>655</v>
      </c>
      <c r="F227" s="179" t="s">
        <v>339</v>
      </c>
      <c r="G227" s="212" t="s">
        <v>648</v>
      </c>
      <c r="H227" s="179" t="s">
        <v>242</v>
      </c>
      <c r="I227" s="179" t="s">
        <v>243</v>
      </c>
      <c r="J227" s="179"/>
      <c r="K227" s="179" t="s">
        <v>278</v>
      </c>
      <c r="L227" s="179"/>
      <c r="M227" s="179" t="str">
        <f>_xlfn.XLOOKUP(Tablo7[[#This Row],[Yan Profili]],Anbar!$J$3:$J$1000,Anbar!$H$3:$H$1000,"Tapilmadi")</f>
        <v>Tapilmadi</v>
      </c>
      <c r="N227" s="179">
        <v>6</v>
      </c>
      <c r="O227" s="179">
        <v>198</v>
      </c>
      <c r="P227" s="179" t="s">
        <v>184</v>
      </c>
      <c r="Q227" s="179" t="str">
        <f>_xlfn.XLOOKUP(Tablo7[[#This Row],[Qulp növü]],Anbar!$J$3:$J$1000,Anbar!$H$3:$H$1000,"Tapilmadi")</f>
        <v>Tapilmadi</v>
      </c>
      <c r="R227" s="179">
        <v>4</v>
      </c>
      <c r="S227" s="180">
        <v>144</v>
      </c>
      <c r="T227" s="181" t="s">
        <v>196</v>
      </c>
      <c r="U227" s="179" t="str">
        <f>_xlfn.XLOOKUP(Tablo7[[#This Row],[Petlə]],Anbar!$J$3:$J$1000,Anbar!$H$3:$H$1000,"Tapilmadi")</f>
        <v>Tapilmadi</v>
      </c>
      <c r="V227" s="181">
        <v>18</v>
      </c>
      <c r="W227" s="180">
        <v>72</v>
      </c>
      <c r="X227" s="269">
        <v>0</v>
      </c>
      <c r="Y227" s="179" t="s">
        <v>36</v>
      </c>
      <c r="Z227" s="182"/>
      <c r="AA227" s="180">
        <v>110</v>
      </c>
      <c r="AB227" s="180"/>
      <c r="AC227" s="179" t="str">
        <f>_xlfn.XLOOKUP(Tablo7[[#This Row],[Bağlantı]],Anbar!$J$3:$J$1000,Anbar!$H$3:$H$1000,"Tapilmadi")</f>
        <v>Tapilmadi</v>
      </c>
      <c r="AD227" s="179"/>
      <c r="AE227" s="180">
        <v>48</v>
      </c>
      <c r="AF227" s="180"/>
      <c r="AG227" s="179" t="str">
        <f>_xlfn.XLOOKUP(Tablo7[[#This Row],[Mexanizm]],Anbar!$J$3:$J$1000,Anbar!$H$3:$H$1000,"Tapilmadi")</f>
        <v>Tapilmadi</v>
      </c>
      <c r="AH227" s="179">
        <v>1</v>
      </c>
      <c r="AI227" s="180">
        <v>0</v>
      </c>
      <c r="AJ227" s="180">
        <v>36</v>
      </c>
      <c r="AK227" s="180">
        <v>90</v>
      </c>
      <c r="AL227" s="180">
        <v>0</v>
      </c>
      <c r="AM227" s="180">
        <v>698</v>
      </c>
      <c r="AN227" s="180"/>
      <c r="AO227" s="180">
        <v>0</v>
      </c>
      <c r="AP227" s="194">
        <f>Tablo7[[#This Row],[Ümumi məbləğ]]-Tablo7[[#This Row],[Ödəniş]]-Tablo7[[#This Row],[Endirim]]</f>
        <v>698</v>
      </c>
      <c r="AQ227" s="183" t="str">
        <f t="shared" si="77"/>
        <v>Mesaj</v>
      </c>
      <c r="AR227" s="183" t="str">
        <f t="shared" si="78"/>
        <v>Mesaj</v>
      </c>
      <c r="AS227" s="184" t="str">
        <f>IF(ISNA(VLOOKUP(Tablo7[[#This Row],[Sifariş kodu]],'Kəsim ve təhvil'!$E$5:$E1225,1,0)),"Qəbul edilməyib","Qəbul edilib")</f>
        <v>Qəbul edilməyib</v>
      </c>
      <c r="AT227" s="185" t="str">
        <f>IF(ISNA(VLOOKUP(Tablo7[[#This Row],[Sifariş kodu]],'Kəsim ve təhvil'!$H$5:$H1225,1,0)),"Anbardadır","Təhvil verilib")</f>
        <v>Anbardadır</v>
      </c>
      <c r="AU227" s="186" t="str">
        <f>"Hörmətli *"&amp;Tablo7[[#This Row],[Müştəri]]&amp;"*  ,Sizin *"&amp;G227&amp;"* tarixli sifarişiniz qeydə alındı. Sifariş Məbləğı *"&amp;AM227&amp;" AZN* , Qalıq *"&amp;AP227&amp;" AZN* . Hörmətlə  *AlumPro*"</f>
        <v>Hörmətli *Mutfakci Maliyye*  ,Sizin *02,12,2024* tarixli sifarişiniz qeydə alındı. Sifariş Məbləğı *698 AZN* , Qalıq *698 AZN* . Hörmətlə  *AlumPro*</v>
      </c>
      <c r="AV227" s="187" t="str">
        <f>"Hörmətli *"&amp;Tablo7[[#This Row],[Müştəri]]&amp;"* , sizin *"&amp;G227&amp;"* tarixli  sifarişiniz hazırdır . Bizi seçdiyiniz üçün minnətdarıq. Hörmətlə  *AlumPro*."</f>
        <v>Hörmətli *Mutfakci Maliyye* , sizin *02,12,2024* tarixli  sifarişiniz hazırdır . Bizi seçdiyiniz üçün minnətdarıq. Hörmətlə  *AlumPro*.</v>
      </c>
      <c r="AW227" s="188" t="str">
        <f t="shared" si="80"/>
        <v>Mutfakci</v>
      </c>
      <c r="AX227" s="189" t="str">
        <f t="shared" si="79"/>
        <v xml:space="preserve">Mutfakci </v>
      </c>
    </row>
    <row r="228" spans="4:50">
      <c r="D228" s="178">
        <v>103</v>
      </c>
      <c r="E228" s="179" t="s">
        <v>656</v>
      </c>
      <c r="F228" s="179" t="s">
        <v>339</v>
      </c>
      <c r="G228" s="212" t="s">
        <v>648</v>
      </c>
      <c r="H228" s="179" t="s">
        <v>242</v>
      </c>
      <c r="I228" s="179" t="s">
        <v>243</v>
      </c>
      <c r="J228" s="179"/>
      <c r="K228" s="179" t="s">
        <v>194</v>
      </c>
      <c r="L228" s="179"/>
      <c r="M228" s="179" t="str">
        <f>_xlfn.XLOOKUP(Tablo7[[#This Row],[Yan Profili]],Anbar!$J$3:$J$1000,Anbar!$H$3:$H$1000,"Tapilmadi")</f>
        <v>Tapilmadi</v>
      </c>
      <c r="N228" s="179">
        <v>5</v>
      </c>
      <c r="O228" s="179">
        <v>165</v>
      </c>
      <c r="P228" s="179" t="s">
        <v>184</v>
      </c>
      <c r="Q228" s="179" t="str">
        <f>_xlfn.XLOOKUP(Tablo7[[#This Row],[Qulp növü]],Anbar!$J$3:$J$1000,Anbar!$H$3:$H$1000,"Tapilmadi")</f>
        <v>Tapilmadi</v>
      </c>
      <c r="R228" s="179">
        <v>3</v>
      </c>
      <c r="S228" s="180">
        <v>108</v>
      </c>
      <c r="T228" s="181" t="s">
        <v>196</v>
      </c>
      <c r="U228" s="179" t="str">
        <f>_xlfn.XLOOKUP(Tablo7[[#This Row],[Petlə]],Anbar!$J$3:$J$1000,Anbar!$H$3:$H$1000,"Tapilmadi")</f>
        <v>Tapilmadi</v>
      </c>
      <c r="V228" s="181">
        <v>12</v>
      </c>
      <c r="W228" s="180">
        <v>48</v>
      </c>
      <c r="X228" s="269">
        <v>0</v>
      </c>
      <c r="Y228" s="179" t="s">
        <v>36</v>
      </c>
      <c r="Z228" s="182"/>
      <c r="AA228" s="180">
        <v>94</v>
      </c>
      <c r="AB228" s="180"/>
      <c r="AC228" s="179" t="str">
        <f>_xlfn.XLOOKUP(Tablo7[[#This Row],[Bağlantı]],Anbar!$J$3:$J$1000,Anbar!$H$3:$H$1000,"Tapilmadi")</f>
        <v>Tapilmadi</v>
      </c>
      <c r="AD228" s="179"/>
      <c r="AE228" s="180">
        <v>24</v>
      </c>
      <c r="AF228" s="180"/>
      <c r="AG228" s="179" t="str">
        <f>_xlfn.XLOOKUP(Tablo7[[#This Row],[Mexanizm]],Anbar!$J$3:$J$1000,Anbar!$H$3:$H$1000,"Tapilmadi")</f>
        <v>Tapilmadi</v>
      </c>
      <c r="AH228" s="179">
        <v>1</v>
      </c>
      <c r="AI228" s="180">
        <v>0</v>
      </c>
      <c r="AJ228" s="180">
        <v>24</v>
      </c>
      <c r="AK228" s="180">
        <v>45</v>
      </c>
      <c r="AL228" s="180">
        <v>0</v>
      </c>
      <c r="AM228" s="180">
        <v>508</v>
      </c>
      <c r="AN228" s="180"/>
      <c r="AO228" s="180">
        <v>0</v>
      </c>
      <c r="AP228" s="194">
        <f>Tablo7[[#This Row],[Ümumi məbləğ]]-Tablo7[[#This Row],[Ödəniş]]-Tablo7[[#This Row],[Endirim]]</f>
        <v>508</v>
      </c>
      <c r="AQ228" s="183" t="str">
        <f t="shared" si="77"/>
        <v>Mesaj</v>
      </c>
      <c r="AR228" s="183" t="str">
        <f t="shared" si="78"/>
        <v>Mesaj</v>
      </c>
      <c r="AS228" s="184" t="str">
        <f>IF(ISNA(VLOOKUP(Tablo7[[#This Row],[Sifariş kodu]],'Kəsim ve təhvil'!$E$5:$E1226,1,0)),"Qəbul edilməyib","Qəbul edilib")</f>
        <v>Qəbul edilməyib</v>
      </c>
      <c r="AT228" s="185" t="str">
        <f>IF(ISNA(VLOOKUP(Tablo7[[#This Row],[Sifariş kodu]],'Kəsim ve təhvil'!$H$5:$H1226,1,0)),"Anbardadır","Təhvil verilib")</f>
        <v>Anbardadır</v>
      </c>
      <c r="AU228" s="186" t="str">
        <f>"Hörmətli *"&amp;Tablo7[[#This Row],[Müştəri]]&amp;"*  ,Sizin *"&amp;G228&amp;"* tarixli sifarişiniz qeydə alındı. Sifariş Məbləğı *"&amp;AM228&amp;" AZN* , Qalıq *"&amp;AP228&amp;" AZN* . Hörmətlə  *AlumPro*"</f>
        <v>Hörmətli *Mutfakci Maliyye*  ,Sizin *02,12,2024* tarixli sifarişiniz qeydə alındı. Sifariş Məbləğı *508 AZN* , Qalıq *508 AZN* . Hörmətlə  *AlumPro*</v>
      </c>
      <c r="AV228" s="187" t="str">
        <f>"Hörmətli *"&amp;Tablo7[[#This Row],[Müştəri]]&amp;"* , sizin *"&amp;G228&amp;"* tarixli  sifarişiniz hazırdır . Bizi seçdiyiniz üçün minnətdarıq. Hörmətlə  *AlumPro*."</f>
        <v>Hörmətli *Mutfakci Maliyye* , sizin *02,12,2024* tarixli  sifarişiniz hazırdır . Bizi seçdiyiniz üçün minnətdarıq. Hörmətlə  *AlumPro*.</v>
      </c>
      <c r="AW228" s="188" t="str">
        <f t="shared" si="80"/>
        <v>Mutfakci</v>
      </c>
      <c r="AX228" s="189" t="str">
        <f t="shared" si="79"/>
        <v xml:space="preserve">Mutfakci </v>
      </c>
    </row>
    <row r="229" spans="4:50">
      <c r="D229" s="178">
        <v>102</v>
      </c>
      <c r="E229" s="179" t="s">
        <v>657</v>
      </c>
      <c r="F229" s="179" t="s">
        <v>339</v>
      </c>
      <c r="G229" s="212" t="s">
        <v>648</v>
      </c>
      <c r="H229" s="179" t="s">
        <v>242</v>
      </c>
      <c r="I229" s="179" t="s">
        <v>243</v>
      </c>
      <c r="J229" s="179"/>
      <c r="K229" s="179" t="s">
        <v>278</v>
      </c>
      <c r="L229" s="179"/>
      <c r="M229" s="179" t="str">
        <f>_xlfn.XLOOKUP(Tablo7[[#This Row],[Yan Profili]],Anbar!$J$3:$J$1000,Anbar!$H$3:$H$1000,"Tapilmadi")</f>
        <v>Tapilmadi</v>
      </c>
      <c r="N229" s="179">
        <v>6</v>
      </c>
      <c r="O229" s="179">
        <v>198</v>
      </c>
      <c r="P229" s="179" t="s">
        <v>195</v>
      </c>
      <c r="Q229" s="179" t="str">
        <f>_xlfn.XLOOKUP(Tablo7[[#This Row],[Qulp növü]],Anbar!$J$3:$J$1000,Anbar!$H$3:$H$1000,"Tapilmadi")</f>
        <v>Tapilmadi</v>
      </c>
      <c r="R229" s="179">
        <v>0</v>
      </c>
      <c r="S229" s="180">
        <v>0</v>
      </c>
      <c r="T229" s="181" t="s">
        <v>196</v>
      </c>
      <c r="U229" s="179" t="str">
        <f>_xlfn.XLOOKUP(Tablo7[[#This Row],[Petlə]],Anbar!$J$3:$J$1000,Anbar!$H$3:$H$1000,"Tapilmadi")</f>
        <v>Tapilmadi</v>
      </c>
      <c r="V229" s="181">
        <v>12</v>
      </c>
      <c r="W229" s="180">
        <v>48</v>
      </c>
      <c r="X229" s="269">
        <v>0</v>
      </c>
      <c r="Y229" s="179" t="s">
        <v>36</v>
      </c>
      <c r="Z229" s="182"/>
      <c r="AA229" s="180">
        <v>146</v>
      </c>
      <c r="AB229" s="180"/>
      <c r="AC229" s="179" t="str">
        <f>_xlfn.XLOOKUP(Tablo7[[#This Row],[Bağlantı]],Anbar!$J$3:$J$1000,Anbar!$H$3:$H$1000,"Tapilmadi")</f>
        <v>Tapilmadi</v>
      </c>
      <c r="AD229" s="179"/>
      <c r="AE229" s="180">
        <v>24</v>
      </c>
      <c r="AF229" s="180"/>
      <c r="AG229" s="179" t="str">
        <f>_xlfn.XLOOKUP(Tablo7[[#This Row],[Mexanizm]],Anbar!$J$3:$J$1000,Anbar!$H$3:$H$1000,"Tapilmadi")</f>
        <v>Tapilmadi</v>
      </c>
      <c r="AH229" s="179">
        <v>1</v>
      </c>
      <c r="AI229" s="180">
        <v>0</v>
      </c>
      <c r="AJ229" s="180">
        <v>48</v>
      </c>
      <c r="AK229" s="180">
        <v>45</v>
      </c>
      <c r="AL229" s="180">
        <v>0</v>
      </c>
      <c r="AM229" s="180">
        <v>509</v>
      </c>
      <c r="AN229" s="180"/>
      <c r="AO229" s="180">
        <v>245</v>
      </c>
      <c r="AP229" s="194">
        <f>Tablo7[[#This Row],[Ümumi məbləğ]]-Tablo7[[#This Row],[Ödəniş]]-Tablo7[[#This Row],[Endirim]]</f>
        <v>264</v>
      </c>
      <c r="AQ229" s="183" t="str">
        <f t="shared" si="77"/>
        <v>Mesaj</v>
      </c>
      <c r="AR229" s="183" t="str">
        <f t="shared" si="78"/>
        <v>Mesaj</v>
      </c>
      <c r="AS229" s="184" t="str">
        <f>IF(ISNA(VLOOKUP(Tablo7[[#This Row],[Sifariş kodu]],'Kəsim ve təhvil'!$E$5:$E1227,1,0)),"Qəbul edilməyib","Qəbul edilib")</f>
        <v>Qəbul edilməyib</v>
      </c>
      <c r="AT229" s="185" t="str">
        <f>IF(ISNA(VLOOKUP(Tablo7[[#This Row],[Sifariş kodu]],'Kəsim ve təhvil'!$H$5:$H1227,1,0)),"Anbardadır","Təhvil verilib")</f>
        <v>Anbardadır</v>
      </c>
      <c r="AU229" s="186" t="str">
        <f>"Hörmətli *"&amp;Tablo7[[#This Row],[Müştəri]]&amp;"*  ,Sizin *"&amp;G229&amp;"* tarixli sifarişiniz qeydə alındı. Sifariş Məbləğı *"&amp;AM229&amp;" AZN* , Qalıq *"&amp;AP229&amp;" AZN* . Hörmətlə  *AlumPro*"</f>
        <v>Hörmətli *Mutfakci Maliyye*  ,Sizin *02,12,2024* tarixli sifarişiniz qeydə alındı. Sifariş Məbləğı *509 AZN* , Qalıq *264 AZN* . Hörmətlə  *AlumPro*</v>
      </c>
      <c r="AV229" s="187" t="str">
        <f>"Hörmətli *"&amp;Tablo7[[#This Row],[Müştəri]]&amp;"* , sizin *"&amp;G229&amp;"* tarixli  sifarişiniz hazırdır . Bizi seçdiyiniz üçün minnətdarıq. Hörmətlə  *AlumPro*."</f>
        <v>Hörmətli *Mutfakci Maliyye* , sizin *02,12,2024* tarixli  sifarişiniz hazırdır . Bizi seçdiyiniz üçün minnətdarıq. Hörmətlə  *AlumPro*.</v>
      </c>
      <c r="AW229" s="188" t="str">
        <f t="shared" si="80"/>
        <v>Mutfakci</v>
      </c>
      <c r="AX229" s="189" t="str">
        <f t="shared" si="79"/>
        <v xml:space="preserve">Mutfakci </v>
      </c>
    </row>
    <row r="230" spans="4:50">
      <c r="D230" s="178">
        <v>101</v>
      </c>
      <c r="E230" s="179" t="s">
        <v>658</v>
      </c>
      <c r="F230" s="179" t="s">
        <v>339</v>
      </c>
      <c r="G230" s="212" t="s">
        <v>648</v>
      </c>
      <c r="H230" s="179" t="s">
        <v>659</v>
      </c>
      <c r="I230" s="179" t="s">
        <v>660</v>
      </c>
      <c r="J230" s="179"/>
      <c r="K230" s="179" t="s">
        <v>194</v>
      </c>
      <c r="L230" s="179"/>
      <c r="M230" s="179" t="str">
        <f>_xlfn.XLOOKUP(Tablo7[[#This Row],[Yan Profili]],Anbar!$J$3:$J$1000,Anbar!$H$3:$H$1000,"Tapilmadi")</f>
        <v>Tapilmadi</v>
      </c>
      <c r="N230" s="179">
        <v>2</v>
      </c>
      <c r="O230" s="179">
        <v>46</v>
      </c>
      <c r="P230" s="179" t="s">
        <v>184</v>
      </c>
      <c r="Q230" s="179" t="str">
        <f>_xlfn.XLOOKUP(Tablo7[[#This Row],[Qulp növü]],Anbar!$J$3:$J$1000,Anbar!$H$3:$H$1000,"Tapilmadi")</f>
        <v>Tapilmadi</v>
      </c>
      <c r="R230" s="179">
        <v>1</v>
      </c>
      <c r="S230" s="180">
        <v>26</v>
      </c>
      <c r="T230" s="181" t="s">
        <v>196</v>
      </c>
      <c r="U230" s="179" t="str">
        <f>_xlfn.XLOOKUP(Tablo7[[#This Row],[Petlə]],Anbar!$J$3:$J$1000,Anbar!$H$3:$H$1000,"Tapilmadi")</f>
        <v>Tapilmadi</v>
      </c>
      <c r="V230" s="181">
        <v>4</v>
      </c>
      <c r="W230" s="180">
        <v>16</v>
      </c>
      <c r="X230" s="269">
        <v>0</v>
      </c>
      <c r="Y230" s="179" t="s">
        <v>419</v>
      </c>
      <c r="Z230" s="182"/>
      <c r="AA230" s="180">
        <v>323</v>
      </c>
      <c r="AB230" s="180"/>
      <c r="AC230" s="179" t="str">
        <f>_xlfn.XLOOKUP(Tablo7[[#This Row],[Bağlantı]],Anbar!$J$3:$J$1000,Anbar!$H$3:$H$1000,"Tapilmadi")</f>
        <v>Tapilmadi</v>
      </c>
      <c r="AD230" s="179"/>
      <c r="AE230" s="180">
        <v>8</v>
      </c>
      <c r="AF230" s="180"/>
      <c r="AG230" s="179" t="str">
        <f>_xlfn.XLOOKUP(Tablo7[[#This Row],[Mexanizm]],Anbar!$J$3:$J$1000,Anbar!$H$3:$H$1000,"Tapilmadi")</f>
        <v>Tapilmadi</v>
      </c>
      <c r="AH230" s="179">
        <v>1</v>
      </c>
      <c r="AI230" s="180">
        <v>0</v>
      </c>
      <c r="AJ230" s="180">
        <v>8</v>
      </c>
      <c r="AK230" s="180">
        <v>15</v>
      </c>
      <c r="AL230" s="180">
        <v>6</v>
      </c>
      <c r="AM230" s="180">
        <v>448</v>
      </c>
      <c r="AN230" s="180"/>
      <c r="AO230" s="180">
        <v>448</v>
      </c>
      <c r="AP230" s="194">
        <f>Tablo7[[#This Row],[Ümumi məbləğ]]-Tablo7[[#This Row],[Ödəniş]]-Tablo7[[#This Row],[Endirim]]</f>
        <v>0</v>
      </c>
      <c r="AQ230" s="183" t="str">
        <f t="shared" si="77"/>
        <v>Mesaj</v>
      </c>
      <c r="AR230" s="183" t="str">
        <f t="shared" si="78"/>
        <v>Mesaj</v>
      </c>
      <c r="AS230" s="184" t="str">
        <f>IF(ISNA(VLOOKUP(Tablo7[[#This Row],[Sifariş kodu]],'Kəsim ve təhvil'!$E$5:$E1228,1,0)),"Qəbul edilməyib","Qəbul edilib")</f>
        <v>Qəbul edilməyib</v>
      </c>
      <c r="AT230" s="185" t="str">
        <f>IF(ISNA(VLOOKUP(Tablo7[[#This Row],[Sifariş kodu]],'Kəsim ve təhvil'!$H$5:$H1228,1,0)),"Anbardadır","Təhvil verilib")</f>
        <v>Anbardadır</v>
      </c>
      <c r="AU230" s="186" t="str">
        <f>"Hörmətli *"&amp;Tablo7[[#This Row],[Müştəri]]&amp;"*  ,Sizin *"&amp;G230&amp;"* tarixli sifarişiniz qeydə alındı. Sifariş Məbləğı *"&amp;AM230&amp;" AZN* , Qalıq *"&amp;AP230&amp;" AZN* . Hörmətlə  *AlumPro*"</f>
        <v>Hörmətli *Tural Elxan Dayi*  ,Sizin *02,12,2024* tarixli sifarişiniz qeydə alındı. Sifariş Məbləğı *448 AZN* , Qalıq *0 AZN* . Hörmətlə  *AlumPro*</v>
      </c>
      <c r="AV230" s="187" t="str">
        <f>"Hörmətli *"&amp;Tablo7[[#This Row],[Müştəri]]&amp;"* , sizin *"&amp;G230&amp;"* tarixli  sifarişiniz hazırdır . Bizi seçdiyiniz üçün minnətdarıq. Hörmətlə  *AlumPro*."</f>
        <v>Hörmətli *Tural Elxan Dayi* , sizin *02,12,2024* tarixli  sifarişiniz hazırdır . Bizi seçdiyiniz üçün minnətdarıq. Hörmətlə  *AlumPro*.</v>
      </c>
      <c r="AW230" s="188" t="str">
        <f t="shared" si="80"/>
        <v>Tural</v>
      </c>
      <c r="AX230" s="189" t="str">
        <f t="shared" si="79"/>
        <v xml:space="preserve">Tural </v>
      </c>
    </row>
    <row r="231" spans="4:50">
      <c r="D231" s="178">
        <v>100</v>
      </c>
      <c r="E231" s="179" t="s">
        <v>661</v>
      </c>
      <c r="F231" s="179" t="s">
        <v>339</v>
      </c>
      <c r="G231" s="212" t="s">
        <v>648</v>
      </c>
      <c r="H231" s="179" t="s">
        <v>642</v>
      </c>
      <c r="I231" s="179" t="s">
        <v>643</v>
      </c>
      <c r="J231" s="179"/>
      <c r="K231" s="179" t="s">
        <v>183</v>
      </c>
      <c r="L231" s="179"/>
      <c r="M231" s="179" t="str">
        <f>_xlfn.XLOOKUP(Tablo7[[#This Row],[Yan Profili]],Anbar!$J$3:$J$1000,Anbar!$H$3:$H$1000,"Tapilmadi")</f>
        <v>Tapilmadi</v>
      </c>
      <c r="N231" s="179">
        <v>7</v>
      </c>
      <c r="O231" s="179">
        <v>182</v>
      </c>
      <c r="P231" s="179" t="s">
        <v>184</v>
      </c>
      <c r="Q231" s="179" t="str">
        <f>_xlfn.XLOOKUP(Tablo7[[#This Row],[Qulp növü]],Anbar!$J$3:$J$1000,Anbar!$H$3:$H$1000,"Tapilmadi")</f>
        <v>Tapilmadi</v>
      </c>
      <c r="R231" s="179">
        <v>2</v>
      </c>
      <c r="S231" s="180">
        <v>52</v>
      </c>
      <c r="T231" s="181"/>
      <c r="U231" s="179" t="str">
        <f>_xlfn.XLOOKUP(Tablo7[[#This Row],[Petlə]],Anbar!$J$3:$J$1000,Anbar!$H$3:$H$1000,"Tapilmadi")</f>
        <v>Tapilmadi</v>
      </c>
      <c r="V231" s="181">
        <v>0</v>
      </c>
      <c r="W231" s="180">
        <v>0</v>
      </c>
      <c r="X231" s="269">
        <v>27</v>
      </c>
      <c r="Y231" s="179" t="s">
        <v>199</v>
      </c>
      <c r="Z231" s="182"/>
      <c r="AA231" s="180">
        <v>98</v>
      </c>
      <c r="AB231" s="180"/>
      <c r="AC231" s="179" t="str">
        <f>_xlfn.XLOOKUP(Tablo7[[#This Row],[Bağlantı]],Anbar!$J$3:$J$1000,Anbar!$H$3:$H$1000,"Tapilmadi")</f>
        <v>Tapilmadi</v>
      </c>
      <c r="AD231" s="179"/>
      <c r="AE231" s="180">
        <v>28</v>
      </c>
      <c r="AF231" s="180"/>
      <c r="AG231" s="179" t="str">
        <f>_xlfn.XLOOKUP(Tablo7[[#This Row],[Mexanizm]],Anbar!$J$3:$J$1000,Anbar!$H$3:$H$1000,"Tapilmadi")</f>
        <v>Tapilmadi</v>
      </c>
      <c r="AH231" s="179">
        <v>1</v>
      </c>
      <c r="AI231" s="180">
        <v>0</v>
      </c>
      <c r="AJ231" s="180">
        <v>20</v>
      </c>
      <c r="AK231" s="180">
        <v>80</v>
      </c>
      <c r="AL231" s="180">
        <v>0</v>
      </c>
      <c r="AM231" s="180">
        <v>487</v>
      </c>
      <c r="AN231" s="180"/>
      <c r="AO231" s="180">
        <v>487</v>
      </c>
      <c r="AP231" s="194">
        <f>Tablo7[[#This Row],[Ümumi məbləğ]]-Tablo7[[#This Row],[Ödəniş]]-Tablo7[[#This Row],[Endirim]]</f>
        <v>0</v>
      </c>
      <c r="AQ231" s="183" t="str">
        <f t="shared" si="77"/>
        <v>Mesaj</v>
      </c>
      <c r="AR231" s="183" t="str">
        <f t="shared" si="78"/>
        <v>Mesaj</v>
      </c>
      <c r="AS231" s="184" t="str">
        <f>IF(ISNA(VLOOKUP(Tablo7[[#This Row],[Sifariş kodu]],'Kəsim ve təhvil'!$E$5:$E1229,1,0)),"Qəbul edilməyib","Qəbul edilib")</f>
        <v>Qəbul edilməyib</v>
      </c>
      <c r="AT231" s="185" t="str">
        <f>IF(ISNA(VLOOKUP(Tablo7[[#This Row],[Sifariş kodu]],'Kəsim ve təhvil'!$H$5:$H1229,1,0)),"Anbardadır","Təhvil verilib")</f>
        <v>Anbardadır</v>
      </c>
      <c r="AU231" s="186" t="str">
        <f>"Hörmətli *"&amp;Tablo7[[#This Row],[Müştəri]]&amp;"*  ,Sizin *"&amp;G231&amp;"* tarixli sifarişiniz qeydə alındı. Sifariş Məbləğı *"&amp;AM231&amp;" AZN* , Qalıq *"&amp;AP231&amp;" AZN* . Hörmətlə  *AlumPro*"</f>
        <v>Hörmətli *Natiq Emrahov*  ,Sizin *02,12,2024* tarixli sifarişiniz qeydə alındı. Sifariş Məbləğı *487 AZN* , Qalıq *0 AZN* . Hörmətlə  *AlumPro*</v>
      </c>
      <c r="AV231" s="187" t="str">
        <f>"Hörmətli *"&amp;Tablo7[[#This Row],[Müştəri]]&amp;"* , sizin *"&amp;G231&amp;"* tarixli  sifarişiniz hazırdır . Bizi seçdiyiniz üçün minnətdarıq. Hörmətlə  *AlumPro*."</f>
        <v>Hörmətli *Natiq Emrahov* , sizin *02,12,2024* tarixli  sifarişiniz hazırdır . Bizi seçdiyiniz üçün minnətdarıq. Hörmətlə  *AlumPro*.</v>
      </c>
      <c r="AW231" s="188" t="str">
        <f t="shared" si="80"/>
        <v>Natiq</v>
      </c>
      <c r="AX231" s="189" t="str">
        <f t="shared" si="79"/>
        <v xml:space="preserve">Natiq </v>
      </c>
    </row>
    <row r="232" spans="4:50">
      <c r="D232" s="178">
        <v>99</v>
      </c>
      <c r="E232" s="179" t="s">
        <v>662</v>
      </c>
      <c r="F232" s="179" t="s">
        <v>339</v>
      </c>
      <c r="G232" s="212" t="s">
        <v>648</v>
      </c>
      <c r="H232" s="179" t="s">
        <v>10</v>
      </c>
      <c r="I232" s="179" t="s">
        <v>368</v>
      </c>
      <c r="J232" s="179"/>
      <c r="K232" s="179" t="s">
        <v>405</v>
      </c>
      <c r="L232" s="179"/>
      <c r="M232" s="179" t="str">
        <f>_xlfn.XLOOKUP(Tablo7[[#This Row],[Yan Profili]],Anbar!$J$3:$J$1000,Anbar!$H$3:$H$1000,"Tapilmadi")</f>
        <v>Tapilmadi</v>
      </c>
      <c r="N232" s="179">
        <v>2</v>
      </c>
      <c r="O232" s="179">
        <v>46</v>
      </c>
      <c r="P232" s="179" t="s">
        <v>184</v>
      </c>
      <c r="Q232" s="179" t="str">
        <f>_xlfn.XLOOKUP(Tablo7[[#This Row],[Qulp növü]],Anbar!$J$3:$J$1000,Anbar!$H$3:$H$1000,"Tapilmadi")</f>
        <v>Tapilmadi</v>
      </c>
      <c r="R232" s="179">
        <v>1</v>
      </c>
      <c r="S232" s="180">
        <v>26</v>
      </c>
      <c r="T232" s="181"/>
      <c r="U232" s="179" t="str">
        <f>_xlfn.XLOOKUP(Tablo7[[#This Row],[Petlə]],Anbar!$J$3:$J$1000,Anbar!$H$3:$H$1000,"Tapilmadi")</f>
        <v>Tapilmadi</v>
      </c>
      <c r="V232" s="181">
        <v>0</v>
      </c>
      <c r="W232" s="180">
        <v>0</v>
      </c>
      <c r="X232" s="269">
        <v>0</v>
      </c>
      <c r="Y232" s="179" t="s">
        <v>419</v>
      </c>
      <c r="Z232" s="182"/>
      <c r="AA232" s="180">
        <v>491</v>
      </c>
      <c r="AB232" s="180"/>
      <c r="AC232" s="179" t="str">
        <f>_xlfn.XLOOKUP(Tablo7[[#This Row],[Bağlantı]],Anbar!$J$3:$J$1000,Anbar!$H$3:$H$1000,"Tapilmadi")</f>
        <v>Tapilmadi</v>
      </c>
      <c r="AD232" s="179"/>
      <c r="AE232" s="180">
        <v>4</v>
      </c>
      <c r="AF232" s="180"/>
      <c r="AG232" s="179" t="str">
        <f>_xlfn.XLOOKUP(Tablo7[[#This Row],[Mexanizm]],Anbar!$J$3:$J$1000,Anbar!$H$3:$H$1000,"Tapilmadi")</f>
        <v>Tapilmadi</v>
      </c>
      <c r="AH232" s="179">
        <v>1</v>
      </c>
      <c r="AI232" s="180">
        <v>0</v>
      </c>
      <c r="AJ232" s="180">
        <v>5</v>
      </c>
      <c r="AK232" s="180">
        <v>15</v>
      </c>
      <c r="AL232" s="180">
        <v>0</v>
      </c>
      <c r="AM232" s="180">
        <v>587</v>
      </c>
      <c r="AN232" s="180"/>
      <c r="AO232" s="180">
        <v>370</v>
      </c>
      <c r="AP232" s="194">
        <f>Tablo7[[#This Row],[Ümumi məbləğ]]-Tablo7[[#This Row],[Ödəniş]]-Tablo7[[#This Row],[Endirim]]</f>
        <v>217</v>
      </c>
      <c r="AQ232" s="183" t="str">
        <f t="shared" si="77"/>
        <v>Mesaj</v>
      </c>
      <c r="AR232" s="183" t="str">
        <f t="shared" si="78"/>
        <v>Mesaj</v>
      </c>
      <c r="AS232" s="184" t="str">
        <f>IF(ISNA(VLOOKUP(Tablo7[[#This Row],[Sifariş kodu]],'Kəsim ve təhvil'!$E$5:$E1230,1,0)),"Qəbul edilməyib","Qəbul edilib")</f>
        <v>Qəbul edilməyib</v>
      </c>
      <c r="AT232" s="185" t="str">
        <f>IF(ISNA(VLOOKUP(Tablo7[[#This Row],[Sifariş kodu]],'Kəsim ve təhvil'!$H$5:$H1230,1,0)),"Anbardadır","Təhvil verilib")</f>
        <v>Anbardadır</v>
      </c>
      <c r="AU232" s="186" t="str">
        <f>"Hörmətli *"&amp;Tablo7[[#This Row],[Müştəri]]&amp;"*  ,Sizin *"&amp;G232&amp;"* tarixli sifarişiniz qeydə alındı. Sifariş Məbləğı *"&amp;AM232&amp;" AZN* , Qalıq *"&amp;AP232&amp;" AZN* . Hörmətlə  *AlumPro*"</f>
        <v>Hörmətli *Kamran kaya desıgn*  ,Sizin *02,12,2024* tarixli sifarişiniz qeydə alındı. Sifariş Məbləğı *587 AZN* , Qalıq *217 AZN* . Hörmətlə  *AlumPro*</v>
      </c>
      <c r="AV232" s="187" t="str">
        <f>"Hörmətli *"&amp;Tablo7[[#This Row],[Müştəri]]&amp;"* , sizin *"&amp;G232&amp;"* tarixli  sifarişiniz hazırdır . Bizi seçdiyiniz üçün minnətdarıq. Hörmətlə  *AlumPro*."</f>
        <v>Hörmətli *Kamran kaya desıgn* , sizin *02,12,2024* tarixli  sifarişiniz hazırdır . Bizi seçdiyiniz üçün minnətdarıq. Hörmətlə  *AlumPro*.</v>
      </c>
      <c r="AW232" s="188" t="str">
        <f t="shared" si="80"/>
        <v>Kamran</v>
      </c>
      <c r="AX232" s="189" t="str">
        <f t="shared" si="79"/>
        <v xml:space="preserve">Kamran </v>
      </c>
    </row>
    <row r="233" spans="4:50">
      <c r="D233" s="178">
        <v>98</v>
      </c>
      <c r="E233" s="179" t="s">
        <v>663</v>
      </c>
      <c r="F233" s="179" t="s">
        <v>339</v>
      </c>
      <c r="G233" s="212" t="s">
        <v>664</v>
      </c>
      <c r="H233" s="179" t="s">
        <v>570</v>
      </c>
      <c r="I233" s="179" t="s">
        <v>571</v>
      </c>
      <c r="J233" s="179"/>
      <c r="K233" s="179" t="s">
        <v>183</v>
      </c>
      <c r="L233" s="179"/>
      <c r="M233" s="179" t="str">
        <f>_xlfn.XLOOKUP(Tablo7[[#This Row],[Yan Profili]],Anbar!$J$3:$J$1000,Anbar!$H$3:$H$1000,"Tapilmadi")</f>
        <v>Tapilmadi</v>
      </c>
      <c r="N233" s="179">
        <v>1</v>
      </c>
      <c r="O233" s="179">
        <v>23</v>
      </c>
      <c r="P233" s="179" t="s">
        <v>184</v>
      </c>
      <c r="Q233" s="179" t="str">
        <f>_xlfn.XLOOKUP(Tablo7[[#This Row],[Qulp növü]],Anbar!$J$3:$J$1000,Anbar!$H$3:$H$1000,"Tapilmadi")</f>
        <v>Tapilmadi</v>
      </c>
      <c r="R233" s="179">
        <v>1</v>
      </c>
      <c r="S233" s="180">
        <v>26</v>
      </c>
      <c r="T233" s="181"/>
      <c r="U233" s="179" t="str">
        <f>_xlfn.XLOOKUP(Tablo7[[#This Row],[Petlə]],Anbar!$J$3:$J$1000,Anbar!$H$3:$H$1000,"Tapilmadi")</f>
        <v>Tapilmadi</v>
      </c>
      <c r="V233" s="181">
        <v>0</v>
      </c>
      <c r="W233" s="180">
        <v>0</v>
      </c>
      <c r="X233" s="269">
        <v>6</v>
      </c>
      <c r="Y233" s="179" t="s">
        <v>36</v>
      </c>
      <c r="Z233" s="182"/>
      <c r="AA233" s="180">
        <v>16</v>
      </c>
      <c r="AB233" s="180"/>
      <c r="AC233" s="179" t="str">
        <f>_xlfn.XLOOKUP(Tablo7[[#This Row],[Bağlantı]],Anbar!$J$3:$J$1000,Anbar!$H$3:$H$1000,"Tapilmadi")</f>
        <v>Tapilmadi</v>
      </c>
      <c r="AD233" s="179"/>
      <c r="AE233" s="180">
        <v>4</v>
      </c>
      <c r="AF233" s="180"/>
      <c r="AG233" s="179" t="str">
        <f>_xlfn.XLOOKUP(Tablo7[[#This Row],[Mexanizm]],Anbar!$J$3:$J$1000,Anbar!$H$3:$H$1000,"Tapilmadi")</f>
        <v>Tapilmadi</v>
      </c>
      <c r="AH233" s="179">
        <v>1</v>
      </c>
      <c r="AI233" s="180">
        <v>0</v>
      </c>
      <c r="AJ233" s="180">
        <v>3</v>
      </c>
      <c r="AK233" s="180">
        <v>15</v>
      </c>
      <c r="AL233" s="180">
        <v>0</v>
      </c>
      <c r="AM233" s="180">
        <v>93</v>
      </c>
      <c r="AN233" s="180"/>
      <c r="AO233" s="180">
        <v>95</v>
      </c>
      <c r="AP233" s="194">
        <f>Tablo7[[#This Row],[Ümumi məbləğ]]-Tablo7[[#This Row],[Ödəniş]]-Tablo7[[#This Row],[Endirim]]</f>
        <v>-2</v>
      </c>
      <c r="AQ233" s="183" t="str">
        <f t="shared" si="77"/>
        <v>Mesaj</v>
      </c>
      <c r="AR233" s="183" t="str">
        <f t="shared" si="78"/>
        <v>Mesaj</v>
      </c>
      <c r="AS233" s="184" t="str">
        <f>IF(ISNA(VLOOKUP(Tablo7[[#This Row],[Sifariş kodu]],'Kəsim ve təhvil'!$E$5:$E1231,1,0)),"Qəbul edilməyib","Qəbul edilib")</f>
        <v>Qəbul edilməyib</v>
      </c>
      <c r="AT233" s="185" t="str">
        <f>IF(ISNA(VLOOKUP(Tablo7[[#This Row],[Sifariş kodu]],'Kəsim ve təhvil'!$H$5:$H1231,1,0)),"Anbardadır","Təhvil verilib")</f>
        <v>Anbardadır</v>
      </c>
      <c r="AU233" s="186" t="str">
        <f>"Hörmətli *"&amp;Tablo7[[#This Row],[Müştəri]]&amp;"*  ,Sizin *"&amp;G233&amp;"* tarixli sifarişiniz qeydə alındı. Sifariş Məbləğı *"&amp;AM233&amp;" AZN* , Qalıq *"&amp;AP233&amp;" AZN* . Hörmətlə  *AlumPro*"</f>
        <v>Hörmətli *Ruslan Celal*  ,Sizin *30,11,2024* tarixli sifarişiniz qeydə alındı. Sifariş Məbləğı *93 AZN* , Qalıq *-2 AZN* . Hörmətlə  *AlumPro*</v>
      </c>
      <c r="AV233" s="187" t="str">
        <f>"Hörmətli *"&amp;Tablo7[[#This Row],[Müştəri]]&amp;"* , sizin *"&amp;G233&amp;"* tarixli  sifarişiniz hazırdır . Bizi seçdiyiniz üçün minnətdarıq. Hörmətlə  *AlumPro*."</f>
        <v>Hörmətli *Ruslan Celal* , sizin *30,11,2024* tarixli  sifarişiniz hazırdır . Bizi seçdiyiniz üçün minnətdarıq. Hörmətlə  *AlumPro*.</v>
      </c>
      <c r="AW233" s="188" t="str">
        <f t="shared" si="80"/>
        <v>Ruslan</v>
      </c>
      <c r="AX233" s="189" t="str">
        <f t="shared" si="79"/>
        <v xml:space="preserve">Ruslan </v>
      </c>
    </row>
    <row r="234" spans="4:50">
      <c r="D234" s="178">
        <v>97</v>
      </c>
      <c r="E234" s="179" t="s">
        <v>665</v>
      </c>
      <c r="F234" s="179" t="s">
        <v>339</v>
      </c>
      <c r="G234" s="212" t="s">
        <v>664</v>
      </c>
      <c r="H234" s="179" t="s">
        <v>268</v>
      </c>
      <c r="I234" s="179" t="s">
        <v>269</v>
      </c>
      <c r="J234" s="179"/>
      <c r="K234" s="179" t="s">
        <v>194</v>
      </c>
      <c r="L234" s="179"/>
      <c r="M234" s="179">
        <f>_xlfn.XLOOKUP(Tablo7[[#This Row],[Yan Profili]],Anbar!$J$3:$J$1000,Anbar!$H$3:$H$1000,"Tapilmadi")</f>
        <v>0</v>
      </c>
      <c r="N234" s="179">
        <v>8</v>
      </c>
      <c r="O234" s="179">
        <v>184</v>
      </c>
      <c r="P234" s="179" t="s">
        <v>184</v>
      </c>
      <c r="Q234" s="179" t="str">
        <f>_xlfn.XLOOKUP(Tablo7[[#This Row],[Qulp növü]],Anbar!$J$3:$J$1000,Anbar!$H$3:$H$1000,"Tapilmadi")</f>
        <v>Tapilmadi</v>
      </c>
      <c r="R234" s="179">
        <v>5</v>
      </c>
      <c r="S234" s="180">
        <v>130</v>
      </c>
      <c r="T234" s="181" t="s">
        <v>196</v>
      </c>
      <c r="U234" s="179" t="str">
        <f>_xlfn.XLOOKUP(Tablo7[[#This Row],[Petlə]],Anbar!$J$3:$J$1000,Anbar!$H$3:$H$1000,"Tapilmadi")</f>
        <v>Tapilmadi</v>
      </c>
      <c r="V234" s="181">
        <v>25</v>
      </c>
      <c r="W234" s="180">
        <v>100</v>
      </c>
      <c r="X234" s="269">
        <v>0</v>
      </c>
      <c r="Y234" s="179" t="s">
        <v>387</v>
      </c>
      <c r="Z234" s="182"/>
      <c r="AA234" s="180">
        <v>110</v>
      </c>
      <c r="AB234" s="180"/>
      <c r="AC234" s="179" t="str">
        <f>_xlfn.XLOOKUP(Tablo7[[#This Row],[Bağlantı]],Anbar!$J$3:$J$1000,Anbar!$H$3:$H$1000,"Tapilmadi")</f>
        <v>Tapilmadi</v>
      </c>
      <c r="AD234" s="179"/>
      <c r="AE234" s="180">
        <v>24</v>
      </c>
      <c r="AF234" s="180"/>
      <c r="AG234" s="179" t="str">
        <f>_xlfn.XLOOKUP(Tablo7[[#This Row],[Mexanizm]],Anbar!$J$3:$J$1000,Anbar!$H$3:$H$1000,"Tapilmadi")</f>
        <v>Tapilmadi</v>
      </c>
      <c r="AH234" s="179">
        <v>1</v>
      </c>
      <c r="AI234" s="180">
        <v>0</v>
      </c>
      <c r="AJ234" s="180">
        <v>50</v>
      </c>
      <c r="AK234" s="180">
        <v>90</v>
      </c>
      <c r="AL234" s="180">
        <v>0</v>
      </c>
      <c r="AM234" s="180">
        <v>688</v>
      </c>
      <c r="AN234" s="180"/>
      <c r="AO234" s="180">
        <v>688</v>
      </c>
      <c r="AP234" s="194">
        <f>Tablo7[[#This Row],[Ümumi məbləğ]]-Tablo7[[#This Row],[Ödəniş]]-Tablo7[[#This Row],[Endirim]]</f>
        <v>0</v>
      </c>
      <c r="AQ234" s="183" t="str">
        <f t="shared" si="77"/>
        <v>Mesaj</v>
      </c>
      <c r="AR234" s="183" t="str">
        <f t="shared" si="78"/>
        <v>Mesaj</v>
      </c>
      <c r="AS234" s="184" t="str">
        <f>IF(ISNA(VLOOKUP(Tablo7[[#This Row],[Sifariş kodu]],'Kəsim ve təhvil'!$E$5:$E1232,1,0)),"Qəbul edilməyib","Qəbul edilib")</f>
        <v>Qəbul edilməyib</v>
      </c>
      <c r="AT234" s="185" t="str">
        <f>IF(ISNA(VLOOKUP(Tablo7[[#This Row],[Sifariş kodu]],'Kəsim ve təhvil'!$H$5:$H1232,1,0)),"Anbardadır","Təhvil verilib")</f>
        <v>Anbardadır</v>
      </c>
      <c r="AU234" s="186" t="str">
        <f>"Hörmətli *"&amp;Tablo7[[#This Row],[Müştəri]]&amp;"*  ,Sizin *"&amp;G234&amp;"* tarixli sifarişiniz qeydə alındı. Sifariş Məbləğı *"&amp;AM234&amp;" AZN* , Qalıq *"&amp;AP234&amp;" AZN* . Hörmətlə  *AlumPro*"</f>
        <v>Hörmətli *Elsever Vusal Gedebey*  ,Sizin *30,11,2024* tarixli sifarişiniz qeydə alındı. Sifariş Məbləğı *688 AZN* , Qalıq *0 AZN* . Hörmətlə  *AlumPro*</v>
      </c>
      <c r="AV234" s="187" t="str">
        <f>"Hörmətli *"&amp;Tablo7[[#This Row],[Müştəri]]&amp;"* , sizin *"&amp;G234&amp;"* tarixli  sifarişiniz hazırdır . Bizi seçdiyiniz üçün minnətdarıq. Hörmətlə  *AlumPro*."</f>
        <v>Hörmətli *Elsever Vusal Gedebey* , sizin *30,11,2024* tarixli  sifarişiniz hazırdır . Bizi seçdiyiniz üçün minnətdarıq. Hörmətlə  *AlumPro*.</v>
      </c>
      <c r="AW234" s="188" t="str">
        <f t="shared" si="80"/>
        <v>Elsever</v>
      </c>
      <c r="AX234" s="189" t="str">
        <f t="shared" si="79"/>
        <v xml:space="preserve">Elsever </v>
      </c>
    </row>
    <row r="235" spans="4:50">
      <c r="D235" s="178">
        <v>96</v>
      </c>
      <c r="E235" s="179" t="s">
        <v>666</v>
      </c>
      <c r="F235" s="179" t="s">
        <v>339</v>
      </c>
      <c r="G235" s="212" t="s">
        <v>664</v>
      </c>
      <c r="H235" s="179" t="s">
        <v>272</v>
      </c>
      <c r="I235" s="179" t="s">
        <v>273</v>
      </c>
      <c r="J235" s="179"/>
      <c r="K235" s="179" t="s">
        <v>429</v>
      </c>
      <c r="L235" s="179"/>
      <c r="M235" s="179" t="str">
        <f>_xlfn.XLOOKUP(Tablo7[[#This Row],[Yan Profili]],Anbar!$J$3:$J$1000,Anbar!$H$3:$H$1000,"Tapilmadi")</f>
        <v>Tapilmadi</v>
      </c>
      <c r="N235" s="179">
        <v>4</v>
      </c>
      <c r="O235" s="179">
        <v>120</v>
      </c>
      <c r="P235" s="179">
        <v>0</v>
      </c>
      <c r="Q235" s="179" t="str">
        <f>_xlfn.XLOOKUP(Tablo7[[#This Row],[Qulp növü]],Anbar!$J$3:$J$1000,Anbar!$H$3:$H$1000,"Tapilmadi")</f>
        <v>Tapilmadi</v>
      </c>
      <c r="R235" s="179">
        <v>0</v>
      </c>
      <c r="S235" s="180">
        <v>0</v>
      </c>
      <c r="T235" s="181"/>
      <c r="U235" s="179" t="str">
        <f>_xlfn.XLOOKUP(Tablo7[[#This Row],[Petlə]],Anbar!$J$3:$J$1000,Anbar!$H$3:$H$1000,"Tapilmadi")</f>
        <v>Tapilmadi</v>
      </c>
      <c r="V235" s="181">
        <v>0</v>
      </c>
      <c r="W235" s="180">
        <v>0</v>
      </c>
      <c r="X235" s="269">
        <v>0</v>
      </c>
      <c r="Y235" s="179" t="s">
        <v>276</v>
      </c>
      <c r="Z235" s="182"/>
      <c r="AA235" s="180">
        <v>96</v>
      </c>
      <c r="AB235" s="180"/>
      <c r="AC235" s="179" t="str">
        <f>_xlfn.XLOOKUP(Tablo7[[#This Row],[Bağlantı]],Anbar!$J$3:$J$1000,Anbar!$H$3:$H$1000,"Tapilmadi")</f>
        <v>Tapilmadi</v>
      </c>
      <c r="AD235" s="179"/>
      <c r="AE235" s="180">
        <v>8</v>
      </c>
      <c r="AF235" s="180"/>
      <c r="AG235" s="179" t="str">
        <f>_xlfn.XLOOKUP(Tablo7[[#This Row],[Mexanizm]],Anbar!$J$3:$J$1000,Anbar!$H$3:$H$1000,"Tapilmadi")</f>
        <v>Tapilmadi</v>
      </c>
      <c r="AH235" s="179">
        <v>1</v>
      </c>
      <c r="AI235" s="180">
        <v>0</v>
      </c>
      <c r="AJ235" s="180">
        <v>8</v>
      </c>
      <c r="AK235" s="180">
        <v>30</v>
      </c>
      <c r="AL235" s="180">
        <v>0</v>
      </c>
      <c r="AM235" s="180">
        <v>275</v>
      </c>
      <c r="AN235" s="180"/>
      <c r="AO235" s="180">
        <v>275</v>
      </c>
      <c r="AP235" s="194">
        <f>Tablo7[[#This Row],[Ümumi məbləğ]]-Tablo7[[#This Row],[Ödəniş]]-Tablo7[[#This Row],[Endirim]]</f>
        <v>0</v>
      </c>
      <c r="AQ235" s="183" t="str">
        <f t="shared" si="77"/>
        <v>Mesaj</v>
      </c>
      <c r="AR235" s="183" t="str">
        <f t="shared" si="78"/>
        <v>Mesaj</v>
      </c>
      <c r="AS235" s="184" t="str">
        <f>IF(ISNA(VLOOKUP(Tablo7[[#This Row],[Sifariş kodu]],'Kəsim ve təhvil'!$E$5:$E1233,1,0)),"Qəbul edilməyib","Qəbul edilib")</f>
        <v>Qəbul edilməyib</v>
      </c>
      <c r="AT235" s="185" t="str">
        <f>IF(ISNA(VLOOKUP(Tablo7[[#This Row],[Sifariş kodu]],'Kəsim ve təhvil'!$H$5:$H1233,1,0)),"Anbardadır","Təhvil verilib")</f>
        <v>Anbardadır</v>
      </c>
      <c r="AU235" s="186" t="str">
        <f>"Hörmətli *"&amp;Tablo7[[#This Row],[Müştəri]]&amp;"*  ,Sizin *"&amp;G235&amp;"* tarixli sifarişiniz qeydə alındı. Sifariş Məbləğı *"&amp;AM235&amp;" AZN* , Qalıq *"&amp;AP235&amp;" AZN* . Hörmətlə  *AlumPro*"</f>
        <v>Hörmətli *Resad Mebelline *  ,Sizin *30,11,2024* tarixli sifarişiniz qeydə alındı. Sifariş Məbləğı *275 AZN* , Qalıq *0 AZN* . Hörmətlə  *AlumPro*</v>
      </c>
      <c r="AV235" s="187" t="str">
        <f>"Hörmətli *"&amp;Tablo7[[#This Row],[Müştəri]]&amp;"* , sizin *"&amp;G235&amp;"* tarixli  sifarişiniz hazırdır . Bizi seçdiyiniz üçün minnətdarıq. Hörmətlə  *AlumPro*."</f>
        <v>Hörmətli *Resad Mebelline * , sizin *30,11,2024* tarixli  sifarişiniz hazırdır . Bizi seçdiyiniz üçün minnətdarıq. Hörmətlə  *AlumPro*.</v>
      </c>
      <c r="AW235" s="188" t="str">
        <f t="shared" si="80"/>
        <v>Resad</v>
      </c>
      <c r="AX235" s="189" t="str">
        <f t="shared" si="79"/>
        <v xml:space="preserve">Resad </v>
      </c>
    </row>
    <row r="236" spans="4:50">
      <c r="D236" s="178">
        <v>95</v>
      </c>
      <c r="E236" s="179" t="s">
        <v>667</v>
      </c>
      <c r="F236" s="179" t="s">
        <v>339</v>
      </c>
      <c r="G236" s="212" t="s">
        <v>664</v>
      </c>
      <c r="H236" s="179" t="s">
        <v>668</v>
      </c>
      <c r="I236" s="179" t="s">
        <v>669</v>
      </c>
      <c r="J236" s="179" t="s">
        <v>670</v>
      </c>
      <c r="K236" s="179" t="s">
        <v>194</v>
      </c>
      <c r="L236" s="179"/>
      <c r="M236" s="179" t="str">
        <f>_xlfn.XLOOKUP(Tablo7[[#This Row],[Yan Profili]],Anbar!$J$3:$J$1000,Anbar!$H$3:$H$1000,"Tapilmadi")</f>
        <v>Tapilmadi</v>
      </c>
      <c r="N236" s="179">
        <v>3</v>
      </c>
      <c r="O236" s="179">
        <v>69</v>
      </c>
      <c r="P236" s="179" t="s">
        <v>671</v>
      </c>
      <c r="Q236" s="179" t="str">
        <f>_xlfn.XLOOKUP(Tablo7[[#This Row],[Qulp növü]],Anbar!$J$3:$J$1000,Anbar!$H$3:$H$1000,"Tapilmadi")</f>
        <v>Tapilmadi</v>
      </c>
      <c r="R236" s="179">
        <v>4</v>
      </c>
      <c r="S236" s="180">
        <v>200</v>
      </c>
      <c r="T236" s="181" t="s">
        <v>196</v>
      </c>
      <c r="U236" s="179" t="str">
        <f>_xlfn.XLOOKUP(Tablo7[[#This Row],[Petlə]],Anbar!$J$3:$J$1000,Anbar!$H$3:$H$1000,"Tapilmadi")</f>
        <v>Tapilmadi</v>
      </c>
      <c r="V236" s="181">
        <v>12</v>
      </c>
      <c r="W236" s="180">
        <v>48</v>
      </c>
      <c r="X236" s="269">
        <v>0</v>
      </c>
      <c r="Y236" s="179"/>
      <c r="Z236" s="182"/>
      <c r="AA236" s="180">
        <v>120</v>
      </c>
      <c r="AB236" s="180"/>
      <c r="AC236" s="179" t="str">
        <f>_xlfn.XLOOKUP(Tablo7[[#This Row],[Bağlantı]],Anbar!$J$3:$J$1000,Anbar!$H$3:$H$1000,"Tapilmadi")</f>
        <v>Tapilmadi</v>
      </c>
      <c r="AD236" s="179"/>
      <c r="AE236" s="180">
        <v>32</v>
      </c>
      <c r="AF236" s="180"/>
      <c r="AG236" s="179" t="str">
        <f>_xlfn.XLOOKUP(Tablo7[[#This Row],[Mexanizm]],Anbar!$J$3:$J$1000,Anbar!$H$3:$H$1000,"Tapilmadi")</f>
        <v>Tapilmadi</v>
      </c>
      <c r="AH236" s="179">
        <v>1</v>
      </c>
      <c r="AI236" s="180">
        <v>0</v>
      </c>
      <c r="AJ236" s="180">
        <v>24</v>
      </c>
      <c r="AK236" s="180">
        <v>60</v>
      </c>
      <c r="AL236" s="180">
        <v>0</v>
      </c>
      <c r="AM236" s="180">
        <v>553</v>
      </c>
      <c r="AN236" s="180"/>
      <c r="AO236" s="180">
        <v>553</v>
      </c>
      <c r="AP236" s="194">
        <f>Tablo7[[#This Row],[Ümumi məbləğ]]-Tablo7[[#This Row],[Ödəniş]]-Tablo7[[#This Row],[Endirim]]</f>
        <v>0</v>
      </c>
      <c r="AQ236" s="183" t="str">
        <f t="shared" si="77"/>
        <v>Mesaj</v>
      </c>
      <c r="AR236" s="183" t="str">
        <f t="shared" si="78"/>
        <v>Mesaj</v>
      </c>
      <c r="AS236" s="184" t="str">
        <f>IF(ISNA(VLOOKUP(Tablo7[[#This Row],[Sifariş kodu]],'Kəsim ve təhvil'!$E$5:$E1234,1,0)),"Qəbul edilməyib","Qəbul edilib")</f>
        <v>Qəbul edilməyib</v>
      </c>
      <c r="AT236" s="185" t="str">
        <f>IF(ISNA(VLOOKUP(Tablo7[[#This Row],[Sifariş kodu]],'Kəsim ve təhvil'!$H$5:$H1234,1,0)),"Anbardadır","Təhvil verilib")</f>
        <v>Anbardadır</v>
      </c>
      <c r="AU236" s="186" t="str">
        <f>"Hörmətli *"&amp;Tablo7[[#This Row],[Müştəri]]&amp;"*  ,Sizin *"&amp;G236&amp;"* tarixli sifarişiniz qeydə alındı. Sifariş Məbləğı *"&amp;AM236&amp;" AZN* , Qalıq *"&amp;AP236&amp;" AZN* . Hörmətlə  *AlumPro*"</f>
        <v>Hörmətli *Elekber Eliyev*  ,Sizin *30,11,2024* tarixli sifarişiniz qeydə alındı. Sifariş Məbləğı *553 AZN* , Qalıq *0 AZN* . Hörmətlə  *AlumPro*</v>
      </c>
      <c r="AV236" s="187" t="str">
        <f>"Hörmətli *"&amp;Tablo7[[#This Row],[Müştəri]]&amp;"* , sizin *"&amp;G236&amp;"* tarixli  sifarişiniz hazırdır . Bizi seçdiyiniz üçün minnətdarıq. Hörmətlə  *AlumPro*."</f>
        <v>Hörmətli *Elekber Eliyev* , sizin *30,11,2024* tarixli  sifarişiniz hazırdır . Bizi seçdiyiniz üçün minnətdarıq. Hörmətlə  *AlumPro*.</v>
      </c>
      <c r="AW236" s="188" t="str">
        <f t="shared" si="80"/>
        <v>Elekber</v>
      </c>
      <c r="AX236" s="189" t="str">
        <f t="shared" si="79"/>
        <v xml:space="preserve">Elekber </v>
      </c>
    </row>
    <row r="237" spans="4:50">
      <c r="D237" s="178">
        <v>94</v>
      </c>
      <c r="E237" s="179" t="s">
        <v>672</v>
      </c>
      <c r="F237" s="179" t="s">
        <v>339</v>
      </c>
      <c r="G237" s="212" t="s">
        <v>664</v>
      </c>
      <c r="H237" s="179" t="s">
        <v>41</v>
      </c>
      <c r="I237" s="179" t="s">
        <v>116</v>
      </c>
      <c r="J237" s="179"/>
      <c r="K237" s="179" t="s">
        <v>226</v>
      </c>
      <c r="L237" s="179"/>
      <c r="M237" s="179" t="str">
        <f>_xlfn.XLOOKUP(Tablo7[[#This Row],[Yan Profili]],Anbar!$J$3:$J$1000,Anbar!$H$3:$H$1000,"Tapilmadi")</f>
        <v>Tapilmadi</v>
      </c>
      <c r="N237" s="179">
        <v>22</v>
      </c>
      <c r="O237" s="179">
        <v>506</v>
      </c>
      <c r="P237" s="179" t="s">
        <v>184</v>
      </c>
      <c r="Q237" s="179" t="str">
        <f>_xlfn.XLOOKUP(Tablo7[[#This Row],[Qulp növü]],Anbar!$J$3:$J$1000,Anbar!$H$3:$H$1000,"Tapilmadi")</f>
        <v>Tapilmadi</v>
      </c>
      <c r="R237" s="179">
        <v>26</v>
      </c>
      <c r="S237" s="180">
        <v>468</v>
      </c>
      <c r="T237" s="181" t="s">
        <v>196</v>
      </c>
      <c r="U237" s="179" t="str">
        <f>_xlfn.XLOOKUP(Tablo7[[#This Row],[Petlə]],Anbar!$J$3:$J$1000,Anbar!$H$3:$H$1000,"Tapilmadi")</f>
        <v>Tapilmadi</v>
      </c>
      <c r="V237" s="181">
        <v>90</v>
      </c>
      <c r="W237" s="180">
        <v>360</v>
      </c>
      <c r="X237" s="269">
        <v>0</v>
      </c>
      <c r="Y237" s="179" t="s">
        <v>325</v>
      </c>
      <c r="Z237" s="182"/>
      <c r="AA237" s="180">
        <v>783</v>
      </c>
      <c r="AB237" s="180"/>
      <c r="AC237" s="179" t="str">
        <f>_xlfn.XLOOKUP(Tablo7[[#This Row],[Bağlantı]],Anbar!$J$3:$J$1000,Anbar!$H$3:$H$1000,"Tapilmadi")</f>
        <v>Tapilmadi</v>
      </c>
      <c r="AD237" s="179"/>
      <c r="AE237" s="180">
        <v>144</v>
      </c>
      <c r="AF237" s="180"/>
      <c r="AG237" s="179" t="str">
        <f>_xlfn.XLOOKUP(Tablo7[[#This Row],[Mexanizm]],Anbar!$J$3:$J$1000,Anbar!$H$3:$H$1000,"Tapilmadi")</f>
        <v>Tapilmadi</v>
      </c>
      <c r="AH237" s="179">
        <v>1</v>
      </c>
      <c r="AI237" s="180">
        <v>0</v>
      </c>
      <c r="AJ237" s="180">
        <v>180</v>
      </c>
      <c r="AK237" s="180">
        <v>270</v>
      </c>
      <c r="AL237" s="180">
        <v>0</v>
      </c>
      <c r="AM237" s="180">
        <v>2711</v>
      </c>
      <c r="AN237" s="180"/>
      <c r="AO237" s="180">
        <v>2711</v>
      </c>
      <c r="AP237" s="194">
        <f>Tablo7[[#This Row],[Ümumi məbləğ]]-Tablo7[[#This Row],[Ödəniş]]-Tablo7[[#This Row],[Endirim]]</f>
        <v>0</v>
      </c>
      <c r="AQ237" s="183" t="str">
        <f t="shared" si="77"/>
        <v>Mesaj</v>
      </c>
      <c r="AR237" s="183" t="str">
        <f t="shared" si="78"/>
        <v>Mesaj</v>
      </c>
      <c r="AS237" s="184" t="str">
        <f>IF(ISNA(VLOOKUP(Tablo7[[#This Row],[Sifariş kodu]],'Kəsim ve təhvil'!$E$5:$E1235,1,0)),"Qəbul edilməyib","Qəbul edilib")</f>
        <v>Qəbul edilməyib</v>
      </c>
      <c r="AT237" s="185" t="str">
        <f>IF(ISNA(VLOOKUP(Tablo7[[#This Row],[Sifariş kodu]],'Kəsim ve təhvil'!$H$5:$H1235,1,0)),"Anbardadır","Təhvil verilib")</f>
        <v>Anbardadır</v>
      </c>
      <c r="AU237" s="186" t="str">
        <f>"Hörmətli *"&amp;Tablo7[[#This Row],[Müştəri]]&amp;"*  ,Sizin *"&amp;G237&amp;"* tarixli sifarişiniz qeydə alındı. Sifariş Məbləğı *"&amp;AM237&amp;" AZN* , Qalıq *"&amp;AP237&amp;" AZN* . Hörmətlə  *AlumPro*"</f>
        <v>Hörmətli *Fariz Faiq*  ,Sizin *30,11,2024* tarixli sifarişiniz qeydə alındı. Sifariş Məbləğı *2711 AZN* , Qalıq *0 AZN* . Hörmətlə  *AlumPro*</v>
      </c>
      <c r="AV237" s="187" t="str">
        <f>"Hörmətli *"&amp;Tablo7[[#This Row],[Müştəri]]&amp;"* , sizin *"&amp;G237&amp;"* tarixli  sifarişiniz hazırdır . Bizi seçdiyiniz üçün minnətdarıq. Hörmətlə  *AlumPro*."</f>
        <v>Hörmətli *Fariz Faiq* , sizin *30,11,2024* tarixli  sifarişiniz hazırdır . Bizi seçdiyiniz üçün minnətdarıq. Hörmətlə  *AlumPro*.</v>
      </c>
      <c r="AW237" s="188" t="str">
        <f t="shared" si="80"/>
        <v>Fariz</v>
      </c>
      <c r="AX237" s="189" t="str">
        <f t="shared" si="79"/>
        <v xml:space="preserve">Fariz </v>
      </c>
    </row>
    <row r="238" spans="4:50">
      <c r="D238" s="178">
        <v>93</v>
      </c>
      <c r="E238" s="179" t="s">
        <v>673</v>
      </c>
      <c r="F238" s="179" t="s">
        <v>339</v>
      </c>
      <c r="G238" s="212" t="s">
        <v>664</v>
      </c>
      <c r="H238" s="179" t="s">
        <v>674</v>
      </c>
      <c r="I238" s="179" t="s">
        <v>675</v>
      </c>
      <c r="J238" s="179"/>
      <c r="K238" s="179" t="s">
        <v>194</v>
      </c>
      <c r="L238" s="179"/>
      <c r="M238" s="179" t="str">
        <f>_xlfn.XLOOKUP(Tablo7[[#This Row],[Yan Profili]],Anbar!$J$3:$J$1000,Anbar!$H$3:$H$1000,"Tapilmadi")</f>
        <v>Tapilmadi</v>
      </c>
      <c r="N238" s="179">
        <v>3</v>
      </c>
      <c r="O238" s="179">
        <v>69</v>
      </c>
      <c r="P238" s="179" t="s">
        <v>184</v>
      </c>
      <c r="Q238" s="179" t="str">
        <f>_xlfn.XLOOKUP(Tablo7[[#This Row],[Qulp növü]],Anbar!$J$3:$J$1000,Anbar!$H$3:$H$1000,"Tapilmadi")</f>
        <v>Tapilmadi</v>
      </c>
      <c r="R238" s="179">
        <v>2</v>
      </c>
      <c r="S238" s="180">
        <v>52</v>
      </c>
      <c r="T238" s="181" t="s">
        <v>196</v>
      </c>
      <c r="U238" s="179" t="str">
        <f>_xlfn.XLOOKUP(Tablo7[[#This Row],[Petlə]],Anbar!$J$3:$J$1000,Anbar!$H$3:$H$1000,"Tapilmadi")</f>
        <v>Tapilmadi</v>
      </c>
      <c r="V238" s="181">
        <v>8</v>
      </c>
      <c r="W238" s="180">
        <v>32</v>
      </c>
      <c r="X238" s="269">
        <v>0</v>
      </c>
      <c r="Y238" s="179" t="s">
        <v>276</v>
      </c>
      <c r="Z238" s="182"/>
      <c r="AA238" s="180">
        <v>130</v>
      </c>
      <c r="AB238" s="180"/>
      <c r="AC238" s="179" t="str">
        <f>_xlfn.XLOOKUP(Tablo7[[#This Row],[Bağlantı]],Anbar!$J$3:$J$1000,Anbar!$H$3:$H$1000,"Tapilmadi")</f>
        <v>Tapilmadi</v>
      </c>
      <c r="AD238" s="179"/>
      <c r="AE238" s="180">
        <v>8</v>
      </c>
      <c r="AF238" s="180"/>
      <c r="AG238" s="179" t="str">
        <f>_xlfn.XLOOKUP(Tablo7[[#This Row],[Mexanizm]],Anbar!$J$3:$J$1000,Anbar!$H$3:$H$1000,"Tapilmadi")</f>
        <v>Tapilmadi</v>
      </c>
      <c r="AH238" s="179">
        <v>1</v>
      </c>
      <c r="AI238" s="180">
        <v>0</v>
      </c>
      <c r="AJ238" s="180">
        <v>16</v>
      </c>
      <c r="AK238" s="180">
        <v>30</v>
      </c>
      <c r="AL238" s="180">
        <v>0</v>
      </c>
      <c r="AM238" s="180">
        <v>337</v>
      </c>
      <c r="AN238" s="180"/>
      <c r="AO238" s="180">
        <v>337</v>
      </c>
      <c r="AP238" s="194">
        <f>Tablo7[[#This Row],[Ümumi məbləğ]]-Tablo7[[#This Row],[Ödəniş]]-Tablo7[[#This Row],[Endirim]]</f>
        <v>0</v>
      </c>
      <c r="AQ238" s="183" t="str">
        <f t="shared" si="77"/>
        <v>Mesaj</v>
      </c>
      <c r="AR238" s="183" t="str">
        <f t="shared" si="78"/>
        <v>Mesaj</v>
      </c>
      <c r="AS238" s="184" t="str">
        <f>IF(ISNA(VLOOKUP(Tablo7[[#This Row],[Sifariş kodu]],'Kəsim ve təhvil'!$E$5:$E1236,1,0)),"Qəbul edilməyib","Qəbul edilib")</f>
        <v>Qəbul edilməyib</v>
      </c>
      <c r="AT238" s="185" t="str">
        <f>IF(ISNA(VLOOKUP(Tablo7[[#This Row],[Sifariş kodu]],'Kəsim ve təhvil'!$H$5:$H1236,1,0)),"Anbardadır","Təhvil verilib")</f>
        <v>Anbardadır</v>
      </c>
      <c r="AU238" s="186" t="str">
        <f>"Hörmətli *"&amp;Tablo7[[#This Row],[Müştəri]]&amp;"*  ,Sizin *"&amp;G238&amp;"* tarixli sifarişiniz qeydə alındı. Sifariş Məbləğı *"&amp;AM238&amp;" AZN* , Qalıq *"&amp;AP238&amp;" AZN* . Hörmətlə  *AlumPro*"</f>
        <v>Hörmətli *Aydin Abbasov*  ,Sizin *30,11,2024* tarixli sifarişiniz qeydə alındı. Sifariş Məbləğı *337 AZN* , Qalıq *0 AZN* . Hörmətlə  *AlumPro*</v>
      </c>
      <c r="AV238" s="187" t="str">
        <f>"Hörmətli *"&amp;Tablo7[[#This Row],[Müştəri]]&amp;"* , sizin *"&amp;G238&amp;"* tarixli  sifarişiniz hazırdır . Bizi seçdiyiniz üçün minnətdarıq. Hörmətlə  *AlumPro*."</f>
        <v>Hörmətli *Aydin Abbasov* , sizin *30,11,2024* tarixli  sifarişiniz hazırdır . Bizi seçdiyiniz üçün minnətdarıq. Hörmətlə  *AlumPro*.</v>
      </c>
      <c r="AW238" s="188" t="str">
        <f t="shared" si="80"/>
        <v>Aydin</v>
      </c>
      <c r="AX238" s="189" t="str">
        <f t="shared" si="79"/>
        <v xml:space="preserve">Aydin </v>
      </c>
    </row>
    <row r="239" spans="4:50">
      <c r="D239" s="178">
        <v>92</v>
      </c>
      <c r="E239" s="179" t="s">
        <v>676</v>
      </c>
      <c r="F239" s="179" t="s">
        <v>339</v>
      </c>
      <c r="G239" s="212" t="s">
        <v>664</v>
      </c>
      <c r="H239" s="179" t="s">
        <v>677</v>
      </c>
      <c r="I239" s="179">
        <v>0</v>
      </c>
      <c r="J239" s="179"/>
      <c r="K239" s="179" t="s">
        <v>189</v>
      </c>
      <c r="L239" s="179"/>
      <c r="M239" s="179" t="str">
        <f>_xlfn.XLOOKUP(Tablo7[[#This Row],[Yan Profili]],Anbar!$J$3:$J$1000,Anbar!$H$3:$H$1000,"Tapilmadi")</f>
        <v>Tapilmadi</v>
      </c>
      <c r="N239" s="179">
        <v>5</v>
      </c>
      <c r="O239" s="179">
        <v>115</v>
      </c>
      <c r="P239" s="179" t="s">
        <v>184</v>
      </c>
      <c r="Q239" s="179" t="str">
        <f>_xlfn.XLOOKUP(Tablo7[[#This Row],[Qulp növü]],Anbar!$J$3:$J$1000,Anbar!$H$3:$H$1000,"Tapilmadi")</f>
        <v>Tapilmadi</v>
      </c>
      <c r="R239" s="179">
        <v>3</v>
      </c>
      <c r="S239" s="180">
        <v>78</v>
      </c>
      <c r="T239" s="181"/>
      <c r="U239" s="179" t="str">
        <f>_xlfn.XLOOKUP(Tablo7[[#This Row],[Petlə]],Anbar!$J$3:$J$1000,Anbar!$H$3:$H$1000,"Tapilmadi")</f>
        <v>Tapilmadi</v>
      </c>
      <c r="V239" s="181">
        <v>0</v>
      </c>
      <c r="W239" s="180">
        <v>0</v>
      </c>
      <c r="X239" s="269">
        <v>0</v>
      </c>
      <c r="Y239" s="179" t="s">
        <v>505</v>
      </c>
      <c r="Z239" s="182"/>
      <c r="AA239" s="180">
        <v>156</v>
      </c>
      <c r="AB239" s="180"/>
      <c r="AC239" s="179" t="str">
        <f>_xlfn.XLOOKUP(Tablo7[[#This Row],[Bağlantı]],Anbar!$J$3:$J$1000,Anbar!$H$3:$H$1000,"Tapilmadi")</f>
        <v>Tapilmadi</v>
      </c>
      <c r="AD239" s="179"/>
      <c r="AE239" s="180">
        <v>12</v>
      </c>
      <c r="AF239" s="180"/>
      <c r="AG239" s="179" t="str">
        <f>_xlfn.XLOOKUP(Tablo7[[#This Row],[Mexanizm]],Anbar!$J$3:$J$1000,Anbar!$H$3:$H$1000,"Tapilmadi")</f>
        <v>Tapilmadi</v>
      </c>
      <c r="AH239" s="179">
        <v>1</v>
      </c>
      <c r="AI239" s="180">
        <v>0</v>
      </c>
      <c r="AJ239" s="180">
        <v>15</v>
      </c>
      <c r="AK239" s="180">
        <v>45</v>
      </c>
      <c r="AL239" s="180">
        <v>0</v>
      </c>
      <c r="AM239" s="180">
        <v>421</v>
      </c>
      <c r="AN239" s="180"/>
      <c r="AO239" s="180">
        <v>421</v>
      </c>
      <c r="AP239" s="194">
        <f>Tablo7[[#This Row],[Ümumi məbləğ]]-Tablo7[[#This Row],[Ödəniş]]-Tablo7[[#This Row],[Endirim]]</f>
        <v>0</v>
      </c>
      <c r="AQ239" s="183" t="str">
        <f t="shared" si="77"/>
        <v>Mesaj</v>
      </c>
      <c r="AR239" s="183" t="str">
        <f t="shared" si="78"/>
        <v>Mesaj</v>
      </c>
      <c r="AS239" s="184" t="str">
        <f>IF(ISNA(VLOOKUP(Tablo7[[#This Row],[Sifariş kodu]],'Kəsim ve təhvil'!$E$5:$E1237,1,0)),"Qəbul edilməyib","Qəbul edilib")</f>
        <v>Qəbul edilməyib</v>
      </c>
      <c r="AT239" s="185" t="str">
        <f>IF(ISNA(VLOOKUP(Tablo7[[#This Row],[Sifariş kodu]],'Kəsim ve təhvil'!$H$5:$H1237,1,0)),"Anbardadır","Təhvil verilib")</f>
        <v>Anbardadır</v>
      </c>
      <c r="AU239" s="186" t="str">
        <f>"Hörmətli *"&amp;Tablo7[[#This Row],[Müştəri]]&amp;"*  ,Sizin *"&amp;G239&amp;"* tarixli sifarişiniz qeydə alındı. Sifariş Məbləğı *"&amp;AM239&amp;" AZN* , Qalıq *"&amp;AP239&amp;" AZN* . Hörmətlə  *AlumPro*"</f>
        <v>Hörmətli *Ilqar Gtv*  ,Sizin *30,11,2024* tarixli sifarişiniz qeydə alındı. Sifariş Məbləğı *421 AZN* , Qalıq *0 AZN* . Hörmətlə  *AlumPro*</v>
      </c>
      <c r="AV239" s="187" t="str">
        <f>"Hörmətli *"&amp;Tablo7[[#This Row],[Müştəri]]&amp;"* , sizin *"&amp;G239&amp;"* tarixli  sifarişiniz hazırdır . Bizi seçdiyiniz üçün minnətdarıq. Hörmətlə  *AlumPro*."</f>
        <v>Hörmətli *Ilqar Gtv* , sizin *30,11,2024* tarixli  sifarişiniz hazırdır . Bizi seçdiyiniz üçün minnətdarıq. Hörmətlə  *AlumPro*.</v>
      </c>
      <c r="AW239" s="188" t="str">
        <f t="shared" si="80"/>
        <v>Ilqar</v>
      </c>
      <c r="AX239" s="189" t="str">
        <f t="shared" si="79"/>
        <v xml:space="preserve">Ilqar </v>
      </c>
    </row>
    <row r="240" spans="4:50">
      <c r="D240" s="178">
        <v>91</v>
      </c>
      <c r="E240" s="179" t="s">
        <v>678</v>
      </c>
      <c r="F240" s="179" t="s">
        <v>339</v>
      </c>
      <c r="G240" s="212" t="s">
        <v>664</v>
      </c>
      <c r="H240" s="179" t="s">
        <v>679</v>
      </c>
      <c r="I240" s="179" t="s">
        <v>680</v>
      </c>
      <c r="J240" s="179"/>
      <c r="K240" s="179" t="s">
        <v>183</v>
      </c>
      <c r="L240" s="179"/>
      <c r="M240" s="179" t="str">
        <f>_xlfn.XLOOKUP(Tablo7[[#This Row],[Yan Profili]],Anbar!$J$3:$J$1000,Anbar!$H$3:$H$1000,"Tapilmadi")</f>
        <v>Tapilmadi</v>
      </c>
      <c r="N240" s="179">
        <v>3</v>
      </c>
      <c r="O240" s="179">
        <v>69</v>
      </c>
      <c r="P240" s="179" t="s">
        <v>184</v>
      </c>
      <c r="Q240" s="179" t="str">
        <f>_xlfn.XLOOKUP(Tablo7[[#This Row],[Qulp növü]],Anbar!$J$3:$J$1000,Anbar!$H$3:$H$1000,"Tapilmadi")</f>
        <v>Tapilmadi</v>
      </c>
      <c r="R240" s="179">
        <v>1</v>
      </c>
      <c r="S240" s="180">
        <v>26</v>
      </c>
      <c r="T240" s="181"/>
      <c r="U240" s="179" t="str">
        <f>_xlfn.XLOOKUP(Tablo7[[#This Row],[Petlə]],Anbar!$J$3:$J$1000,Anbar!$H$3:$H$1000,"Tapilmadi")</f>
        <v>Tapilmadi</v>
      </c>
      <c r="V240" s="181">
        <v>0</v>
      </c>
      <c r="W240" s="180">
        <v>0</v>
      </c>
      <c r="X240" s="269">
        <v>12</v>
      </c>
      <c r="Y240" s="179" t="s">
        <v>36</v>
      </c>
      <c r="Z240" s="182"/>
      <c r="AA240" s="180">
        <v>39</v>
      </c>
      <c r="AB240" s="180"/>
      <c r="AC240" s="179" t="str">
        <f>_xlfn.XLOOKUP(Tablo7[[#This Row],[Bağlantı]],Anbar!$J$3:$J$1000,Anbar!$H$3:$H$1000,"Tapilmadi")</f>
        <v>Tapilmadi</v>
      </c>
      <c r="AD240" s="179"/>
      <c r="AE240" s="180">
        <v>12</v>
      </c>
      <c r="AF240" s="180"/>
      <c r="AG240" s="179" t="str">
        <f>_xlfn.XLOOKUP(Tablo7[[#This Row],[Mexanizm]],Anbar!$J$3:$J$1000,Anbar!$H$3:$H$1000,"Tapilmadi")</f>
        <v>Tapilmadi</v>
      </c>
      <c r="AH240" s="179">
        <v>1</v>
      </c>
      <c r="AI240" s="180">
        <v>0</v>
      </c>
      <c r="AJ240" s="180">
        <v>6</v>
      </c>
      <c r="AK240" s="180">
        <v>30</v>
      </c>
      <c r="AL240" s="180">
        <v>0</v>
      </c>
      <c r="AM240" s="180">
        <v>194</v>
      </c>
      <c r="AN240" s="180"/>
      <c r="AO240" s="180">
        <v>194</v>
      </c>
      <c r="AP240" s="194">
        <f>Tablo7[[#This Row],[Ümumi məbləğ]]-Tablo7[[#This Row],[Ödəniş]]-Tablo7[[#This Row],[Endirim]]</f>
        <v>0</v>
      </c>
      <c r="AQ240" s="183" t="str">
        <f t="shared" si="77"/>
        <v>Mesaj</v>
      </c>
      <c r="AR240" s="183" t="str">
        <f t="shared" si="78"/>
        <v>Mesaj</v>
      </c>
      <c r="AS240" s="184" t="str">
        <f>IF(ISNA(VLOOKUP(Tablo7[[#This Row],[Sifariş kodu]],'Kəsim ve təhvil'!$E$5:$E1238,1,0)),"Qəbul edilməyib","Qəbul edilib")</f>
        <v>Qəbul edilməyib</v>
      </c>
      <c r="AT240" s="185" t="str">
        <f>IF(ISNA(VLOOKUP(Tablo7[[#This Row],[Sifariş kodu]],'Kəsim ve təhvil'!$H$5:$H1238,1,0)),"Anbardadır","Təhvil verilib")</f>
        <v>Anbardadır</v>
      </c>
      <c r="AU240" s="186" t="str">
        <f>"Hörmətli *"&amp;Tablo7[[#This Row],[Müştəri]]&amp;"*  ,Sizin *"&amp;G240&amp;"* tarixli sifarişiniz qeydə alındı. Sifariş Məbləğı *"&amp;AM240&amp;" AZN* , Qalıq *"&amp;AP240&amp;" AZN* . Hörmətlə  *AlumPro*"</f>
        <v>Hörmətli *Elsen Qarazavod*  ,Sizin *30,11,2024* tarixli sifarişiniz qeydə alındı. Sifariş Məbləğı *194 AZN* , Qalıq *0 AZN* . Hörmətlə  *AlumPro*</v>
      </c>
      <c r="AV240" s="187" t="str">
        <f>"Hörmətli *"&amp;Tablo7[[#This Row],[Müştəri]]&amp;"* , sizin *"&amp;G240&amp;"* tarixli  sifarişiniz hazırdır . Bizi seçdiyiniz üçün minnətdarıq. Hörmətlə  *AlumPro*."</f>
        <v>Hörmətli *Elsen Qarazavod* , sizin *30,11,2024* tarixli  sifarişiniz hazırdır . Bizi seçdiyiniz üçün minnətdarıq. Hörmətlə  *AlumPro*.</v>
      </c>
      <c r="AW240" s="188" t="str">
        <f t="shared" si="80"/>
        <v>Elsen</v>
      </c>
      <c r="AX240" s="189" t="str">
        <f t="shared" si="79"/>
        <v xml:space="preserve">Elsen </v>
      </c>
    </row>
    <row r="241" spans="4:50">
      <c r="D241" s="178">
        <v>90</v>
      </c>
      <c r="E241" s="179" t="s">
        <v>681</v>
      </c>
      <c r="F241" s="179" t="s">
        <v>339</v>
      </c>
      <c r="G241" s="212" t="s">
        <v>682</v>
      </c>
      <c r="H241" s="179" t="s">
        <v>683</v>
      </c>
      <c r="I241" s="179" t="s">
        <v>684</v>
      </c>
      <c r="J241" s="179"/>
      <c r="K241" s="179" t="s">
        <v>405</v>
      </c>
      <c r="L241" s="179"/>
      <c r="M241" s="179" t="str">
        <f>_xlfn.XLOOKUP(Tablo7[[#This Row],[Yan Profili]],Anbar!$J$3:$J$1000,Anbar!$H$3:$H$1000,"Tapilmadi")</f>
        <v>Tapilmadi</v>
      </c>
      <c r="N241" s="179">
        <v>2</v>
      </c>
      <c r="O241" s="179">
        <v>46</v>
      </c>
      <c r="P241" s="179" t="s">
        <v>184</v>
      </c>
      <c r="Q241" s="179" t="str">
        <f>_xlfn.XLOOKUP(Tablo7[[#This Row],[Qulp növü]],Anbar!$J$3:$J$1000,Anbar!$H$3:$H$1000,"Tapilmadi")</f>
        <v>Tapilmadi</v>
      </c>
      <c r="R241" s="179">
        <v>1</v>
      </c>
      <c r="S241" s="180">
        <v>26</v>
      </c>
      <c r="T241" s="181"/>
      <c r="U241" s="179" t="str">
        <f>_xlfn.XLOOKUP(Tablo7[[#This Row],[Petlə]],Anbar!$J$3:$J$1000,Anbar!$H$3:$H$1000,"Tapilmadi")</f>
        <v>Tapilmadi</v>
      </c>
      <c r="V241" s="181">
        <v>0</v>
      </c>
      <c r="W241" s="180">
        <v>0</v>
      </c>
      <c r="X241" s="269">
        <v>0</v>
      </c>
      <c r="Y241" s="179" t="s">
        <v>199</v>
      </c>
      <c r="Z241" s="182"/>
      <c r="AA241" s="180">
        <v>27</v>
      </c>
      <c r="AB241" s="180"/>
      <c r="AC241" s="179" t="str">
        <f>_xlfn.XLOOKUP(Tablo7[[#This Row],[Bağlantı]],Anbar!$J$3:$J$1000,Anbar!$H$3:$H$1000,"Tapilmadi")</f>
        <v>Tapilmadi</v>
      </c>
      <c r="AD241" s="179"/>
      <c r="AE241" s="180">
        <v>4</v>
      </c>
      <c r="AF241" s="180"/>
      <c r="AG241" s="179" t="str">
        <f>_xlfn.XLOOKUP(Tablo7[[#This Row],[Mexanizm]],Anbar!$J$3:$J$1000,Anbar!$H$3:$H$1000,"Tapilmadi")</f>
        <v>Tapilmadi</v>
      </c>
      <c r="AH241" s="179">
        <v>1</v>
      </c>
      <c r="AI241" s="180">
        <v>0</v>
      </c>
      <c r="AJ241" s="180">
        <v>5</v>
      </c>
      <c r="AK241" s="180">
        <v>15</v>
      </c>
      <c r="AL241" s="180">
        <v>0</v>
      </c>
      <c r="AM241" s="180">
        <v>123</v>
      </c>
      <c r="AN241" s="180"/>
      <c r="AO241" s="180">
        <v>122</v>
      </c>
      <c r="AP241" s="194">
        <f>Tablo7[[#This Row],[Ümumi məbləğ]]-Tablo7[[#This Row],[Ödəniş]]-Tablo7[[#This Row],[Endirim]]</f>
        <v>1</v>
      </c>
      <c r="AQ241" s="183" t="str">
        <f t="shared" si="77"/>
        <v>Mesaj</v>
      </c>
      <c r="AR241" s="183" t="str">
        <f t="shared" si="78"/>
        <v>Mesaj</v>
      </c>
      <c r="AS241" s="184" t="str">
        <f>IF(ISNA(VLOOKUP(Tablo7[[#This Row],[Sifariş kodu]],'Kəsim ve təhvil'!$E$5:$E1239,1,0)),"Qəbul edilməyib","Qəbul edilib")</f>
        <v>Qəbul edilməyib</v>
      </c>
      <c r="AT241" s="185" t="str">
        <f>IF(ISNA(VLOOKUP(Tablo7[[#This Row],[Sifariş kodu]],'Kəsim ve təhvil'!$H$5:$H1239,1,0)),"Anbardadır","Təhvil verilib")</f>
        <v>Anbardadır</v>
      </c>
      <c r="AU241" s="186" t="str">
        <f>"Hörmətli *"&amp;Tablo7[[#This Row],[Müştəri]]&amp;"*  ,Sizin *"&amp;G241&amp;"* tarixli sifarişiniz qeydə alındı. Sifariş Məbləğı *"&amp;AM241&amp;" AZN* , Qalıq *"&amp;AP241&amp;" AZN* . Hörmətlə  *AlumPro*"</f>
        <v>Hörmətli *Elmeddin Soltanov*  ,Sizin *29,11,2024* tarixli sifarişiniz qeydə alındı. Sifariş Məbləğı *123 AZN* , Qalıq *1 AZN* . Hörmətlə  *AlumPro*</v>
      </c>
      <c r="AV241" s="187" t="str">
        <f>"Hörmətli *"&amp;Tablo7[[#This Row],[Müştəri]]&amp;"* , sizin *"&amp;G241&amp;"* tarixli  sifarişiniz hazırdır . Bizi seçdiyiniz üçün minnətdarıq. Hörmətlə  *AlumPro*."</f>
        <v>Hörmətli *Elmeddin Soltanov* , sizin *29,11,2024* tarixli  sifarişiniz hazırdır . Bizi seçdiyiniz üçün minnətdarıq. Hörmətlə  *AlumPro*.</v>
      </c>
      <c r="AW241" s="188" t="str">
        <f t="shared" si="80"/>
        <v>Elmeddin</v>
      </c>
      <c r="AX241" s="189" t="str">
        <f t="shared" si="79"/>
        <v xml:space="preserve">Elmeddin </v>
      </c>
    </row>
    <row r="242" spans="4:50">
      <c r="D242" s="178">
        <v>89</v>
      </c>
      <c r="E242" s="179" t="s">
        <v>685</v>
      </c>
      <c r="F242" s="179" t="s">
        <v>339</v>
      </c>
      <c r="G242" s="212" t="s">
        <v>682</v>
      </c>
      <c r="H242" s="179" t="s">
        <v>686</v>
      </c>
      <c r="I242" s="179" t="s">
        <v>687</v>
      </c>
      <c r="J242" s="179" t="s">
        <v>688</v>
      </c>
      <c r="K242" s="179"/>
      <c r="L242" s="179"/>
      <c r="M242" s="179">
        <f>_xlfn.XLOOKUP(Tablo7[[#This Row],[Yan Profili]],Anbar!$J$3:$J$1000,Anbar!$H$3:$H$1000,"Tapilmadi")</f>
        <v>0</v>
      </c>
      <c r="N242" s="179">
        <v>0</v>
      </c>
      <c r="O242" s="179">
        <v>0</v>
      </c>
      <c r="P242" s="179">
        <v>0</v>
      </c>
      <c r="Q242" s="179" t="str">
        <f>_xlfn.XLOOKUP(Tablo7[[#This Row],[Qulp növü]],Anbar!$J$3:$J$1000,Anbar!$H$3:$H$1000,"Tapilmadi")</f>
        <v>Tapilmadi</v>
      </c>
      <c r="R242" s="179">
        <v>0</v>
      </c>
      <c r="S242" s="180">
        <v>0</v>
      </c>
      <c r="T242" s="181" t="s">
        <v>318</v>
      </c>
      <c r="U242" s="179" t="str">
        <f>_xlfn.XLOOKUP(Tablo7[[#This Row],[Petlə]],Anbar!$J$3:$J$1000,Anbar!$H$3:$H$1000,"Tapilmadi")</f>
        <v>Tapilmadi</v>
      </c>
      <c r="V242" s="181">
        <v>3</v>
      </c>
      <c r="W242" s="180">
        <v>150</v>
      </c>
      <c r="X242" s="269">
        <v>0</v>
      </c>
      <c r="Y242" s="179"/>
      <c r="Z242" s="182"/>
      <c r="AA242" s="180">
        <v>0</v>
      </c>
      <c r="AB242" s="180"/>
      <c r="AC242" s="179" t="str">
        <f>_xlfn.XLOOKUP(Tablo7[[#This Row],[Bağlantı]],Anbar!$J$3:$J$1000,Anbar!$H$3:$H$1000,"Tapilmadi")</f>
        <v>Tapilmadi</v>
      </c>
      <c r="AD242" s="179"/>
      <c r="AE242" s="180">
        <v>0</v>
      </c>
      <c r="AF242" s="180"/>
      <c r="AG242" s="179" t="str">
        <f>_xlfn.XLOOKUP(Tablo7[[#This Row],[Mexanizm]],Anbar!$J$3:$J$1000,Anbar!$H$3:$H$1000,"Tapilmadi")</f>
        <v>Tapilmadi</v>
      </c>
      <c r="AH242" s="179">
        <v>1</v>
      </c>
      <c r="AI242" s="180">
        <v>0</v>
      </c>
      <c r="AJ242" s="180">
        <v>0</v>
      </c>
      <c r="AK242" s="180">
        <v>85</v>
      </c>
      <c r="AL242" s="180">
        <v>0</v>
      </c>
      <c r="AM242" s="180">
        <v>235</v>
      </c>
      <c r="AN242" s="180"/>
      <c r="AO242" s="180">
        <v>235</v>
      </c>
      <c r="AP242" s="194">
        <f>Tablo7[[#This Row],[Ümumi məbləğ]]-Tablo7[[#This Row],[Ödəniş]]-Tablo7[[#This Row],[Endirim]]</f>
        <v>0</v>
      </c>
      <c r="AQ242" s="183" t="str">
        <f t="shared" si="77"/>
        <v>Mesaj</v>
      </c>
      <c r="AR242" s="183" t="str">
        <f t="shared" si="78"/>
        <v>Mesaj</v>
      </c>
      <c r="AS242" s="184" t="str">
        <f>IF(ISNA(VLOOKUP(Tablo7[[#This Row],[Sifariş kodu]],'Kəsim ve təhvil'!$E$5:$E1240,1,0)),"Qəbul edilməyib","Qəbul edilib")</f>
        <v>Qəbul edilməyib</v>
      </c>
      <c r="AT242" s="185" t="str">
        <f>IF(ISNA(VLOOKUP(Tablo7[[#This Row],[Sifariş kodu]],'Kəsim ve təhvil'!$H$5:$H1240,1,0)),"Anbardadır","Təhvil verilib")</f>
        <v>Anbardadır</v>
      </c>
      <c r="AU242" s="186" t="str">
        <f>"Hörmətli *"&amp;Tablo7[[#This Row],[Müştəri]]&amp;"*  ,Sizin *"&amp;G242&amp;"* tarixli sifarişiniz qeydə alındı. Sifariş Məbləğı *"&amp;AM242&amp;" AZN* , Qalıq *"&amp;AP242&amp;" AZN* . Hörmətlə  *AlumPro*"</f>
        <v>Hörmətli *Vikenzo Mebel*  ,Sizin *29,11,2024* tarixli sifarişiniz qeydə alındı. Sifariş Məbləğı *235 AZN* , Qalıq *0 AZN* . Hörmətlə  *AlumPro*</v>
      </c>
      <c r="AV242" s="187" t="str">
        <f>"Hörmətli *"&amp;Tablo7[[#This Row],[Müştəri]]&amp;"* , sizin *"&amp;G242&amp;"* tarixli  sifarişiniz hazırdır . Bizi seçdiyiniz üçün minnətdarıq. Hörmətlə  *AlumPro*."</f>
        <v>Hörmətli *Vikenzo Mebel* , sizin *29,11,2024* tarixli  sifarişiniz hazırdır . Bizi seçdiyiniz üçün minnətdarıq. Hörmətlə  *AlumPro*.</v>
      </c>
      <c r="AW242" s="188" t="str">
        <f t="shared" si="80"/>
        <v>Vikenzo</v>
      </c>
      <c r="AX242" s="189" t="str">
        <f t="shared" si="79"/>
        <v xml:space="preserve">Vikenzo </v>
      </c>
    </row>
    <row r="243" spans="4:50">
      <c r="D243" s="178">
        <v>88</v>
      </c>
      <c r="E243" s="179" t="s">
        <v>689</v>
      </c>
      <c r="F243" s="179" t="s">
        <v>339</v>
      </c>
      <c r="G243" s="212" t="s">
        <v>682</v>
      </c>
      <c r="H243" s="179" t="s">
        <v>511</v>
      </c>
      <c r="I243" s="179" t="s">
        <v>512</v>
      </c>
      <c r="J243" s="179"/>
      <c r="K243" s="179" t="s">
        <v>194</v>
      </c>
      <c r="L243" s="179"/>
      <c r="M243" s="179" t="str">
        <f>_xlfn.XLOOKUP(Tablo7[[#This Row],[Yan Profili]],Anbar!$J$3:$J$1000,Anbar!$H$3:$H$1000,"Tapilmadi")</f>
        <v>Tapilmadi</v>
      </c>
      <c r="N243" s="179">
        <v>3</v>
      </c>
      <c r="O243" s="179">
        <v>69</v>
      </c>
      <c r="P243" s="179" t="s">
        <v>690</v>
      </c>
      <c r="Q243" s="179" t="str">
        <f>_xlfn.XLOOKUP(Tablo7[[#This Row],[Qulp növü]],Anbar!$J$3:$J$1000,Anbar!$H$3:$H$1000,"Tapilmadi")</f>
        <v>Tapilmadi</v>
      </c>
      <c r="R243" s="179">
        <v>2</v>
      </c>
      <c r="S243" s="180">
        <v>100</v>
      </c>
      <c r="T243" s="181" t="s">
        <v>691</v>
      </c>
      <c r="U243" s="179" t="str">
        <f>_xlfn.XLOOKUP(Tablo7[[#This Row],[Petlə]],Anbar!$J$3:$J$1000,Anbar!$H$3:$H$1000,"Tapilmadi")</f>
        <v>Tapilmadi</v>
      </c>
      <c r="V243" s="181">
        <v>8</v>
      </c>
      <c r="W243" s="180">
        <v>32</v>
      </c>
      <c r="X243" s="269">
        <v>0</v>
      </c>
      <c r="Y243" s="179" t="s">
        <v>36</v>
      </c>
      <c r="Z243" s="182"/>
      <c r="AA243" s="180">
        <v>65</v>
      </c>
      <c r="AB243" s="180"/>
      <c r="AC243" s="179" t="str">
        <f>_xlfn.XLOOKUP(Tablo7[[#This Row],[Bağlantı]],Anbar!$J$3:$J$1000,Anbar!$H$3:$H$1000,"Tapilmadi")</f>
        <v>Tapilmadi</v>
      </c>
      <c r="AD243" s="179"/>
      <c r="AE243" s="180">
        <v>8</v>
      </c>
      <c r="AF243" s="180"/>
      <c r="AG243" s="179" t="str">
        <f>_xlfn.XLOOKUP(Tablo7[[#This Row],[Mexanizm]],Anbar!$J$3:$J$1000,Anbar!$H$3:$H$1000,"Tapilmadi")</f>
        <v>Tapilmadi</v>
      </c>
      <c r="AH243" s="179">
        <v>1</v>
      </c>
      <c r="AI243" s="180">
        <v>0</v>
      </c>
      <c r="AJ243" s="180">
        <v>8</v>
      </c>
      <c r="AK243" s="180">
        <v>30</v>
      </c>
      <c r="AL243" s="180">
        <v>0</v>
      </c>
      <c r="AM243" s="180">
        <v>312</v>
      </c>
      <c r="AN243" s="180"/>
      <c r="AO243" s="180">
        <v>328</v>
      </c>
      <c r="AP243" s="194">
        <f>Tablo7[[#This Row],[Ümumi məbləğ]]-Tablo7[[#This Row],[Ödəniş]]-Tablo7[[#This Row],[Endirim]]</f>
        <v>-16</v>
      </c>
      <c r="AQ243" s="183" t="str">
        <f t="shared" si="77"/>
        <v>Mesaj</v>
      </c>
      <c r="AR243" s="183" t="str">
        <f t="shared" si="78"/>
        <v>Mesaj</v>
      </c>
      <c r="AS243" s="184" t="str">
        <f>IF(ISNA(VLOOKUP(Tablo7[[#This Row],[Sifariş kodu]],'Kəsim ve təhvil'!$E$5:$E1241,1,0)),"Qəbul edilməyib","Qəbul edilib")</f>
        <v>Qəbul edilməyib</v>
      </c>
      <c r="AT243" s="185" t="str">
        <f>IF(ISNA(VLOOKUP(Tablo7[[#This Row],[Sifariş kodu]],'Kəsim ve təhvil'!$H$5:$H1241,1,0)),"Anbardadır","Təhvil verilib")</f>
        <v>Anbardadır</v>
      </c>
      <c r="AU243" s="186" t="str">
        <f>"Hörmətli *"&amp;Tablo7[[#This Row],[Müştəri]]&amp;"*  ,Sizin *"&amp;G243&amp;"* tarixli sifarişiniz qeydə alındı. Sifariş Məbləğı *"&amp;AM243&amp;" AZN* , Qalıq *"&amp;AP243&amp;" AZN* . Hörmətlə  *AlumPro*"</f>
        <v>Hörmətli *Ebulfez Qasımzade*  ,Sizin *29,11,2024* tarixli sifarişiniz qeydə alındı. Sifariş Məbləğı *312 AZN* , Qalıq *-16 AZN* . Hörmətlə  *AlumPro*</v>
      </c>
      <c r="AV243" s="187" t="str">
        <f>"Hörmətli *"&amp;Tablo7[[#This Row],[Müştəri]]&amp;"* , sizin *"&amp;G243&amp;"* tarixli  sifarişiniz hazırdır . Bizi seçdiyiniz üçün minnətdarıq. Hörmətlə  *AlumPro*."</f>
        <v>Hörmətli *Ebulfez Qasımzade* , sizin *29,11,2024* tarixli  sifarişiniz hazırdır . Bizi seçdiyiniz üçün minnətdarıq. Hörmətlə  *AlumPro*.</v>
      </c>
      <c r="AW243" s="188" t="str">
        <f t="shared" si="80"/>
        <v>Ebulfez</v>
      </c>
      <c r="AX243" s="189" t="str">
        <f t="shared" si="79"/>
        <v xml:space="preserve">Ebulfez </v>
      </c>
    </row>
    <row r="244" spans="4:50">
      <c r="D244" s="178">
        <v>87</v>
      </c>
      <c r="E244" s="179" t="s">
        <v>692</v>
      </c>
      <c r="F244" s="179" t="s">
        <v>339</v>
      </c>
      <c r="G244" s="212" t="s">
        <v>682</v>
      </c>
      <c r="H244" s="179" t="s">
        <v>208</v>
      </c>
      <c r="I244" s="179" t="s">
        <v>209</v>
      </c>
      <c r="J244" s="179"/>
      <c r="K244" s="179" t="s">
        <v>183</v>
      </c>
      <c r="L244" s="179"/>
      <c r="M244" s="179" t="str">
        <f>_xlfn.XLOOKUP(Tablo7[[#This Row],[Yan Profili]],Anbar!$J$3:$J$1000,Anbar!$H$3:$H$1000,"Tapilmadi")</f>
        <v>Tapilmadi</v>
      </c>
      <c r="N244" s="179">
        <v>1</v>
      </c>
      <c r="O244" s="179">
        <v>23</v>
      </c>
      <c r="P244" s="179" t="s">
        <v>184</v>
      </c>
      <c r="Q244" s="179" t="str">
        <f>_xlfn.XLOOKUP(Tablo7[[#This Row],[Qulp növü]],Anbar!$J$3:$J$1000,Anbar!$H$3:$H$1000,"Tapilmadi")</f>
        <v>Tapilmadi</v>
      </c>
      <c r="R244" s="179">
        <v>1</v>
      </c>
      <c r="S244" s="180">
        <v>26</v>
      </c>
      <c r="T244" s="181"/>
      <c r="U244" s="179" t="str">
        <f>_xlfn.XLOOKUP(Tablo7[[#This Row],[Petlə]],Anbar!$J$3:$J$1000,Anbar!$H$3:$H$1000,"Tapilmadi")</f>
        <v>Tapilmadi</v>
      </c>
      <c r="V244" s="181">
        <v>0</v>
      </c>
      <c r="W244" s="180">
        <v>0</v>
      </c>
      <c r="X244" s="269">
        <v>9</v>
      </c>
      <c r="Y244" s="179" t="s">
        <v>36</v>
      </c>
      <c r="Z244" s="182"/>
      <c r="AA244" s="180">
        <v>23</v>
      </c>
      <c r="AB244" s="180"/>
      <c r="AC244" s="179" t="str">
        <f>_xlfn.XLOOKUP(Tablo7[[#This Row],[Bağlantı]],Anbar!$J$3:$J$1000,Anbar!$H$3:$H$1000,"Tapilmadi")</f>
        <v>Tapilmadi</v>
      </c>
      <c r="AD244" s="179"/>
      <c r="AE244" s="180">
        <v>4</v>
      </c>
      <c r="AF244" s="180"/>
      <c r="AG244" s="179" t="str">
        <f>_xlfn.XLOOKUP(Tablo7[[#This Row],[Mexanizm]],Anbar!$J$3:$J$1000,Anbar!$H$3:$H$1000,"Tapilmadi")</f>
        <v>Tapilmadi</v>
      </c>
      <c r="AH244" s="179">
        <v>1</v>
      </c>
      <c r="AI244" s="180">
        <v>0</v>
      </c>
      <c r="AJ244" s="180">
        <v>0</v>
      </c>
      <c r="AK244" s="180">
        <v>15</v>
      </c>
      <c r="AL244" s="180">
        <v>0</v>
      </c>
      <c r="AM244" s="180">
        <v>100</v>
      </c>
      <c r="AN244" s="180"/>
      <c r="AO244" s="180">
        <v>100</v>
      </c>
      <c r="AP244" s="194">
        <f>Tablo7[[#This Row],[Ümumi məbləğ]]-Tablo7[[#This Row],[Ödəniş]]-Tablo7[[#This Row],[Endirim]]</f>
        <v>0</v>
      </c>
      <c r="AQ244" s="183" t="str">
        <f t="shared" si="77"/>
        <v>Mesaj</v>
      </c>
      <c r="AR244" s="183" t="str">
        <f t="shared" si="78"/>
        <v>Mesaj</v>
      </c>
      <c r="AS244" s="184" t="str">
        <f>IF(ISNA(VLOOKUP(Tablo7[[#This Row],[Sifariş kodu]],'Kəsim ve təhvil'!$E$5:$E1242,1,0)),"Qəbul edilməyib","Qəbul edilib")</f>
        <v>Qəbul edilməyib</v>
      </c>
      <c r="AT244" s="185" t="str">
        <f>IF(ISNA(VLOOKUP(Tablo7[[#This Row],[Sifariş kodu]],'Kəsim ve təhvil'!$H$5:$H1242,1,0)),"Anbardadır","Təhvil verilib")</f>
        <v>Anbardadır</v>
      </c>
      <c r="AU244" s="186" t="str">
        <f>"Hörmətli *"&amp;Tablo7[[#This Row],[Müştəri]]&amp;"*  ,Sizin *"&amp;G244&amp;"* tarixli sifarişiniz qeydə alındı. Sifariş Məbləğı *"&amp;AM244&amp;" AZN* , Qalıq *"&amp;AP244&amp;" AZN* . Hörmətlə  *AlumPro*"</f>
        <v>Hörmətli *Ceyhun Sumqayit*  ,Sizin *29,11,2024* tarixli sifarişiniz qeydə alındı. Sifariş Məbləğı *100 AZN* , Qalıq *0 AZN* . Hörmətlə  *AlumPro*</v>
      </c>
      <c r="AV244" s="187" t="str">
        <f>"Hörmətli *"&amp;Tablo7[[#This Row],[Müştəri]]&amp;"* , sizin *"&amp;G244&amp;"* tarixli  sifarişiniz hazırdır . Bizi seçdiyiniz üçün minnətdarıq. Hörmətlə  *AlumPro*."</f>
        <v>Hörmətli *Ceyhun Sumqayit* , sizin *29,11,2024* tarixli  sifarişiniz hazırdır . Bizi seçdiyiniz üçün minnətdarıq. Hörmətlə  *AlumPro*.</v>
      </c>
      <c r="AW244" s="188" t="str">
        <f t="shared" si="80"/>
        <v>Ceyhun</v>
      </c>
      <c r="AX244" s="189" t="str">
        <f t="shared" si="79"/>
        <v xml:space="preserve">Ceyhun </v>
      </c>
    </row>
    <row r="245" spans="4:50">
      <c r="D245" s="178">
        <v>86</v>
      </c>
      <c r="E245" s="179" t="s">
        <v>693</v>
      </c>
      <c r="F245" s="179" t="s">
        <v>339</v>
      </c>
      <c r="G245" s="212" t="s">
        <v>694</v>
      </c>
      <c r="H245" s="179" t="s">
        <v>695</v>
      </c>
      <c r="I245" s="179" t="s">
        <v>696</v>
      </c>
      <c r="J245" s="179"/>
      <c r="K245" s="179" t="s">
        <v>189</v>
      </c>
      <c r="L245" s="179"/>
      <c r="M245" s="179" t="str">
        <f>_xlfn.XLOOKUP(Tablo7[[#This Row],[Yan Profili]],Anbar!$J$3:$J$1000,Anbar!$H$3:$H$1000,"Tapilmadi")</f>
        <v>Tapilmadi</v>
      </c>
      <c r="N245" s="179">
        <v>8</v>
      </c>
      <c r="O245" s="179">
        <v>184</v>
      </c>
      <c r="P245" s="179" t="s">
        <v>184</v>
      </c>
      <c r="Q245" s="179" t="str">
        <f>_xlfn.XLOOKUP(Tablo7[[#This Row],[Qulp növü]],Anbar!$J$3:$J$1000,Anbar!$H$3:$H$1000,"Tapilmadi")</f>
        <v>Tapilmadi</v>
      </c>
      <c r="R245" s="179">
        <v>5</v>
      </c>
      <c r="S245" s="180">
        <v>130</v>
      </c>
      <c r="T245" s="181"/>
      <c r="U245" s="179" t="str">
        <f>_xlfn.XLOOKUP(Tablo7[[#This Row],[Petlə]],Anbar!$J$3:$J$1000,Anbar!$H$3:$H$1000,"Tapilmadi")</f>
        <v>Tapilmadi</v>
      </c>
      <c r="V245" s="181">
        <v>0</v>
      </c>
      <c r="W245" s="180">
        <v>0</v>
      </c>
      <c r="X245" s="269">
        <v>0</v>
      </c>
      <c r="Y245" s="179" t="s">
        <v>199</v>
      </c>
      <c r="Z245" s="182"/>
      <c r="AA245" s="180">
        <v>189</v>
      </c>
      <c r="AB245" s="180"/>
      <c r="AC245" s="179" t="str">
        <f>_xlfn.XLOOKUP(Tablo7[[#This Row],[Bağlantı]],Anbar!$J$3:$J$1000,Anbar!$H$3:$H$1000,"Tapilmadi")</f>
        <v>Tapilmadi</v>
      </c>
      <c r="AD245" s="179"/>
      <c r="AE245" s="180">
        <v>28</v>
      </c>
      <c r="AF245" s="180"/>
      <c r="AG245" s="179" t="str">
        <f>_xlfn.XLOOKUP(Tablo7[[#This Row],[Mexanizm]],Anbar!$J$3:$J$1000,Anbar!$H$3:$H$1000,"Tapilmadi")</f>
        <v>Tapilmadi</v>
      </c>
      <c r="AH245" s="179">
        <v>1</v>
      </c>
      <c r="AI245" s="180">
        <v>0</v>
      </c>
      <c r="AJ245" s="180">
        <v>26</v>
      </c>
      <c r="AK245" s="180">
        <v>90</v>
      </c>
      <c r="AL245" s="180">
        <v>0</v>
      </c>
      <c r="AM245" s="180">
        <v>647</v>
      </c>
      <c r="AN245" s="180"/>
      <c r="AO245" s="180">
        <v>647</v>
      </c>
      <c r="AP245" s="194">
        <f>Tablo7[[#This Row],[Ümumi məbləğ]]-Tablo7[[#This Row],[Ödəniş]]-Tablo7[[#This Row],[Endirim]]</f>
        <v>0</v>
      </c>
      <c r="AQ245" s="183" t="str">
        <f t="shared" si="77"/>
        <v>Mesaj</v>
      </c>
      <c r="AR245" s="183" t="str">
        <f t="shared" si="78"/>
        <v>Mesaj</v>
      </c>
      <c r="AS245" s="184" t="str">
        <f>IF(ISNA(VLOOKUP(Tablo7[[#This Row],[Sifariş kodu]],'Kəsim ve təhvil'!$E$5:$E1243,1,0)),"Qəbul edilməyib","Qəbul edilib")</f>
        <v>Qəbul edilməyib</v>
      </c>
      <c r="AT245" s="185" t="str">
        <f>IF(ISNA(VLOOKUP(Tablo7[[#This Row],[Sifariş kodu]],'Kəsim ve təhvil'!$H$5:$H1243,1,0)),"Anbardadır","Təhvil verilib")</f>
        <v>Anbardadır</v>
      </c>
      <c r="AU245" s="186" t="str">
        <f>"Hörmətli *"&amp;Tablo7[[#This Row],[Müştəri]]&amp;"*  ,Sizin *"&amp;G245&amp;"* tarixli sifarişiniz qeydə alındı. Sifariş Məbləğı *"&amp;AM245&amp;" AZN* , Qalıq *"&amp;AP245&amp;" AZN* . Hörmətlə  *AlumPro*"</f>
        <v>Hörmətli *Taleh Kesle Ulduz*  ,Sizin *28,11,2024* tarixli sifarişiniz qeydə alındı. Sifariş Məbləğı *647 AZN* , Qalıq *0 AZN* . Hörmətlə  *AlumPro*</v>
      </c>
      <c r="AV245" s="187" t="str">
        <f>"Hörmətli *"&amp;Tablo7[[#This Row],[Müştəri]]&amp;"* , sizin *"&amp;G245&amp;"* tarixli  sifarişiniz hazırdır . Bizi seçdiyiniz üçün minnətdarıq. Hörmətlə  *AlumPro*."</f>
        <v>Hörmətli *Taleh Kesle Ulduz* , sizin *28,11,2024* tarixli  sifarişiniz hazırdır . Bizi seçdiyiniz üçün minnətdarıq. Hörmətlə  *AlumPro*.</v>
      </c>
      <c r="AW245" s="188" t="str">
        <f t="shared" si="80"/>
        <v>Taleh</v>
      </c>
      <c r="AX245" s="189" t="str">
        <f t="shared" si="79"/>
        <v xml:space="preserve">Taleh </v>
      </c>
    </row>
    <row r="246" spans="4:50">
      <c r="D246" s="178">
        <v>85</v>
      </c>
      <c r="E246" s="179" t="s">
        <v>697</v>
      </c>
      <c r="F246" s="179" t="s">
        <v>339</v>
      </c>
      <c r="G246" s="212" t="s">
        <v>694</v>
      </c>
      <c r="H246" s="179" t="s">
        <v>578</v>
      </c>
      <c r="I246" s="179" t="s">
        <v>579</v>
      </c>
      <c r="J246" s="179"/>
      <c r="K246" s="179" t="s">
        <v>183</v>
      </c>
      <c r="L246" s="179"/>
      <c r="M246" s="179" t="str">
        <f>_xlfn.XLOOKUP(Tablo7[[#This Row],[Yan Profili]],Anbar!$J$3:$J$1000,Anbar!$H$3:$H$1000,"Tapilmadi")</f>
        <v>Tapilmadi</v>
      </c>
      <c r="N246" s="179">
        <v>24</v>
      </c>
      <c r="O246" s="179">
        <v>552</v>
      </c>
      <c r="P246" s="179" t="s">
        <v>195</v>
      </c>
      <c r="Q246" s="179" t="str">
        <f>_xlfn.XLOOKUP(Tablo7[[#This Row],[Qulp növü]],Anbar!$J$3:$J$1000,Anbar!$H$3:$H$1000,"Tapilmadi")</f>
        <v>Tapilmadi</v>
      </c>
      <c r="R246" s="179">
        <v>0</v>
      </c>
      <c r="S246" s="180">
        <v>0</v>
      </c>
      <c r="T246" s="181"/>
      <c r="U246" s="179" t="str">
        <f>_xlfn.XLOOKUP(Tablo7[[#This Row],[Petlə]],Anbar!$J$3:$J$1000,Anbar!$H$3:$H$1000,"Tapilmadi")</f>
        <v>Tapilmadi</v>
      </c>
      <c r="V246" s="181">
        <v>0</v>
      </c>
      <c r="W246" s="180">
        <v>0</v>
      </c>
      <c r="X246" s="269">
        <v>72</v>
      </c>
      <c r="Y246" s="179" t="s">
        <v>199</v>
      </c>
      <c r="Z246" s="182"/>
      <c r="AA246" s="180">
        <v>325</v>
      </c>
      <c r="AB246" s="180"/>
      <c r="AC246" s="179" t="str">
        <f>_xlfn.XLOOKUP(Tablo7[[#This Row],[Bağlantı]],Anbar!$J$3:$J$1000,Anbar!$H$3:$H$1000,"Tapilmadi")</f>
        <v>Tapilmadi</v>
      </c>
      <c r="AD246" s="179"/>
      <c r="AE246" s="180">
        <v>48</v>
      </c>
      <c r="AF246" s="180"/>
      <c r="AG246" s="179" t="str">
        <f>_xlfn.XLOOKUP(Tablo7[[#This Row],[Mexanizm]],Anbar!$J$3:$J$1000,Anbar!$H$3:$H$1000,"Tapilmadi")</f>
        <v>Tapilmadi</v>
      </c>
      <c r="AH246" s="179">
        <v>1</v>
      </c>
      <c r="AI246" s="180">
        <v>0</v>
      </c>
      <c r="AJ246" s="180">
        <v>48</v>
      </c>
      <c r="AK246" s="180">
        <v>180</v>
      </c>
      <c r="AL246" s="180">
        <v>0</v>
      </c>
      <c r="AM246" s="180">
        <v>1225</v>
      </c>
      <c r="AN246" s="180">
        <v>25</v>
      </c>
      <c r="AO246" s="180">
        <v>1200</v>
      </c>
      <c r="AP246" s="194">
        <f>Tablo7[[#This Row],[Ümumi məbləğ]]-Tablo7[[#This Row],[Ödəniş]]-Tablo7[[#This Row],[Endirim]]</f>
        <v>0</v>
      </c>
      <c r="AQ246" s="183" t="str">
        <f t="shared" si="77"/>
        <v>Mesaj</v>
      </c>
      <c r="AR246" s="183" t="str">
        <f t="shared" si="78"/>
        <v>Mesaj</v>
      </c>
      <c r="AS246" s="184" t="str">
        <f>IF(ISNA(VLOOKUP(Tablo7[[#This Row],[Sifariş kodu]],'Kəsim ve təhvil'!$E$5:$E1244,1,0)),"Qəbul edilməyib","Qəbul edilib")</f>
        <v>Qəbul edilməyib</v>
      </c>
      <c r="AT246" s="185" t="str">
        <f>IF(ISNA(VLOOKUP(Tablo7[[#This Row],[Sifariş kodu]],'Kəsim ve təhvil'!$H$5:$H1244,1,0)),"Anbardadır","Təhvil verilib")</f>
        <v>Anbardadır</v>
      </c>
      <c r="AU246" s="186" t="str">
        <f>"Hörmətli *"&amp;Tablo7[[#This Row],[Müştəri]]&amp;"*  ,Sizin *"&amp;G246&amp;"* tarixli sifarişiniz qeydə alındı. Sifariş Məbləğı *"&amp;AM246&amp;" AZN* , Qalıq *"&amp;AP246&amp;" AZN* . Hörmətlə  *AlumPro*"</f>
        <v>Hörmətli *Sasha Amix*  ,Sizin *28,11,2024* tarixli sifarişiniz qeydə alındı. Sifariş Məbləğı *1225 AZN* , Qalıq *0 AZN* . Hörmətlə  *AlumPro*</v>
      </c>
      <c r="AV246" s="187" t="str">
        <f>"Hörmətli *"&amp;Tablo7[[#This Row],[Müştəri]]&amp;"* , sizin *"&amp;G246&amp;"* tarixli  sifarişiniz hazırdır . Bizi seçdiyiniz üçün minnətdarıq. Hörmətlə  *AlumPro*."</f>
        <v>Hörmətli *Sasha Amix* , sizin *28,11,2024* tarixli  sifarişiniz hazırdır . Bizi seçdiyiniz üçün minnətdarıq. Hörmətlə  *AlumPro*.</v>
      </c>
      <c r="AW246" s="188" t="str">
        <f t="shared" si="80"/>
        <v>Sasha</v>
      </c>
      <c r="AX246" s="189" t="str">
        <f t="shared" si="79"/>
        <v xml:space="preserve">Sasha </v>
      </c>
    </row>
    <row r="247" spans="4:50">
      <c r="D247" s="178">
        <v>84</v>
      </c>
      <c r="E247" s="179" t="s">
        <v>698</v>
      </c>
      <c r="F247" s="179" t="s">
        <v>339</v>
      </c>
      <c r="G247" s="212" t="s">
        <v>694</v>
      </c>
      <c r="H247" s="179" t="s">
        <v>187</v>
      </c>
      <c r="I247" s="179" t="s">
        <v>188</v>
      </c>
      <c r="J247" s="179" t="s">
        <v>699</v>
      </c>
      <c r="K247" s="179" t="s">
        <v>258</v>
      </c>
      <c r="L247" s="179"/>
      <c r="M247" s="179" t="str">
        <f>_xlfn.XLOOKUP(Tablo7[[#This Row],[Yan Profili]],Anbar!$J$3:$J$1000,Anbar!$H$3:$H$1000,"Tapilmadi")</f>
        <v>Tapilmadi</v>
      </c>
      <c r="N247" s="179">
        <v>2</v>
      </c>
      <c r="O247" s="179">
        <v>60</v>
      </c>
      <c r="P247" s="179">
        <v>0</v>
      </c>
      <c r="Q247" s="179" t="str">
        <f>_xlfn.XLOOKUP(Tablo7[[#This Row],[Qulp növü]],Anbar!$J$3:$J$1000,Anbar!$H$3:$H$1000,"Tapilmadi")</f>
        <v>Tapilmadi</v>
      </c>
      <c r="R247" s="179">
        <v>0</v>
      </c>
      <c r="S247" s="180">
        <v>0</v>
      </c>
      <c r="T247" s="181"/>
      <c r="U247" s="179" t="str">
        <f>_xlfn.XLOOKUP(Tablo7[[#This Row],[Petlə]],Anbar!$J$3:$J$1000,Anbar!$H$3:$H$1000,"Tapilmadi")</f>
        <v>Tapilmadi</v>
      </c>
      <c r="V247" s="181">
        <v>0</v>
      </c>
      <c r="W247" s="180">
        <v>0</v>
      </c>
      <c r="X247" s="269">
        <v>0</v>
      </c>
      <c r="Y247" s="179" t="s">
        <v>276</v>
      </c>
      <c r="Z247" s="182"/>
      <c r="AA247" s="180">
        <v>0</v>
      </c>
      <c r="AB247" s="180"/>
      <c r="AC247" s="179" t="str">
        <f>_xlfn.XLOOKUP(Tablo7[[#This Row],[Bağlantı]],Anbar!$J$3:$J$1000,Anbar!$H$3:$H$1000,"Tapilmadi")</f>
        <v>Tapilmadi</v>
      </c>
      <c r="AD247" s="179"/>
      <c r="AE247" s="180">
        <v>0</v>
      </c>
      <c r="AF247" s="180"/>
      <c r="AG247" s="179" t="str">
        <f>_xlfn.XLOOKUP(Tablo7[[#This Row],[Mexanizm]],Anbar!$J$3:$J$1000,Anbar!$H$3:$H$1000,"Tapilmadi")</f>
        <v>Tapilmadi</v>
      </c>
      <c r="AH247" s="179">
        <v>1</v>
      </c>
      <c r="AI247" s="180">
        <v>0</v>
      </c>
      <c r="AJ247" s="180">
        <v>0</v>
      </c>
      <c r="AK247" s="180">
        <v>0</v>
      </c>
      <c r="AL247" s="180">
        <v>0</v>
      </c>
      <c r="AM247" s="180">
        <v>60</v>
      </c>
      <c r="AN247" s="180"/>
      <c r="AO247" s="180">
        <v>60</v>
      </c>
      <c r="AP247" s="194">
        <f>Tablo7[[#This Row],[Ümumi məbləğ]]-Tablo7[[#This Row],[Ödəniş]]-Tablo7[[#This Row],[Endirim]]</f>
        <v>0</v>
      </c>
      <c r="AQ247" s="183" t="str">
        <f t="shared" si="77"/>
        <v>Mesaj</v>
      </c>
      <c r="AR247" s="183" t="str">
        <f t="shared" si="78"/>
        <v>Mesaj</v>
      </c>
      <c r="AS247" s="184" t="str">
        <f>IF(ISNA(VLOOKUP(Tablo7[[#This Row],[Sifariş kodu]],'Kəsim ve təhvil'!$E$5:$E1245,1,0)),"Qəbul edilməyib","Qəbul edilib")</f>
        <v>Qəbul edilməyib</v>
      </c>
      <c r="AT247" s="185" t="str">
        <f>IF(ISNA(VLOOKUP(Tablo7[[#This Row],[Sifariş kodu]],'Kəsim ve təhvil'!$H$5:$H1245,1,0)),"Anbardadır","Təhvil verilib")</f>
        <v>Anbardadır</v>
      </c>
      <c r="AU247" s="186" t="str">
        <f>"Hörmətli *"&amp;Tablo7[[#This Row],[Müştəri]]&amp;"*  ,Sizin *"&amp;G247&amp;"* tarixli sifarişiniz qeydə alındı. Sifariş Məbləğı *"&amp;AM247&amp;" AZN* , Qalıq *"&amp;AP247&amp;" AZN* . Hörmətlə  *AlumPro*"</f>
        <v>Hörmətli *Mahir MM*  ,Sizin *28,11,2024* tarixli sifarişiniz qeydə alındı. Sifariş Məbləğı *60 AZN* , Qalıq *0 AZN* . Hörmətlə  *AlumPro*</v>
      </c>
      <c r="AV247" s="187" t="str">
        <f>"Hörmətli *"&amp;Tablo7[[#This Row],[Müştəri]]&amp;"* , sizin *"&amp;G247&amp;"* tarixli  sifarişiniz hazırdır . Bizi seçdiyiniz üçün minnətdarıq. Hörmətlə  *AlumPro*."</f>
        <v>Hörmətli *Mahir MM* , sizin *28,11,2024* tarixli  sifarişiniz hazırdır . Bizi seçdiyiniz üçün minnətdarıq. Hörmətlə  *AlumPro*.</v>
      </c>
      <c r="AW247" s="188" t="str">
        <f t="shared" si="80"/>
        <v>Mahir</v>
      </c>
      <c r="AX247" s="189" t="str">
        <f t="shared" si="79"/>
        <v xml:space="preserve">Mahir </v>
      </c>
    </row>
    <row r="248" spans="4:50">
      <c r="D248" s="178">
        <v>83</v>
      </c>
      <c r="E248" s="179" t="s">
        <v>700</v>
      </c>
      <c r="F248" s="179" t="s">
        <v>339</v>
      </c>
      <c r="G248" s="212" t="s">
        <v>694</v>
      </c>
      <c r="H248" s="179" t="s">
        <v>499</v>
      </c>
      <c r="I248" s="179">
        <v>0</v>
      </c>
      <c r="J248" s="179"/>
      <c r="K248" s="179" t="s">
        <v>429</v>
      </c>
      <c r="L248" s="179"/>
      <c r="M248" s="179" t="str">
        <f>_xlfn.XLOOKUP(Tablo7[[#This Row],[Yan Profili]],Anbar!$J$3:$J$1000,Anbar!$H$3:$H$1000,"Tapilmadi")</f>
        <v>Tapilmadi</v>
      </c>
      <c r="N248" s="179">
        <v>3</v>
      </c>
      <c r="O248" s="179">
        <v>130</v>
      </c>
      <c r="P248" s="179">
        <v>0</v>
      </c>
      <c r="Q248" s="179" t="str">
        <f>_xlfn.XLOOKUP(Tablo7[[#This Row],[Qulp növü]],Anbar!$J$3:$J$1000,Anbar!$H$3:$H$1000,"Tapilmadi")</f>
        <v>Tapilmadi</v>
      </c>
      <c r="R248" s="179">
        <v>0</v>
      </c>
      <c r="S248" s="180">
        <v>0</v>
      </c>
      <c r="T248" s="181"/>
      <c r="U248" s="179" t="str">
        <f>_xlfn.XLOOKUP(Tablo7[[#This Row],[Petlə]],Anbar!$J$3:$J$1000,Anbar!$H$3:$H$1000,"Tapilmadi")</f>
        <v>Tapilmadi</v>
      </c>
      <c r="V248" s="181">
        <v>0</v>
      </c>
      <c r="W248" s="180">
        <v>0</v>
      </c>
      <c r="X248" s="269">
        <v>0</v>
      </c>
      <c r="Y248" s="179" t="s">
        <v>276</v>
      </c>
      <c r="Z248" s="182"/>
      <c r="AA248" s="180">
        <v>70</v>
      </c>
      <c r="AB248" s="180"/>
      <c r="AC248" s="179" t="str">
        <f>_xlfn.XLOOKUP(Tablo7[[#This Row],[Bağlantı]],Anbar!$J$3:$J$1000,Anbar!$H$3:$H$1000,"Tapilmadi")</f>
        <v>Tapilmadi</v>
      </c>
      <c r="AD248" s="179"/>
      <c r="AE248" s="180">
        <v>0</v>
      </c>
      <c r="AF248" s="180"/>
      <c r="AG248" s="179" t="str">
        <f>_xlfn.XLOOKUP(Tablo7[[#This Row],[Mexanizm]],Anbar!$J$3:$J$1000,Anbar!$H$3:$H$1000,"Tapilmadi")</f>
        <v>Tapilmadi</v>
      </c>
      <c r="AH248" s="179">
        <v>1</v>
      </c>
      <c r="AI248" s="180">
        <v>0</v>
      </c>
      <c r="AJ248" s="180">
        <v>0</v>
      </c>
      <c r="AK248" s="180">
        <v>0</v>
      </c>
      <c r="AL248" s="180">
        <v>0</v>
      </c>
      <c r="AM248" s="180">
        <v>200</v>
      </c>
      <c r="AN248" s="180"/>
      <c r="AO248" s="180">
        <v>200</v>
      </c>
      <c r="AP248" s="194">
        <f>Tablo7[[#This Row],[Ümumi məbləğ]]-Tablo7[[#This Row],[Ödəniş]]-Tablo7[[#This Row],[Endirim]]</f>
        <v>0</v>
      </c>
      <c r="AQ248" s="183" t="str">
        <f t="shared" si="77"/>
        <v>Mesaj</v>
      </c>
      <c r="AR248" s="183" t="str">
        <f t="shared" si="78"/>
        <v>Mesaj</v>
      </c>
      <c r="AS248" s="184" t="str">
        <f>IF(ISNA(VLOOKUP(Tablo7[[#This Row],[Sifariş kodu]],'Kəsim ve təhvil'!$E$5:$E1246,1,0)),"Qəbul edilməyib","Qəbul edilib")</f>
        <v>Qəbul edilməyib</v>
      </c>
      <c r="AT248" s="185" t="str">
        <f>IF(ISNA(VLOOKUP(Tablo7[[#This Row],[Sifariş kodu]],'Kəsim ve təhvil'!$H$5:$H1246,1,0)),"Anbardadır","Təhvil verilib")</f>
        <v>Anbardadır</v>
      </c>
      <c r="AU248" s="186" t="str">
        <f>"Hörmətli *"&amp;Tablo7[[#This Row],[Müştəri]]&amp;"*  ,Sizin *"&amp;G248&amp;"* tarixli sifarişiniz qeydə alındı. Sifariş Məbləğı *"&amp;AM248&amp;" AZN* , Qalıq *"&amp;AP248&amp;" AZN* . Hörmətlə  *AlumPro*"</f>
        <v>Hörmətli *Elsen Eldizayn*  ,Sizin *28,11,2024* tarixli sifarişiniz qeydə alındı. Sifariş Məbləğı *200 AZN* , Qalıq *0 AZN* . Hörmətlə  *AlumPro*</v>
      </c>
      <c r="AV248" s="187" t="str">
        <f>"Hörmətli *"&amp;Tablo7[[#This Row],[Müştəri]]&amp;"* , sizin *"&amp;G248&amp;"* tarixli  sifarişiniz hazırdır . Bizi seçdiyiniz üçün minnətdarıq. Hörmətlə  *AlumPro*."</f>
        <v>Hörmətli *Elsen Eldizayn* , sizin *28,11,2024* tarixli  sifarişiniz hazırdır . Bizi seçdiyiniz üçün minnətdarıq. Hörmətlə  *AlumPro*.</v>
      </c>
      <c r="AW248" s="188" t="str">
        <f t="shared" si="80"/>
        <v>Elsen</v>
      </c>
      <c r="AX248" s="189" t="str">
        <f t="shared" si="79"/>
        <v xml:space="preserve">Elsen </v>
      </c>
    </row>
    <row r="249" spans="4:50">
      <c r="D249" s="178">
        <v>81</v>
      </c>
      <c r="E249" s="179" t="s">
        <v>701</v>
      </c>
      <c r="F249" s="179" t="s">
        <v>339</v>
      </c>
      <c r="G249" s="212" t="s">
        <v>694</v>
      </c>
      <c r="H249" s="179" t="s">
        <v>548</v>
      </c>
      <c r="I249" s="179" t="s">
        <v>549</v>
      </c>
      <c r="J249" s="179" t="s">
        <v>688</v>
      </c>
      <c r="K249" s="179"/>
      <c r="L249" s="179"/>
      <c r="M249" s="179" t="str">
        <f>_xlfn.XLOOKUP(Tablo7[[#This Row],[Yan Profili]],Anbar!$J$3:$J$1000,Anbar!$H$3:$H$1000,"Tapilmadi")</f>
        <v>Tapilmadi</v>
      </c>
      <c r="N249" s="179">
        <v>1</v>
      </c>
      <c r="O249" s="179">
        <v>250</v>
      </c>
      <c r="P249" s="179">
        <v>0</v>
      </c>
      <c r="Q249" s="179" t="str">
        <f>_xlfn.XLOOKUP(Tablo7[[#This Row],[Qulp növü]],Anbar!$J$3:$J$1000,Anbar!$H$3:$H$1000,"Tapilmadi")</f>
        <v>Tapilmadi</v>
      </c>
      <c r="R249" s="179">
        <v>0</v>
      </c>
      <c r="S249" s="180">
        <v>0</v>
      </c>
      <c r="T249" s="181" t="s">
        <v>318</v>
      </c>
      <c r="U249" s="179" t="str">
        <f>_xlfn.XLOOKUP(Tablo7[[#This Row],[Petlə]],Anbar!$J$3:$J$1000,Anbar!$H$3:$H$1000,"Tapilmadi")</f>
        <v>Tapilmadi</v>
      </c>
      <c r="V249" s="181">
        <v>6</v>
      </c>
      <c r="W249" s="180">
        <v>390</v>
      </c>
      <c r="X249" s="269">
        <v>0</v>
      </c>
      <c r="Y249" s="179" t="s">
        <v>387</v>
      </c>
      <c r="Z249" s="182"/>
      <c r="AA249" s="180">
        <v>0</v>
      </c>
      <c r="AB249" s="180"/>
      <c r="AC249" s="179" t="str">
        <f>_xlfn.XLOOKUP(Tablo7[[#This Row],[Bağlantı]],Anbar!$J$3:$J$1000,Anbar!$H$3:$H$1000,"Tapilmadi")</f>
        <v>Tapilmadi</v>
      </c>
      <c r="AD249" s="179"/>
      <c r="AE249" s="180">
        <v>0</v>
      </c>
      <c r="AF249" s="180"/>
      <c r="AG249" s="179" t="str">
        <f>_xlfn.XLOOKUP(Tablo7[[#This Row],[Mexanizm]],Anbar!$J$3:$J$1000,Anbar!$H$3:$H$1000,"Tapilmadi")</f>
        <v>Tapilmadi</v>
      </c>
      <c r="AH249" s="179">
        <v>1</v>
      </c>
      <c r="AI249" s="180">
        <v>0</v>
      </c>
      <c r="AJ249" s="180">
        <v>0</v>
      </c>
      <c r="AK249" s="180">
        <v>85</v>
      </c>
      <c r="AL249" s="180">
        <v>0</v>
      </c>
      <c r="AM249" s="180">
        <v>725</v>
      </c>
      <c r="AN249" s="180"/>
      <c r="AO249" s="180">
        <v>725</v>
      </c>
      <c r="AP249" s="194">
        <f>Tablo7[[#This Row],[Ümumi məbləğ]]-Tablo7[[#This Row],[Ödəniş]]-Tablo7[[#This Row],[Endirim]]</f>
        <v>0</v>
      </c>
      <c r="AQ249" s="183" t="str">
        <f t="shared" si="77"/>
        <v>Mesaj</v>
      </c>
      <c r="AR249" s="183" t="str">
        <f t="shared" si="78"/>
        <v>Mesaj</v>
      </c>
      <c r="AS249" s="184" t="str">
        <f>IF(ISNA(VLOOKUP(Tablo7[[#This Row],[Sifariş kodu]],'Kəsim ve təhvil'!$E$5:$E1247,1,0)),"Qəbul edilməyib","Qəbul edilib")</f>
        <v>Qəbul edilməyib</v>
      </c>
      <c r="AT249" s="185" t="str">
        <f>IF(ISNA(VLOOKUP(Tablo7[[#This Row],[Sifariş kodu]],'Kəsim ve təhvil'!$H$5:$H1247,1,0)),"Anbardadır","Təhvil verilib")</f>
        <v>Anbardadır</v>
      </c>
      <c r="AU249" s="186" t="str">
        <f>"Hörmətli *"&amp;Tablo7[[#This Row],[Müştəri]]&amp;"*  ,Sizin *"&amp;G249&amp;"* tarixli sifarişiniz qeydə alındı. Sifariş Məbləğı *"&amp;AM249&amp;" AZN* , Qalıq *"&amp;AP249&amp;" AZN* . Hörmətlə  *AlumPro*"</f>
        <v>Hörmətli *Faiq Enso*  ,Sizin *28,11,2024* tarixli sifarişiniz qeydə alındı. Sifariş Məbləğı *725 AZN* , Qalıq *0 AZN* . Hörmətlə  *AlumPro*</v>
      </c>
      <c r="AV249" s="187" t="str">
        <f>"Hörmətli *"&amp;Tablo7[[#This Row],[Müştəri]]&amp;"* , sizin *"&amp;G249&amp;"* tarixli  sifarişiniz hazırdır . Bizi seçdiyiniz üçün minnətdarıq. Hörmətlə  *AlumPro*."</f>
        <v>Hörmətli *Faiq Enso* , sizin *28,11,2024* tarixli  sifarişiniz hazırdır . Bizi seçdiyiniz üçün minnətdarıq. Hörmətlə  *AlumPro*.</v>
      </c>
      <c r="AW249" s="188" t="str">
        <f t="shared" si="80"/>
        <v>Faiq</v>
      </c>
      <c r="AX249" s="189" t="str">
        <f t="shared" si="79"/>
        <v xml:space="preserve">Faiq </v>
      </c>
    </row>
    <row r="250" spans="4:50">
      <c r="D250" s="178">
        <v>80</v>
      </c>
      <c r="E250" s="179" t="s">
        <v>702</v>
      </c>
      <c r="F250" s="179" t="s">
        <v>339</v>
      </c>
      <c r="G250" s="212" t="s">
        <v>703</v>
      </c>
      <c r="H250" s="179" t="s">
        <v>704</v>
      </c>
      <c r="I250" s="179" t="s">
        <v>705</v>
      </c>
      <c r="J250" s="179"/>
      <c r="K250" s="179" t="s">
        <v>183</v>
      </c>
      <c r="L250" s="179"/>
      <c r="M250" s="179">
        <f>_xlfn.XLOOKUP(Tablo7[[#This Row],[Yan Profili]],Anbar!$J$3:$J$1000,Anbar!$H$3:$H$1000,"Tapilmadi")</f>
        <v>0</v>
      </c>
      <c r="N250" s="179">
        <v>4</v>
      </c>
      <c r="O250" s="179">
        <v>92</v>
      </c>
      <c r="P250" s="179" t="s">
        <v>184</v>
      </c>
      <c r="Q250" s="179" t="str">
        <f>_xlfn.XLOOKUP(Tablo7[[#This Row],[Qulp növü]],Anbar!$J$3:$J$1000,Anbar!$H$3:$H$1000,"Tapilmadi")</f>
        <v>Tapilmadi</v>
      </c>
      <c r="R250" s="179">
        <v>4</v>
      </c>
      <c r="S250" s="180">
        <v>104</v>
      </c>
      <c r="T250" s="181"/>
      <c r="U250" s="179" t="str">
        <f>_xlfn.XLOOKUP(Tablo7[[#This Row],[Petlə]],Anbar!$J$3:$J$1000,Anbar!$H$3:$H$1000,"Tapilmadi")</f>
        <v>Tapilmadi</v>
      </c>
      <c r="V250" s="181">
        <v>0</v>
      </c>
      <c r="W250" s="180">
        <v>0</v>
      </c>
      <c r="X250" s="269">
        <v>24</v>
      </c>
      <c r="Y250" s="179" t="s">
        <v>387</v>
      </c>
      <c r="Z250" s="182"/>
      <c r="AA250" s="180">
        <v>61</v>
      </c>
      <c r="AB250" s="180"/>
      <c r="AC250" s="179" t="str">
        <f>_xlfn.XLOOKUP(Tablo7[[#This Row],[Bağlantı]],Anbar!$J$3:$J$1000,Anbar!$H$3:$H$1000,"Tapilmadi")</f>
        <v>Tapilmadi</v>
      </c>
      <c r="AD250" s="179"/>
      <c r="AE250" s="180">
        <v>16</v>
      </c>
      <c r="AF250" s="180"/>
      <c r="AG250" s="179" t="str">
        <f>_xlfn.XLOOKUP(Tablo7[[#This Row],[Mexanizm]],Anbar!$J$3:$J$1000,Anbar!$H$3:$H$1000,"Tapilmadi")</f>
        <v>Tapilmadi</v>
      </c>
      <c r="AH250" s="179">
        <v>1</v>
      </c>
      <c r="AI250" s="180">
        <v>0</v>
      </c>
      <c r="AJ250" s="180">
        <v>12</v>
      </c>
      <c r="AK250" s="180">
        <v>60</v>
      </c>
      <c r="AL250" s="180">
        <v>0</v>
      </c>
      <c r="AM250" s="180">
        <v>369</v>
      </c>
      <c r="AN250" s="180">
        <v>24</v>
      </c>
      <c r="AO250" s="180">
        <v>345</v>
      </c>
      <c r="AP250" s="194">
        <f>Tablo7[[#This Row],[Ümumi məbləğ]]-Tablo7[[#This Row],[Ödəniş]]-Tablo7[[#This Row],[Endirim]]</f>
        <v>0</v>
      </c>
      <c r="AQ250" s="183" t="str">
        <f t="shared" si="77"/>
        <v>Mesaj</v>
      </c>
      <c r="AR250" s="183" t="str">
        <f t="shared" si="78"/>
        <v>Mesaj</v>
      </c>
      <c r="AS250" s="184" t="str">
        <f>IF(ISNA(VLOOKUP(Tablo7[[#This Row],[Sifariş kodu]],'Kəsim ve təhvil'!$E$5:$E1248,1,0)),"Qəbul edilməyib","Qəbul edilib")</f>
        <v>Qəbul edilməyib</v>
      </c>
      <c r="AT250" s="185" t="str">
        <f>IF(ISNA(VLOOKUP(Tablo7[[#This Row],[Sifariş kodu]],'Kəsim ve təhvil'!$H$5:$H1248,1,0)),"Anbardadır","Təhvil verilib")</f>
        <v>Anbardadır</v>
      </c>
      <c r="AU250" s="186" t="str">
        <f>"Hörmətli *"&amp;Tablo7[[#This Row],[Müştəri]]&amp;"*  ,Sizin *"&amp;G250&amp;"* tarixli sifarişiniz qeydə alındı. Sifariş Məbləğı *"&amp;AM250&amp;" AZN* , Qalıq *"&amp;AP250&amp;" AZN* . Hörmətlə  *AlumPro*"</f>
        <v>Hörmətli *Resad Huseynov*  ,Sizin *27,11,2024* tarixli sifarişiniz qeydə alındı. Sifariş Məbləğı *369 AZN* , Qalıq *0 AZN* . Hörmətlə  *AlumPro*</v>
      </c>
      <c r="AV250" s="187" t="str">
        <f>"Hörmətli *"&amp;Tablo7[[#This Row],[Müştəri]]&amp;"* , sizin *"&amp;G250&amp;"* tarixli  sifarişiniz hazırdır . Bizi seçdiyiniz üçün minnətdarıq. Hörmətlə  *AlumPro*."</f>
        <v>Hörmətli *Resad Huseynov* , sizin *27,11,2024* tarixli  sifarişiniz hazırdır . Bizi seçdiyiniz üçün minnətdarıq. Hörmətlə  *AlumPro*.</v>
      </c>
      <c r="AW250" s="188" t="str">
        <f t="shared" si="80"/>
        <v>Resad</v>
      </c>
      <c r="AX250" s="189" t="str">
        <f t="shared" si="79"/>
        <v xml:space="preserve">Resad </v>
      </c>
    </row>
    <row r="251" spans="4:50">
      <c r="D251" s="178">
        <v>79</v>
      </c>
      <c r="E251" s="179" t="s">
        <v>706</v>
      </c>
      <c r="F251" s="179" t="s">
        <v>339</v>
      </c>
      <c r="G251" s="212" t="s">
        <v>703</v>
      </c>
      <c r="H251" s="179" t="s">
        <v>440</v>
      </c>
      <c r="I251" s="179" t="s">
        <v>441</v>
      </c>
      <c r="J251" s="179"/>
      <c r="K251" s="179" t="s">
        <v>183</v>
      </c>
      <c r="L251" s="179"/>
      <c r="M251" s="179" t="str">
        <f>_xlfn.XLOOKUP(Tablo7[[#This Row],[Yan Profili]],Anbar!$J$3:$J$1000,Anbar!$H$3:$H$1000,"Tapilmadi")</f>
        <v>Tapilmadi</v>
      </c>
      <c r="N251" s="179">
        <v>6</v>
      </c>
      <c r="O251" s="179">
        <v>138</v>
      </c>
      <c r="P251" s="179" t="s">
        <v>184</v>
      </c>
      <c r="Q251" s="179" t="str">
        <f>_xlfn.XLOOKUP(Tablo7[[#This Row],[Qulp növü]],Anbar!$J$3:$J$1000,Anbar!$H$3:$H$1000,"Tapilmadi")</f>
        <v>Tapilmadi</v>
      </c>
      <c r="R251" s="179">
        <v>5</v>
      </c>
      <c r="S251" s="180">
        <v>130</v>
      </c>
      <c r="T251" s="181"/>
      <c r="U251" s="179" t="str">
        <f>_xlfn.XLOOKUP(Tablo7[[#This Row],[Petlə]],Anbar!$J$3:$J$1000,Anbar!$H$3:$H$1000,"Tapilmadi")</f>
        <v>Tapilmadi</v>
      </c>
      <c r="V251" s="181">
        <v>0</v>
      </c>
      <c r="W251" s="180">
        <v>0</v>
      </c>
      <c r="X251" s="269">
        <v>33</v>
      </c>
      <c r="Y251" s="179" t="s">
        <v>406</v>
      </c>
      <c r="Z251" s="182"/>
      <c r="AA251" s="180">
        <v>205</v>
      </c>
      <c r="AB251" s="180"/>
      <c r="AC251" s="179" t="str">
        <f>_xlfn.XLOOKUP(Tablo7[[#This Row],[Bağlantı]],Anbar!$J$3:$J$1000,Anbar!$H$3:$H$1000,"Tapilmadi")</f>
        <v>Tapilmadi</v>
      </c>
      <c r="AD251" s="179"/>
      <c r="AE251" s="180">
        <v>20</v>
      </c>
      <c r="AF251" s="180"/>
      <c r="AG251" s="179" t="str">
        <f>_xlfn.XLOOKUP(Tablo7[[#This Row],[Mexanizm]],Anbar!$J$3:$J$1000,Anbar!$H$3:$H$1000,"Tapilmadi")</f>
        <v>Tapilmadi</v>
      </c>
      <c r="AH251" s="179">
        <v>1</v>
      </c>
      <c r="AI251" s="180">
        <v>0</v>
      </c>
      <c r="AJ251" s="180">
        <v>25</v>
      </c>
      <c r="AK251" s="180">
        <v>75</v>
      </c>
      <c r="AL251" s="180">
        <v>0</v>
      </c>
      <c r="AM251" s="180">
        <v>626</v>
      </c>
      <c r="AN251" s="180">
        <v>1</v>
      </c>
      <c r="AO251" s="180">
        <v>625</v>
      </c>
      <c r="AP251" s="194">
        <f>Tablo7[[#This Row],[Ümumi məbləğ]]-Tablo7[[#This Row],[Ödəniş]]-Tablo7[[#This Row],[Endirim]]</f>
        <v>0</v>
      </c>
      <c r="AQ251" s="183" t="str">
        <f t="shared" si="77"/>
        <v>Mesaj</v>
      </c>
      <c r="AR251" s="183" t="str">
        <f t="shared" si="78"/>
        <v>Mesaj</v>
      </c>
      <c r="AS251" s="184" t="str">
        <f>IF(ISNA(VLOOKUP(Tablo7[[#This Row],[Sifariş kodu]],'Kəsim ve təhvil'!$E$5:$E1249,1,0)),"Qəbul edilməyib","Qəbul edilib")</f>
        <v>Qəbul edilməyib</v>
      </c>
      <c r="AT251" s="185" t="str">
        <f>IF(ISNA(VLOOKUP(Tablo7[[#This Row],[Sifariş kodu]],'Kəsim ve təhvil'!$H$5:$H1249,1,0)),"Anbardadır","Təhvil verilib")</f>
        <v>Anbardadır</v>
      </c>
      <c r="AU251" s="186" t="str">
        <f>"Hörmətli *"&amp;Tablo7[[#This Row],[Müştəri]]&amp;"*  ,Sizin *"&amp;G251&amp;"* tarixli sifarişiniz qeydə alındı. Sifariş Məbləğı *"&amp;AM251&amp;" AZN* , Qalıq *"&amp;AP251&amp;" AZN* . Hörmətlə  *AlumPro*"</f>
        <v>Hörmətli *Elmar Celal*  ,Sizin *27,11,2024* tarixli sifarişiniz qeydə alındı. Sifariş Məbləğı *626 AZN* , Qalıq *0 AZN* . Hörmətlə  *AlumPro*</v>
      </c>
      <c r="AV251" s="187" t="str">
        <f>"Hörmətli *"&amp;Tablo7[[#This Row],[Müştəri]]&amp;"* , sizin *"&amp;G251&amp;"* tarixli  sifarişiniz hazırdır . Bizi seçdiyiniz üçün minnətdarıq. Hörmətlə  *AlumPro*."</f>
        <v>Hörmətli *Elmar Celal* , sizin *27,11,2024* tarixli  sifarişiniz hazırdır . Bizi seçdiyiniz üçün minnətdarıq. Hörmətlə  *AlumPro*.</v>
      </c>
      <c r="AW251" s="188" t="str">
        <f t="shared" si="80"/>
        <v>Elmar</v>
      </c>
      <c r="AX251" s="189" t="str">
        <f t="shared" si="79"/>
        <v xml:space="preserve">Elmar </v>
      </c>
    </row>
    <row r="252" spans="4:50">
      <c r="D252" s="178">
        <v>78</v>
      </c>
      <c r="E252" s="179" t="s">
        <v>707</v>
      </c>
      <c r="F252" s="179" t="s">
        <v>339</v>
      </c>
      <c r="G252" s="212" t="s">
        <v>703</v>
      </c>
      <c r="H252" s="179" t="s">
        <v>376</v>
      </c>
      <c r="I252" s="179" t="s">
        <v>377</v>
      </c>
      <c r="J252" s="179"/>
      <c r="K252" s="179" t="s">
        <v>226</v>
      </c>
      <c r="L252" s="179"/>
      <c r="M252" s="179" t="str">
        <f>_xlfn.XLOOKUP(Tablo7[[#This Row],[Yan Profili]],Anbar!$J$3:$J$1000,Anbar!$H$3:$H$1000,"Tapilmadi")</f>
        <v>Tapilmadi</v>
      </c>
      <c r="N252" s="179">
        <v>2</v>
      </c>
      <c r="O252" s="179">
        <v>46</v>
      </c>
      <c r="P252" s="179" t="s">
        <v>184</v>
      </c>
      <c r="Q252" s="179" t="str">
        <f>_xlfn.XLOOKUP(Tablo7[[#This Row],[Qulp növü]],Anbar!$J$3:$J$1000,Anbar!$H$3:$H$1000,"Tapilmadi")</f>
        <v>Tapilmadi</v>
      </c>
      <c r="R252" s="179">
        <v>1</v>
      </c>
      <c r="S252" s="180">
        <v>26</v>
      </c>
      <c r="T252" s="181" t="s">
        <v>196</v>
      </c>
      <c r="U252" s="179" t="str">
        <f>_xlfn.XLOOKUP(Tablo7[[#This Row],[Petlə]],Anbar!$J$3:$J$1000,Anbar!$H$3:$H$1000,"Tapilmadi")</f>
        <v>Tapilmadi</v>
      </c>
      <c r="V252" s="181">
        <v>4</v>
      </c>
      <c r="W252" s="180">
        <v>16</v>
      </c>
      <c r="X252" s="269">
        <v>0</v>
      </c>
      <c r="Y252" s="179" t="s">
        <v>232</v>
      </c>
      <c r="Z252" s="182"/>
      <c r="AA252" s="180">
        <v>340</v>
      </c>
      <c r="AB252" s="180"/>
      <c r="AC252" s="179" t="str">
        <f>_xlfn.XLOOKUP(Tablo7[[#This Row],[Bağlantı]],Anbar!$J$3:$J$1000,Anbar!$H$3:$H$1000,"Tapilmadi")</f>
        <v>Tapilmadi</v>
      </c>
      <c r="AD252" s="179"/>
      <c r="AE252" s="180">
        <v>4</v>
      </c>
      <c r="AF252" s="180"/>
      <c r="AG252" s="179" t="str">
        <f>_xlfn.XLOOKUP(Tablo7[[#This Row],[Mexanizm]],Anbar!$J$3:$J$1000,Anbar!$H$3:$H$1000,"Tapilmadi")</f>
        <v>Tapilmadi</v>
      </c>
      <c r="AH252" s="179">
        <v>1</v>
      </c>
      <c r="AI252" s="180">
        <v>0</v>
      </c>
      <c r="AJ252" s="180">
        <v>8</v>
      </c>
      <c r="AK252" s="180">
        <v>15</v>
      </c>
      <c r="AL252" s="180">
        <v>0</v>
      </c>
      <c r="AM252" s="180">
        <v>455</v>
      </c>
      <c r="AN252" s="180"/>
      <c r="AO252" s="180">
        <v>455</v>
      </c>
      <c r="AP252" s="194">
        <f>Tablo7[[#This Row],[Ümumi məbləğ]]-Tablo7[[#This Row],[Ödəniş]]-Tablo7[[#This Row],[Endirim]]</f>
        <v>0</v>
      </c>
      <c r="AQ252" s="183" t="str">
        <f t="shared" si="77"/>
        <v>Mesaj</v>
      </c>
      <c r="AR252" s="183" t="str">
        <f t="shared" si="78"/>
        <v>Mesaj</v>
      </c>
      <c r="AS252" s="184" t="str">
        <f>IF(ISNA(VLOOKUP(Tablo7[[#This Row],[Sifariş kodu]],'Kəsim ve təhvil'!$E$5:$E1250,1,0)),"Qəbul edilməyib","Qəbul edilib")</f>
        <v>Qəbul edilməyib</v>
      </c>
      <c r="AT252" s="185" t="str">
        <f>IF(ISNA(VLOOKUP(Tablo7[[#This Row],[Sifariş kodu]],'Kəsim ve təhvil'!$H$5:$H1250,1,0)),"Anbardadır","Təhvil verilib")</f>
        <v>Anbardadır</v>
      </c>
      <c r="AU252" s="186" t="str">
        <f>"Hörmətli *"&amp;Tablo7[[#This Row],[Müştəri]]&amp;"*  ,Sizin *"&amp;G252&amp;"* tarixli sifarişiniz qeydə alındı. Sifariş Məbləğı *"&amp;AM252&amp;" AZN* , Qalıq *"&amp;AP252&amp;" AZN* . Hörmətlə  *AlumPro*"</f>
        <v>Hörmətli *Behman Elit Mebel*  ,Sizin *27,11,2024* tarixli sifarişiniz qeydə alındı. Sifariş Məbləğı *455 AZN* , Qalıq *0 AZN* . Hörmətlə  *AlumPro*</v>
      </c>
      <c r="AV252" s="187" t="str">
        <f>"Hörmətli *"&amp;Tablo7[[#This Row],[Müştəri]]&amp;"* , sizin *"&amp;G252&amp;"* tarixli  sifarişiniz hazırdır . Bizi seçdiyiniz üçün minnətdarıq. Hörmətlə  *AlumPro*."</f>
        <v>Hörmətli *Behman Elit Mebel* , sizin *27,11,2024* tarixli  sifarişiniz hazırdır . Bizi seçdiyiniz üçün minnətdarıq. Hörmətlə  *AlumPro*.</v>
      </c>
      <c r="AW252" s="188" t="str">
        <f t="shared" si="80"/>
        <v>Behman</v>
      </c>
      <c r="AX252" s="189" t="str">
        <f t="shared" si="79"/>
        <v xml:space="preserve">Behman </v>
      </c>
    </row>
    <row r="253" spans="4:50">
      <c r="D253" s="178">
        <v>77</v>
      </c>
      <c r="E253" s="179" t="s">
        <v>708</v>
      </c>
      <c r="F253" s="179" t="s">
        <v>339</v>
      </c>
      <c r="G253" s="212" t="s">
        <v>703</v>
      </c>
      <c r="H253" s="179" t="s">
        <v>376</v>
      </c>
      <c r="I253" s="179" t="s">
        <v>377</v>
      </c>
      <c r="J253" s="179"/>
      <c r="K253" s="179" t="s">
        <v>194</v>
      </c>
      <c r="L253" s="179"/>
      <c r="M253" s="179" t="str">
        <f>_xlfn.XLOOKUP(Tablo7[[#This Row],[Yan Profili]],Anbar!$J$3:$J$1000,Anbar!$H$3:$H$1000,"Tapilmadi")</f>
        <v>Tapilmadi</v>
      </c>
      <c r="N253" s="179">
        <v>4</v>
      </c>
      <c r="O253" s="179">
        <v>92</v>
      </c>
      <c r="P253" s="179" t="s">
        <v>471</v>
      </c>
      <c r="Q253" s="179" t="str">
        <f>_xlfn.XLOOKUP(Tablo7[[#This Row],[Qulp növü]],Anbar!$J$3:$J$1000,Anbar!$H$3:$H$1000,"Tapilmadi")</f>
        <v>Tapilmadi</v>
      </c>
      <c r="R253" s="179">
        <v>3</v>
      </c>
      <c r="S253" s="180">
        <v>180</v>
      </c>
      <c r="T253" s="181" t="s">
        <v>196</v>
      </c>
      <c r="U253" s="179" t="str">
        <f>_xlfn.XLOOKUP(Tablo7[[#This Row],[Petlə]],Anbar!$J$3:$J$1000,Anbar!$H$3:$H$1000,"Tapilmadi")</f>
        <v>Tapilmadi</v>
      </c>
      <c r="V253" s="181">
        <v>12</v>
      </c>
      <c r="W253" s="180">
        <v>48</v>
      </c>
      <c r="X253" s="269">
        <v>0</v>
      </c>
      <c r="Y253" s="179" t="s">
        <v>709</v>
      </c>
      <c r="Z253" s="182"/>
      <c r="AA253" s="180">
        <v>222</v>
      </c>
      <c r="AB253" s="180"/>
      <c r="AC253" s="179" t="str">
        <f>_xlfn.XLOOKUP(Tablo7[[#This Row],[Bağlantı]],Anbar!$J$3:$J$1000,Anbar!$H$3:$H$1000,"Tapilmadi")</f>
        <v>Tapilmadi</v>
      </c>
      <c r="AD253" s="179"/>
      <c r="AE253" s="180">
        <v>12</v>
      </c>
      <c r="AF253" s="180"/>
      <c r="AG253" s="179" t="str">
        <f>_xlfn.XLOOKUP(Tablo7[[#This Row],[Mexanizm]],Anbar!$J$3:$J$1000,Anbar!$H$3:$H$1000,"Tapilmadi")</f>
        <v>Tapilmadi</v>
      </c>
      <c r="AH253" s="179">
        <v>1</v>
      </c>
      <c r="AI253" s="180">
        <v>0</v>
      </c>
      <c r="AJ253" s="180">
        <v>24</v>
      </c>
      <c r="AK253" s="180">
        <v>45</v>
      </c>
      <c r="AL253" s="180">
        <v>0</v>
      </c>
      <c r="AM253" s="180">
        <v>623</v>
      </c>
      <c r="AN253" s="180"/>
      <c r="AO253" s="180">
        <v>623</v>
      </c>
      <c r="AP253" s="194">
        <f>Tablo7[[#This Row],[Ümumi məbləğ]]-Tablo7[[#This Row],[Ödəniş]]-Tablo7[[#This Row],[Endirim]]</f>
        <v>0</v>
      </c>
      <c r="AQ253" s="183" t="str">
        <f t="shared" si="77"/>
        <v>Mesaj</v>
      </c>
      <c r="AR253" s="183" t="str">
        <f t="shared" si="78"/>
        <v>Mesaj</v>
      </c>
      <c r="AS253" s="184" t="str">
        <f>IF(ISNA(VLOOKUP(Tablo7[[#This Row],[Sifariş kodu]],'Kəsim ve təhvil'!$E$5:$E1251,1,0)),"Qəbul edilməyib","Qəbul edilib")</f>
        <v>Qəbul edilməyib</v>
      </c>
      <c r="AT253" s="185" t="str">
        <f>IF(ISNA(VLOOKUP(Tablo7[[#This Row],[Sifariş kodu]],'Kəsim ve təhvil'!$H$5:$H1251,1,0)),"Anbardadır","Təhvil verilib")</f>
        <v>Anbardadır</v>
      </c>
      <c r="AU253" s="186" t="str">
        <f>"Hörmətli *"&amp;Tablo7[[#This Row],[Müştəri]]&amp;"*  ,Sizin *"&amp;G253&amp;"* tarixli sifarişiniz qeydə alındı. Sifariş Məbləğı *"&amp;AM253&amp;" AZN* , Qalıq *"&amp;AP253&amp;" AZN* . Hörmətlə  *AlumPro*"</f>
        <v>Hörmətli *Behman Elit Mebel*  ,Sizin *27,11,2024* tarixli sifarişiniz qeydə alındı. Sifariş Məbləğı *623 AZN* , Qalıq *0 AZN* . Hörmətlə  *AlumPro*</v>
      </c>
      <c r="AV253" s="187" t="str">
        <f>"Hörmətli *"&amp;Tablo7[[#This Row],[Müştəri]]&amp;"* , sizin *"&amp;G253&amp;"* tarixli  sifarişiniz hazırdır . Bizi seçdiyiniz üçün minnətdarıq. Hörmətlə  *AlumPro*."</f>
        <v>Hörmətli *Behman Elit Mebel* , sizin *27,11,2024* tarixli  sifarişiniz hazırdır . Bizi seçdiyiniz üçün minnətdarıq. Hörmətlə  *AlumPro*.</v>
      </c>
      <c r="AW253" s="188" t="str">
        <f t="shared" si="80"/>
        <v>Behman</v>
      </c>
      <c r="AX253" s="189" t="str">
        <f t="shared" si="79"/>
        <v xml:space="preserve">Behman </v>
      </c>
    </row>
    <row r="254" spans="4:50">
      <c r="D254" s="178">
        <v>76</v>
      </c>
      <c r="E254" s="179" t="s">
        <v>710</v>
      </c>
      <c r="F254" s="179" t="s">
        <v>339</v>
      </c>
      <c r="G254" s="212" t="s">
        <v>711</v>
      </c>
      <c r="H254" s="179" t="s">
        <v>158</v>
      </c>
      <c r="I254" s="179" t="s">
        <v>159</v>
      </c>
      <c r="J254" s="179"/>
      <c r="K254" s="179" t="s">
        <v>194</v>
      </c>
      <c r="L254" s="179"/>
      <c r="M254" s="179" t="str">
        <f>_xlfn.XLOOKUP(Tablo7[[#This Row],[Yan Profili]],Anbar!$J$3:$J$1000,Anbar!$H$3:$H$1000,"Tapilmadi")</f>
        <v>Tapilmadi</v>
      </c>
      <c r="N254" s="179">
        <v>2</v>
      </c>
      <c r="O254" s="179">
        <v>46</v>
      </c>
      <c r="P254" s="179" t="s">
        <v>184</v>
      </c>
      <c r="Q254" s="179" t="str">
        <f>_xlfn.XLOOKUP(Tablo7[[#This Row],[Qulp növü]],Anbar!$J$3:$J$1000,Anbar!$H$3:$H$1000,"Tapilmadi")</f>
        <v>Tapilmadi</v>
      </c>
      <c r="R254" s="179">
        <v>1</v>
      </c>
      <c r="S254" s="180">
        <v>26</v>
      </c>
      <c r="T254" s="181" t="s">
        <v>196</v>
      </c>
      <c r="U254" s="179" t="str">
        <f>_xlfn.XLOOKUP(Tablo7[[#This Row],[Petlə]],Anbar!$J$3:$J$1000,Anbar!$H$3:$H$1000,"Tapilmadi")</f>
        <v>Tapilmadi</v>
      </c>
      <c r="V254" s="181">
        <v>1</v>
      </c>
      <c r="W254" s="180">
        <v>4</v>
      </c>
      <c r="X254" s="269">
        <v>0</v>
      </c>
      <c r="Y254" s="179" t="s">
        <v>36</v>
      </c>
      <c r="Z254" s="182"/>
      <c r="AA254" s="180">
        <v>40</v>
      </c>
      <c r="AB254" s="180"/>
      <c r="AC254" s="179" t="str">
        <f>_xlfn.XLOOKUP(Tablo7[[#This Row],[Bağlantı]],Anbar!$J$3:$J$1000,Anbar!$H$3:$H$1000,"Tapilmadi")</f>
        <v>Tapilmadi</v>
      </c>
      <c r="AD254" s="179"/>
      <c r="AE254" s="180">
        <v>4</v>
      </c>
      <c r="AF254" s="180"/>
      <c r="AG254" s="179" t="str">
        <f>_xlfn.XLOOKUP(Tablo7[[#This Row],[Mexanizm]],Anbar!$J$3:$J$1000,Anbar!$H$3:$H$1000,"Tapilmadi")</f>
        <v>Tapilmadi</v>
      </c>
      <c r="AH254" s="179">
        <v>1</v>
      </c>
      <c r="AI254" s="180">
        <v>0</v>
      </c>
      <c r="AJ254" s="180">
        <v>4</v>
      </c>
      <c r="AK254" s="180">
        <v>15</v>
      </c>
      <c r="AL254" s="180">
        <v>0</v>
      </c>
      <c r="AM254" s="180">
        <v>139</v>
      </c>
      <c r="AN254" s="180"/>
      <c r="AO254" s="180">
        <v>0</v>
      </c>
      <c r="AP254" s="194">
        <f>Tablo7[[#This Row],[Ümumi məbləğ]]-Tablo7[[#This Row],[Ödəniş]]-Tablo7[[#This Row],[Endirim]]</f>
        <v>139</v>
      </c>
      <c r="AQ254" s="183" t="str">
        <f t="shared" si="77"/>
        <v>Mesaj</v>
      </c>
      <c r="AR254" s="183" t="str">
        <f t="shared" si="78"/>
        <v>Mesaj</v>
      </c>
      <c r="AS254" s="184" t="str">
        <f>IF(ISNA(VLOOKUP(Tablo7[[#This Row],[Sifariş kodu]],'Kəsim ve təhvil'!$E$5:$E1252,1,0)),"Qəbul edilməyib","Qəbul edilib")</f>
        <v>Qəbul edilməyib</v>
      </c>
      <c r="AT254" s="185" t="str">
        <f>IF(ISNA(VLOOKUP(Tablo7[[#This Row],[Sifariş kodu]],'Kəsim ve təhvil'!$H$5:$H1252,1,0)),"Anbardadır","Təhvil verilib")</f>
        <v>Anbardadır</v>
      </c>
      <c r="AU254" s="186" t="str">
        <f>"Hörmətli *"&amp;Tablo7[[#This Row],[Müştəri]]&amp;"*  ,Sizin *"&amp;G254&amp;"* tarixli sifarişiniz qeydə alındı. Sifariş Məbləğı *"&amp;AM254&amp;" AZN* , Qalıq *"&amp;AP254&amp;" AZN* . Hörmətlə  *AlumPro*"</f>
        <v>Hörmətli *My Concept*  ,Sizin *26,11,2024* tarixli sifarişiniz qeydə alındı. Sifariş Məbləğı *139 AZN* , Qalıq *139 AZN* . Hörmətlə  *AlumPro*</v>
      </c>
      <c r="AV254" s="187" t="str">
        <f>"Hörmətli *"&amp;Tablo7[[#This Row],[Müştəri]]&amp;"* , sizin *"&amp;G254&amp;"* tarixli  sifarişiniz hazırdır . Bizi seçdiyiniz üçün minnətdarıq. Hörmətlə  *AlumPro*."</f>
        <v>Hörmətli *My Concept* , sizin *26,11,2024* tarixli  sifarişiniz hazırdır . Bizi seçdiyiniz üçün minnətdarıq. Hörmətlə  *AlumPro*.</v>
      </c>
      <c r="AW254" s="188" t="str">
        <f t="shared" si="80"/>
        <v>My</v>
      </c>
      <c r="AX254" s="189" t="str">
        <f t="shared" si="79"/>
        <v xml:space="preserve">My </v>
      </c>
    </row>
    <row r="255" spans="4:50">
      <c r="D255" s="178">
        <v>75</v>
      </c>
      <c r="E255" s="179" t="s">
        <v>712</v>
      </c>
      <c r="F255" s="179" t="s">
        <v>339</v>
      </c>
      <c r="G255" s="212" t="s">
        <v>711</v>
      </c>
      <c r="H255" s="179" t="s">
        <v>412</v>
      </c>
      <c r="I255" s="179" t="s">
        <v>413</v>
      </c>
      <c r="J255" s="179" t="s">
        <v>713</v>
      </c>
      <c r="K255" s="179"/>
      <c r="L255" s="179"/>
      <c r="M255" s="179" t="str">
        <f>_xlfn.XLOOKUP(Tablo7[[#This Row],[Yan Profili]],Anbar!$J$3:$J$1000,Anbar!$H$3:$H$1000,"Tapilmadi")</f>
        <v>Tapilmadi</v>
      </c>
      <c r="N255" s="179">
        <v>1</v>
      </c>
      <c r="O255" s="179">
        <v>240</v>
      </c>
      <c r="P255" s="179">
        <v>0</v>
      </c>
      <c r="Q255" s="179" t="str">
        <f>_xlfn.XLOOKUP(Tablo7[[#This Row],[Qulp növü]],Anbar!$J$3:$J$1000,Anbar!$H$3:$H$1000,"Tapilmadi")</f>
        <v>Tapilmadi</v>
      </c>
      <c r="R255" s="179">
        <v>0</v>
      </c>
      <c r="S255" s="180">
        <v>0</v>
      </c>
      <c r="T255" s="181" t="s">
        <v>318</v>
      </c>
      <c r="U255" s="179" t="str">
        <f>_xlfn.XLOOKUP(Tablo7[[#This Row],[Petlə]],Anbar!$J$3:$J$1000,Anbar!$H$3:$H$1000,"Tapilmadi")</f>
        <v>Tapilmadi</v>
      </c>
      <c r="V255" s="181">
        <v>3</v>
      </c>
      <c r="W255" s="180">
        <v>180</v>
      </c>
      <c r="X255" s="269">
        <v>0</v>
      </c>
      <c r="Y255" s="179"/>
      <c r="Z255" s="182"/>
      <c r="AA255" s="180">
        <v>0</v>
      </c>
      <c r="AB255" s="180"/>
      <c r="AC255" s="179" t="str">
        <f>_xlfn.XLOOKUP(Tablo7[[#This Row],[Bağlantı]],Anbar!$J$3:$J$1000,Anbar!$H$3:$H$1000,"Tapilmadi")</f>
        <v>Tapilmadi</v>
      </c>
      <c r="AD255" s="179"/>
      <c r="AE255" s="180">
        <v>0</v>
      </c>
      <c r="AF255" s="180"/>
      <c r="AG255" s="179" t="str">
        <f>_xlfn.XLOOKUP(Tablo7[[#This Row],[Mexanizm]],Anbar!$J$3:$J$1000,Anbar!$H$3:$H$1000,"Tapilmadi")</f>
        <v>Tapilmadi</v>
      </c>
      <c r="AH255" s="179">
        <v>1</v>
      </c>
      <c r="AI255" s="180">
        <v>0</v>
      </c>
      <c r="AJ255" s="180">
        <v>0</v>
      </c>
      <c r="AK255" s="180">
        <v>80</v>
      </c>
      <c r="AL255" s="180">
        <v>0</v>
      </c>
      <c r="AM255" s="180">
        <v>500</v>
      </c>
      <c r="AN255" s="180">
        <v>5</v>
      </c>
      <c r="AO255" s="180">
        <v>495</v>
      </c>
      <c r="AP255" s="194">
        <f>Tablo7[[#This Row],[Ümumi məbləğ]]-Tablo7[[#This Row],[Ödəniş]]-Tablo7[[#This Row],[Endirim]]</f>
        <v>0</v>
      </c>
      <c r="AQ255" s="183" t="str">
        <f t="shared" si="77"/>
        <v>Mesaj</v>
      </c>
      <c r="AR255" s="183" t="str">
        <f t="shared" si="78"/>
        <v>Mesaj</v>
      </c>
      <c r="AS255" s="184" t="str">
        <f>IF(ISNA(VLOOKUP(Tablo7[[#This Row],[Sifariş kodu]],'Kəsim ve təhvil'!$E$5:$E1253,1,0)),"Qəbul edilməyib","Qəbul edilib")</f>
        <v>Qəbul edilməyib</v>
      </c>
      <c r="AT255" s="185" t="str">
        <f>IF(ISNA(VLOOKUP(Tablo7[[#This Row],[Sifariş kodu]],'Kəsim ve təhvil'!$H$5:$H1253,1,0)),"Anbardadır","Təhvil verilib")</f>
        <v>Anbardadır</v>
      </c>
      <c r="AU255" s="186" t="str">
        <f>"Hörmətli *"&amp;Tablo7[[#This Row],[Müştəri]]&amp;"*  ,Sizin *"&amp;G255&amp;"* tarixli sifarişiniz qeydə alındı. Sifariş Məbləğı *"&amp;AM255&amp;" AZN* , Qalıq *"&amp;AP255&amp;" AZN* . Hörmətlə  *AlumPro*"</f>
        <v>Hörmətli *Hikmet Qalib*  ,Sizin *26,11,2024* tarixli sifarişiniz qeydə alındı. Sifariş Məbləğı *500 AZN* , Qalıq *0 AZN* . Hörmətlə  *AlumPro*</v>
      </c>
      <c r="AV255" s="187" t="str">
        <f>"Hörmətli *"&amp;Tablo7[[#This Row],[Müştəri]]&amp;"* , sizin *"&amp;G255&amp;"* tarixli  sifarişiniz hazırdır . Bizi seçdiyiniz üçün minnətdarıq. Hörmətlə  *AlumPro*."</f>
        <v>Hörmətli *Hikmet Qalib* , sizin *26,11,2024* tarixli  sifarişiniz hazırdır . Bizi seçdiyiniz üçün minnətdarıq. Hörmətlə  *AlumPro*.</v>
      </c>
      <c r="AW255" s="188" t="str">
        <f t="shared" si="80"/>
        <v>Hikmet</v>
      </c>
      <c r="AX255" s="189" t="str">
        <f t="shared" si="79"/>
        <v xml:space="preserve">Hikmet </v>
      </c>
    </row>
    <row r="256" spans="4:50">
      <c r="D256" s="178">
        <v>74</v>
      </c>
      <c r="E256" s="179" t="s">
        <v>714</v>
      </c>
      <c r="F256" s="179" t="s">
        <v>339</v>
      </c>
      <c r="G256" s="212" t="s">
        <v>711</v>
      </c>
      <c r="H256" s="179" t="s">
        <v>389</v>
      </c>
      <c r="I256" s="179" t="s">
        <v>390</v>
      </c>
      <c r="J256" s="179"/>
      <c r="K256" s="179" t="s">
        <v>715</v>
      </c>
      <c r="L256" s="179"/>
      <c r="M256" s="179" t="str">
        <f>_xlfn.XLOOKUP(Tablo7[[#This Row],[Yan Profili]],Anbar!$J$3:$J$1000,Anbar!$H$3:$H$1000,"Tapilmadi")</f>
        <v>Tapilmadi</v>
      </c>
      <c r="N256" s="179">
        <v>3</v>
      </c>
      <c r="O256" s="179">
        <v>150</v>
      </c>
      <c r="P256" s="179" t="s">
        <v>195</v>
      </c>
      <c r="Q256" s="179" t="str">
        <f>_xlfn.XLOOKUP(Tablo7[[#This Row],[Qulp növü]],Anbar!$J$3:$J$1000,Anbar!$H$3:$H$1000,"Tapilmadi")</f>
        <v>Tapilmadi</v>
      </c>
      <c r="R256" s="179">
        <v>0</v>
      </c>
      <c r="S256" s="180">
        <v>0</v>
      </c>
      <c r="T256" s="181"/>
      <c r="U256" s="179" t="str">
        <f>_xlfn.XLOOKUP(Tablo7[[#This Row],[Petlə]],Anbar!$J$3:$J$1000,Anbar!$H$3:$H$1000,"Tapilmadi")</f>
        <v>Tapilmadi</v>
      </c>
      <c r="V256" s="181">
        <v>0</v>
      </c>
      <c r="W256" s="180">
        <v>0</v>
      </c>
      <c r="X256" s="269">
        <v>0</v>
      </c>
      <c r="Y256" s="179" t="s">
        <v>406</v>
      </c>
      <c r="Z256" s="182"/>
      <c r="AA256" s="180">
        <v>44</v>
      </c>
      <c r="AB256" s="180"/>
      <c r="AC256" s="179" t="str">
        <f>_xlfn.XLOOKUP(Tablo7[[#This Row],[Bağlantı]],Anbar!$J$3:$J$1000,Anbar!$H$3:$H$1000,"Tapilmadi")</f>
        <v>Tapilmadi</v>
      </c>
      <c r="AD256" s="179"/>
      <c r="AE256" s="180">
        <v>20</v>
      </c>
      <c r="AF256" s="180"/>
      <c r="AG256" s="179" t="str">
        <f>_xlfn.XLOOKUP(Tablo7[[#This Row],[Mexanizm]],Anbar!$J$3:$J$1000,Anbar!$H$3:$H$1000,"Tapilmadi")</f>
        <v>Tapilmadi</v>
      </c>
      <c r="AH256" s="179">
        <v>1</v>
      </c>
      <c r="AI256" s="180">
        <v>0</v>
      </c>
      <c r="AJ256" s="180">
        <v>0</v>
      </c>
      <c r="AK256" s="180">
        <v>50</v>
      </c>
      <c r="AL256" s="180">
        <v>0</v>
      </c>
      <c r="AM256" s="180">
        <v>264</v>
      </c>
      <c r="AN256" s="180"/>
      <c r="AO256" s="180">
        <v>264</v>
      </c>
      <c r="AP256" s="194">
        <f>Tablo7[[#This Row],[Ümumi məbləğ]]-Tablo7[[#This Row],[Ödəniş]]-Tablo7[[#This Row],[Endirim]]</f>
        <v>0</v>
      </c>
      <c r="AQ256" s="183" t="str">
        <f t="shared" si="77"/>
        <v>Mesaj</v>
      </c>
      <c r="AR256" s="183" t="str">
        <f t="shared" si="78"/>
        <v>Mesaj</v>
      </c>
      <c r="AS256" s="184" t="str">
        <f>IF(ISNA(VLOOKUP(Tablo7[[#This Row],[Sifariş kodu]],'Kəsim ve təhvil'!$E$5:$E1254,1,0)),"Qəbul edilməyib","Qəbul edilib")</f>
        <v>Qəbul edilməyib</v>
      </c>
      <c r="AT256" s="185" t="str">
        <f>IF(ISNA(VLOOKUP(Tablo7[[#This Row],[Sifariş kodu]],'Kəsim ve təhvil'!$H$5:$H1254,1,0)),"Anbardadır","Təhvil verilib")</f>
        <v>Anbardadır</v>
      </c>
      <c r="AU256" s="186" t="str">
        <f>"Hörmətli *"&amp;Tablo7[[#This Row],[Müştəri]]&amp;"*  ,Sizin *"&amp;G256&amp;"* tarixli sifarişiniz qeydə alındı. Sifariş Məbləğı *"&amp;AM256&amp;" AZN* , Qalıq *"&amp;AP256&amp;" AZN* . Hörmətlə  *AlumPro*"</f>
        <v>Hörmətli *Samir Ayla Mebel*  ,Sizin *26,11,2024* tarixli sifarişiniz qeydə alındı. Sifariş Məbləğı *264 AZN* , Qalıq *0 AZN* . Hörmətlə  *AlumPro*</v>
      </c>
      <c r="AV256" s="187" t="str">
        <f>"Hörmətli *"&amp;Tablo7[[#This Row],[Müştəri]]&amp;"* , sizin *"&amp;G256&amp;"* tarixli  sifarişiniz hazırdır . Bizi seçdiyiniz üçün minnətdarıq. Hörmətlə  *AlumPro*."</f>
        <v>Hörmətli *Samir Ayla Mebel* , sizin *26,11,2024* tarixli  sifarişiniz hazırdır . Bizi seçdiyiniz üçün minnətdarıq. Hörmətlə  *AlumPro*.</v>
      </c>
      <c r="AW256" s="188" t="str">
        <f t="shared" si="80"/>
        <v>Samir</v>
      </c>
      <c r="AX256" s="189" t="str">
        <f t="shared" si="79"/>
        <v xml:space="preserve">Samir </v>
      </c>
    </row>
    <row r="257" spans="4:50">
      <c r="D257" s="178">
        <v>73</v>
      </c>
      <c r="E257" s="179" t="s">
        <v>716</v>
      </c>
      <c r="F257" s="179" t="s">
        <v>339</v>
      </c>
      <c r="G257" s="212" t="s">
        <v>717</v>
      </c>
      <c r="H257" s="179" t="s">
        <v>484</v>
      </c>
      <c r="I257" s="179" t="s">
        <v>485</v>
      </c>
      <c r="J257" s="179"/>
      <c r="K257" s="179" t="s">
        <v>183</v>
      </c>
      <c r="L257" s="179"/>
      <c r="M257" s="179" t="str">
        <f>_xlfn.XLOOKUP(Tablo7[[#This Row],[Yan Profili]],Anbar!$J$3:$J$1000,Anbar!$H$3:$H$1000,"Tapilmadi")</f>
        <v>Tapilmadi</v>
      </c>
      <c r="N257" s="179">
        <v>21</v>
      </c>
      <c r="O257" s="179">
        <v>483</v>
      </c>
      <c r="P257" s="179" t="s">
        <v>184</v>
      </c>
      <c r="Q257" s="179" t="str">
        <f>_xlfn.XLOOKUP(Tablo7[[#This Row],[Qulp növü]],Anbar!$J$3:$J$1000,Anbar!$H$3:$H$1000,"Tapilmadi")</f>
        <v>Tapilmadi</v>
      </c>
      <c r="R257" s="179">
        <v>15</v>
      </c>
      <c r="S257" s="180">
        <v>390</v>
      </c>
      <c r="T257" s="181"/>
      <c r="U257" s="179" t="str">
        <f>_xlfn.XLOOKUP(Tablo7[[#This Row],[Petlə]],Anbar!$J$3:$J$1000,Anbar!$H$3:$H$1000,"Tapilmadi")</f>
        <v>Tapilmadi</v>
      </c>
      <c r="V257" s="181">
        <v>0</v>
      </c>
      <c r="W257" s="180">
        <v>0</v>
      </c>
      <c r="X257" s="269">
        <v>45</v>
      </c>
      <c r="Y257" s="179" t="s">
        <v>36</v>
      </c>
      <c r="Z257" s="182"/>
      <c r="AA257" s="180">
        <v>532</v>
      </c>
      <c r="AB257" s="180"/>
      <c r="AC257" s="179" t="str">
        <f>_xlfn.XLOOKUP(Tablo7[[#This Row],[Bağlantı]],Anbar!$J$3:$J$1000,Anbar!$H$3:$H$1000,"Tapilmadi")</f>
        <v>Tapilmadi</v>
      </c>
      <c r="AD257" s="179"/>
      <c r="AE257" s="180">
        <v>60</v>
      </c>
      <c r="AF257" s="180"/>
      <c r="AG257" s="179" t="str">
        <f>_xlfn.XLOOKUP(Tablo7[[#This Row],[Mexanizm]],Anbar!$J$3:$J$1000,Anbar!$H$3:$H$1000,"Tapilmadi")</f>
        <v>Tapilmadi</v>
      </c>
      <c r="AH257" s="179">
        <v>1</v>
      </c>
      <c r="AI257" s="180">
        <v>0</v>
      </c>
      <c r="AJ257" s="180">
        <v>75</v>
      </c>
      <c r="AK257" s="180">
        <v>225</v>
      </c>
      <c r="AL257" s="180">
        <v>0</v>
      </c>
      <c r="AM257" s="180">
        <v>1810</v>
      </c>
      <c r="AN257" s="180"/>
      <c r="AO257" s="180">
        <v>1810</v>
      </c>
      <c r="AP257" s="194">
        <f>Tablo7[[#This Row],[Ümumi məbləğ]]-Tablo7[[#This Row],[Ödəniş]]-Tablo7[[#This Row],[Endirim]]</f>
        <v>0</v>
      </c>
      <c r="AQ257" s="183" t="str">
        <f t="shared" si="77"/>
        <v>Mesaj</v>
      </c>
      <c r="AR257" s="183" t="str">
        <f t="shared" si="78"/>
        <v>Mesaj</v>
      </c>
      <c r="AS257" s="184" t="str">
        <f>IF(ISNA(VLOOKUP(Tablo7[[#This Row],[Sifariş kodu]],'Kəsim ve təhvil'!$E$5:$E1255,1,0)),"Qəbul edilməyib","Qəbul edilib")</f>
        <v>Qəbul edilməyib</v>
      </c>
      <c r="AT257" s="185" t="str">
        <f>IF(ISNA(VLOOKUP(Tablo7[[#This Row],[Sifariş kodu]],'Kəsim ve təhvil'!$H$5:$H1255,1,0)),"Anbardadır","Təhvil verilib")</f>
        <v>Anbardadır</v>
      </c>
      <c r="AU257" s="186" t="str">
        <f>"Hörmətli *"&amp;Tablo7[[#This Row],[Müştəri]]&amp;"*  ,Sizin *"&amp;G257&amp;"* tarixli sifarişiniz qeydə alındı. Sifariş Məbləğı *"&amp;AM257&amp;" AZN* , Qalıq *"&amp;AP257&amp;" AZN* . Hörmətlə  *AlumPro*"</f>
        <v>Hörmətli *Ismayil Ismayilov Zevna*  ,Sizin *21,11,2024* tarixli sifarişiniz qeydə alındı. Sifariş Məbləğı *1810 AZN* , Qalıq *0 AZN* . Hörmətlə  *AlumPro*</v>
      </c>
      <c r="AV257" s="187" t="str">
        <f>"Hörmətli *"&amp;Tablo7[[#This Row],[Müştəri]]&amp;"* , sizin *"&amp;G257&amp;"* tarixli  sifarişiniz hazırdır . Bizi seçdiyiniz üçün minnətdarıq. Hörmətlə  *AlumPro*."</f>
        <v>Hörmətli *Ismayil Ismayilov Zevna* , sizin *21,11,2024* tarixli  sifarişiniz hazırdır . Bizi seçdiyiniz üçün minnətdarıq. Hörmətlə  *AlumPro*.</v>
      </c>
      <c r="AW257" s="188" t="str">
        <f t="shared" si="80"/>
        <v>Ismayil</v>
      </c>
      <c r="AX257" s="189" t="str">
        <f t="shared" si="79"/>
        <v xml:space="preserve">Ismayil </v>
      </c>
    </row>
    <row r="258" spans="4:50">
      <c r="D258" s="178">
        <v>72</v>
      </c>
      <c r="E258" s="179" t="s">
        <v>718</v>
      </c>
      <c r="F258" s="179" t="s">
        <v>339</v>
      </c>
      <c r="G258" s="212" t="s">
        <v>717</v>
      </c>
      <c r="H258" s="179" t="s">
        <v>719</v>
      </c>
      <c r="I258" s="179" t="s">
        <v>720</v>
      </c>
      <c r="J258" s="179"/>
      <c r="K258" s="179" t="s">
        <v>194</v>
      </c>
      <c r="L258" s="179"/>
      <c r="M258" s="179">
        <f>_xlfn.XLOOKUP(Tablo7[[#This Row],[Yan Profili]],Anbar!$J$3:$J$1000,Anbar!$H$3:$H$1000,"Tapilmadi")</f>
        <v>0</v>
      </c>
      <c r="N258" s="179">
        <v>6</v>
      </c>
      <c r="O258" s="179">
        <v>138</v>
      </c>
      <c r="P258" s="179" t="s">
        <v>184</v>
      </c>
      <c r="Q258" s="179" t="str">
        <f>_xlfn.XLOOKUP(Tablo7[[#This Row],[Qulp növü]],Anbar!$J$3:$J$1000,Anbar!$H$3:$H$1000,"Tapilmadi")</f>
        <v>Tapilmadi</v>
      </c>
      <c r="R258" s="179">
        <v>4</v>
      </c>
      <c r="S258" s="180">
        <v>104</v>
      </c>
      <c r="T258" s="181" t="s">
        <v>196</v>
      </c>
      <c r="U258" s="179" t="str">
        <f>_xlfn.XLOOKUP(Tablo7[[#This Row],[Petlə]],Anbar!$J$3:$J$1000,Anbar!$H$3:$H$1000,"Tapilmadi")</f>
        <v>Tapilmadi</v>
      </c>
      <c r="V258" s="181">
        <v>16</v>
      </c>
      <c r="W258" s="180">
        <v>64</v>
      </c>
      <c r="X258" s="269">
        <v>12</v>
      </c>
      <c r="Y258" s="179" t="s">
        <v>203</v>
      </c>
      <c r="Z258" s="182"/>
      <c r="AA258" s="180">
        <v>154</v>
      </c>
      <c r="AB258" s="180"/>
      <c r="AC258" s="179" t="str">
        <f>_xlfn.XLOOKUP(Tablo7[[#This Row],[Bağlantı]],Anbar!$J$3:$J$1000,Anbar!$H$3:$H$1000,"Tapilmadi")</f>
        <v>Tapilmadi</v>
      </c>
      <c r="AD258" s="179"/>
      <c r="AE258" s="180">
        <v>32</v>
      </c>
      <c r="AF258" s="180"/>
      <c r="AG258" s="179" t="str">
        <f>_xlfn.XLOOKUP(Tablo7[[#This Row],[Mexanizm]],Anbar!$J$3:$J$1000,Anbar!$H$3:$H$1000,"Tapilmadi")</f>
        <v>Tapilmadi</v>
      </c>
      <c r="AH258" s="179">
        <v>1</v>
      </c>
      <c r="AI258" s="180">
        <v>0</v>
      </c>
      <c r="AJ258" s="180">
        <v>32</v>
      </c>
      <c r="AK258" s="180">
        <v>60</v>
      </c>
      <c r="AL258" s="180">
        <v>0</v>
      </c>
      <c r="AM258" s="180">
        <v>596</v>
      </c>
      <c r="AN258" s="180"/>
      <c r="AO258" s="180">
        <v>596</v>
      </c>
      <c r="AP258" s="194">
        <f>Tablo7[[#This Row],[Ümumi məbləğ]]-Tablo7[[#This Row],[Ödəniş]]-Tablo7[[#This Row],[Endirim]]</f>
        <v>0</v>
      </c>
      <c r="AQ258" s="183" t="str">
        <f t="shared" si="77"/>
        <v>Mesaj</v>
      </c>
      <c r="AR258" s="183" t="str">
        <f t="shared" si="78"/>
        <v>Mesaj</v>
      </c>
      <c r="AS258" s="184" t="str">
        <f>IF(ISNA(VLOOKUP(Tablo7[[#This Row],[Sifariş kodu]],'Kəsim ve təhvil'!$E$5:$E1256,1,0)),"Qəbul edilməyib","Qəbul edilib")</f>
        <v>Qəbul edilməyib</v>
      </c>
      <c r="AT258" s="185" t="str">
        <f>IF(ISNA(VLOOKUP(Tablo7[[#This Row],[Sifariş kodu]],'Kəsim ve təhvil'!$H$5:$H1256,1,0)),"Anbardadır","Təhvil verilib")</f>
        <v>Anbardadır</v>
      </c>
      <c r="AU258" s="186" t="str">
        <f>"Hörmətli *"&amp;Tablo7[[#This Row],[Müştəri]]&amp;"*  ,Sizin *"&amp;G258&amp;"* tarixli sifarişiniz qeydə alındı. Sifariş Məbləğı *"&amp;AM258&amp;" AZN* , Qalıq *"&amp;AP258&amp;" AZN* . Hörmətlə  *AlumPro*"</f>
        <v>Hörmətli *Muhiddin Bey*  ,Sizin *21,11,2024* tarixli sifarişiniz qeydə alındı. Sifariş Məbləğı *596 AZN* , Qalıq *0 AZN* . Hörmətlə  *AlumPro*</v>
      </c>
      <c r="AV258" s="187" t="str">
        <f>"Hörmətli *"&amp;Tablo7[[#This Row],[Müştəri]]&amp;"* , sizin *"&amp;G258&amp;"* tarixli  sifarişiniz hazırdır . Bizi seçdiyiniz üçün minnətdarıq. Hörmətlə  *AlumPro*."</f>
        <v>Hörmətli *Muhiddin Bey* , sizin *21,11,2024* tarixli  sifarişiniz hazırdır . Bizi seçdiyiniz üçün minnətdarıq. Hörmətlə  *AlumPro*.</v>
      </c>
      <c r="AW258" s="188" t="str">
        <f t="shared" si="80"/>
        <v>Muhiddin</v>
      </c>
      <c r="AX258" s="189" t="str">
        <f t="shared" si="79"/>
        <v xml:space="preserve">Muhiddin </v>
      </c>
    </row>
    <row r="259" spans="4:50">
      <c r="D259" s="178">
        <v>71</v>
      </c>
      <c r="E259" s="179" t="s">
        <v>721</v>
      </c>
      <c r="F259" s="179" t="s">
        <v>339</v>
      </c>
      <c r="G259" s="212" t="s">
        <v>717</v>
      </c>
      <c r="H259" s="179" t="s">
        <v>10</v>
      </c>
      <c r="I259" s="179" t="s">
        <v>368</v>
      </c>
      <c r="J259" s="179"/>
      <c r="K259" s="179" t="s">
        <v>183</v>
      </c>
      <c r="L259" s="179"/>
      <c r="M259" s="179" t="str">
        <f>_xlfn.XLOOKUP(Tablo7[[#This Row],[Yan Profili]],Anbar!$J$3:$J$1000,Anbar!$H$3:$H$1000,"Tapilmadi")</f>
        <v>Tapilmadi</v>
      </c>
      <c r="N259" s="179">
        <v>1</v>
      </c>
      <c r="O259" s="179">
        <v>23</v>
      </c>
      <c r="P259" s="179" t="s">
        <v>184</v>
      </c>
      <c r="Q259" s="179" t="str">
        <f>_xlfn.XLOOKUP(Tablo7[[#This Row],[Qulp növü]],Anbar!$J$3:$J$1000,Anbar!$H$3:$H$1000,"Tapilmadi")</f>
        <v>Tapilmadi</v>
      </c>
      <c r="R259" s="179">
        <v>1</v>
      </c>
      <c r="S259" s="180">
        <v>26</v>
      </c>
      <c r="T259" s="181"/>
      <c r="U259" s="179" t="str">
        <f>_xlfn.XLOOKUP(Tablo7[[#This Row],[Petlə]],Anbar!$J$3:$J$1000,Anbar!$H$3:$H$1000,"Tapilmadi")</f>
        <v>Tapilmadi</v>
      </c>
      <c r="V259" s="181">
        <v>0</v>
      </c>
      <c r="W259" s="180">
        <v>0</v>
      </c>
      <c r="X259" s="269">
        <v>6</v>
      </c>
      <c r="Y259" s="179" t="s">
        <v>36</v>
      </c>
      <c r="Z259" s="182"/>
      <c r="AA259" s="180">
        <v>16</v>
      </c>
      <c r="AB259" s="180"/>
      <c r="AC259" s="179" t="str">
        <f>_xlfn.XLOOKUP(Tablo7[[#This Row],[Bağlantı]],Anbar!$J$3:$J$1000,Anbar!$H$3:$H$1000,"Tapilmadi")</f>
        <v>Tapilmadi</v>
      </c>
      <c r="AD259" s="179"/>
      <c r="AE259" s="180">
        <v>8</v>
      </c>
      <c r="AF259" s="180"/>
      <c r="AG259" s="179" t="str">
        <f>_xlfn.XLOOKUP(Tablo7[[#This Row],[Mexanizm]],Anbar!$J$3:$J$1000,Anbar!$H$3:$H$1000,"Tapilmadi")</f>
        <v>Tapilmadi</v>
      </c>
      <c r="AH259" s="179">
        <v>1</v>
      </c>
      <c r="AI259" s="180">
        <v>0</v>
      </c>
      <c r="AJ259" s="180">
        <v>4</v>
      </c>
      <c r="AK259" s="180">
        <v>20</v>
      </c>
      <c r="AL259" s="180">
        <v>0</v>
      </c>
      <c r="AM259" s="180">
        <v>103</v>
      </c>
      <c r="AN259" s="180"/>
      <c r="AO259" s="180">
        <v>0</v>
      </c>
      <c r="AP259" s="194">
        <f>Tablo7[[#This Row],[Ümumi məbləğ]]-Tablo7[[#This Row],[Ödəniş]]-Tablo7[[#This Row],[Endirim]]</f>
        <v>103</v>
      </c>
      <c r="AQ259" s="183" t="str">
        <f t="shared" ref="AQ259:AQ322" si="81">HYPERLINK("https://web.whatsapp.com/send?phone="&amp;I259&amp;"&amp;text="&amp;AU259,"Mesaj")</f>
        <v>Mesaj</v>
      </c>
      <c r="AR259" s="183" t="str">
        <f t="shared" ref="AR259:AR322" si="82">HYPERLINK("https://web.whatsapp.com/send?phone="&amp;I259&amp;"&amp;text="&amp;AV259,"Mesaj")</f>
        <v>Mesaj</v>
      </c>
      <c r="AS259" s="184" t="str">
        <f>IF(ISNA(VLOOKUP(Tablo7[[#This Row],[Sifariş kodu]],'Kəsim ve təhvil'!$E$5:$E1257,1,0)),"Qəbul edilməyib","Qəbul edilib")</f>
        <v>Qəbul edilməyib</v>
      </c>
      <c r="AT259" s="185" t="str">
        <f>IF(ISNA(VLOOKUP(Tablo7[[#This Row],[Sifariş kodu]],'Kəsim ve təhvil'!$H$5:$H1257,1,0)),"Anbardadır","Təhvil verilib")</f>
        <v>Anbardadır</v>
      </c>
      <c r="AU259" s="186" t="str">
        <f>"Hörmətli *"&amp;Tablo7[[#This Row],[Müştəri]]&amp;"*  ,Sizin *"&amp;G259&amp;"* tarixli sifarişiniz qeydə alındı. Sifariş Məbləğı *"&amp;AM259&amp;" AZN* , Qalıq *"&amp;AP259&amp;" AZN* . Hörmətlə  *AlumPro*"</f>
        <v>Hörmətli *Kamran kaya desıgn*  ,Sizin *21,11,2024* tarixli sifarişiniz qeydə alındı. Sifariş Məbləğı *103 AZN* , Qalıq *103 AZN* . Hörmətlə  *AlumPro*</v>
      </c>
      <c r="AV259" s="187" t="str">
        <f>"Hörmətli *"&amp;Tablo7[[#This Row],[Müştəri]]&amp;"* , sizin *"&amp;G259&amp;"* tarixli  sifarişiniz hazırdır . Bizi seçdiyiniz üçün minnətdarıq. Hörmətlə  *AlumPro*."</f>
        <v>Hörmətli *Kamran kaya desıgn* , sizin *21,11,2024* tarixli  sifarişiniz hazırdır . Bizi seçdiyiniz üçün minnətdarıq. Hörmətlə  *AlumPro*.</v>
      </c>
      <c r="AW259" s="188" t="str">
        <f t="shared" si="80"/>
        <v>Kamran</v>
      </c>
      <c r="AX259" s="189" t="str">
        <f t="shared" ref="AX259:AX323" si="83">LEFT(H259,FIND("*",SUBSTITUTE(H259," ","*",1)))</f>
        <v xml:space="preserve">Kamran </v>
      </c>
    </row>
    <row r="260" spans="4:50">
      <c r="D260" s="178">
        <v>70</v>
      </c>
      <c r="E260" s="179" t="s">
        <v>722</v>
      </c>
      <c r="F260" s="179" t="s">
        <v>339</v>
      </c>
      <c r="G260" s="212" t="s">
        <v>717</v>
      </c>
      <c r="H260" s="179" t="s">
        <v>385</v>
      </c>
      <c r="I260" s="179" t="s">
        <v>386</v>
      </c>
      <c r="J260" s="179"/>
      <c r="K260" s="179" t="s">
        <v>234</v>
      </c>
      <c r="L260" s="179"/>
      <c r="M260" s="179" t="str">
        <f>_xlfn.XLOOKUP(Tablo7[[#This Row],[Yan Profili]],Anbar!$J$3:$J$1000,Anbar!$H$3:$H$1000,"Tapilmadi")</f>
        <v>Tapilmadi</v>
      </c>
      <c r="N260" s="179">
        <v>2</v>
      </c>
      <c r="O260" s="179">
        <v>46</v>
      </c>
      <c r="P260" s="179" t="s">
        <v>184</v>
      </c>
      <c r="Q260" s="179" t="str">
        <f>_xlfn.XLOOKUP(Tablo7[[#This Row],[Qulp növü]],Anbar!$J$3:$J$1000,Anbar!$H$3:$H$1000,"Tapilmadi")</f>
        <v>Tapilmadi</v>
      </c>
      <c r="R260" s="179">
        <v>1</v>
      </c>
      <c r="S260" s="180">
        <v>26</v>
      </c>
      <c r="T260" s="181"/>
      <c r="U260" s="179" t="str">
        <f>_xlfn.XLOOKUP(Tablo7[[#This Row],[Petlə]],Anbar!$J$3:$J$1000,Anbar!$H$3:$H$1000,"Tapilmadi")</f>
        <v>Tapilmadi</v>
      </c>
      <c r="V260" s="181">
        <v>0</v>
      </c>
      <c r="W260" s="180">
        <v>0</v>
      </c>
      <c r="X260" s="269">
        <v>0</v>
      </c>
      <c r="Y260" s="179" t="s">
        <v>325</v>
      </c>
      <c r="Z260" s="182"/>
      <c r="AA260" s="180">
        <v>47</v>
      </c>
      <c r="AB260" s="180"/>
      <c r="AC260" s="179" t="str">
        <f>_xlfn.XLOOKUP(Tablo7[[#This Row],[Bağlantı]],Anbar!$J$3:$J$1000,Anbar!$H$3:$H$1000,"Tapilmadi")</f>
        <v>Tapilmadi</v>
      </c>
      <c r="AD260" s="179"/>
      <c r="AE260" s="180">
        <v>4</v>
      </c>
      <c r="AF260" s="180"/>
      <c r="AG260" s="179" t="str">
        <f>_xlfn.XLOOKUP(Tablo7[[#This Row],[Mexanizm]],Anbar!$J$3:$J$1000,Anbar!$H$3:$H$1000,"Tapilmadi")</f>
        <v>Tapilmadi</v>
      </c>
      <c r="AH260" s="179">
        <v>1</v>
      </c>
      <c r="AI260" s="180">
        <v>0</v>
      </c>
      <c r="AJ260" s="180">
        <v>5</v>
      </c>
      <c r="AK260" s="180">
        <v>15</v>
      </c>
      <c r="AL260" s="180">
        <v>0</v>
      </c>
      <c r="AM260" s="180">
        <v>143</v>
      </c>
      <c r="AN260" s="180"/>
      <c r="AO260" s="180">
        <v>0</v>
      </c>
      <c r="AP260" s="194">
        <f>Tablo7[[#This Row],[Ümumi məbləğ]]-Tablo7[[#This Row],[Ödəniş]]-Tablo7[[#This Row],[Endirim]]</f>
        <v>143</v>
      </c>
      <c r="AQ260" s="183" t="str">
        <f t="shared" si="81"/>
        <v>Mesaj</v>
      </c>
      <c r="AR260" s="183" t="str">
        <f t="shared" si="82"/>
        <v>Mesaj</v>
      </c>
      <c r="AS260" s="184" t="str">
        <f>IF(ISNA(VLOOKUP(Tablo7[[#This Row],[Sifariş kodu]],'Kəsim ve təhvil'!$E$5:$E1258,1,0)),"Qəbul edilməyib","Qəbul edilib")</f>
        <v>Qəbul edilməyib</v>
      </c>
      <c r="AT260" s="185" t="str">
        <f>IF(ISNA(VLOOKUP(Tablo7[[#This Row],[Sifariş kodu]],'Kəsim ve təhvil'!$H$5:$H1258,1,0)),"Anbardadır","Təhvil verilib")</f>
        <v>Anbardadır</v>
      </c>
      <c r="AU260" s="186" t="str">
        <f>"Hörmətli *"&amp;Tablo7[[#This Row],[Müştəri]]&amp;"*  ,Sizin *"&amp;G260&amp;"* tarixli sifarişiniz qeydə alındı. Sifariş Məbləğı *"&amp;AM260&amp;" AZN* , Qalıq *"&amp;AP260&amp;" AZN* . Hörmətlə  *AlumPro*"</f>
        <v>Hörmətli *Ceyhun Bmw Doz*  ,Sizin *21,11,2024* tarixli sifarişiniz qeydə alındı. Sifariş Məbləğı *143 AZN* , Qalıq *143 AZN* . Hörmətlə  *AlumPro*</v>
      </c>
      <c r="AV260" s="187" t="str">
        <f>"Hörmətli *"&amp;Tablo7[[#This Row],[Müştəri]]&amp;"* , sizin *"&amp;G260&amp;"* tarixli  sifarişiniz hazırdır . Bizi seçdiyiniz üçün minnətdarıq. Hörmətlə  *AlumPro*."</f>
        <v>Hörmətli *Ceyhun Bmw Doz* , sizin *21,11,2024* tarixli  sifarişiniz hazırdır . Bizi seçdiyiniz üçün minnətdarıq. Hörmətlə  *AlumPro*.</v>
      </c>
      <c r="AW260" s="188" t="str">
        <f t="shared" ref="AW260:AW323" si="84">SUBSTITUTE(AX260," ","")</f>
        <v>Ceyhun</v>
      </c>
      <c r="AX260" s="189" t="str">
        <f t="shared" si="83"/>
        <v xml:space="preserve">Ceyhun </v>
      </c>
    </row>
    <row r="261" spans="4:50">
      <c r="D261" s="178">
        <v>69</v>
      </c>
      <c r="E261" s="179" t="s">
        <v>723</v>
      </c>
      <c r="F261" s="179" t="s">
        <v>339</v>
      </c>
      <c r="G261" s="212" t="s">
        <v>717</v>
      </c>
      <c r="H261" s="179" t="s">
        <v>290</v>
      </c>
      <c r="I261" s="179" t="s">
        <v>291</v>
      </c>
      <c r="J261" s="179"/>
      <c r="K261" s="179" t="s">
        <v>194</v>
      </c>
      <c r="L261" s="179"/>
      <c r="M261" s="179" t="str">
        <f>_xlfn.XLOOKUP(Tablo7[[#This Row],[Yan Profili]],Anbar!$J$3:$J$1000,Anbar!$H$3:$H$1000,"Tapilmadi")</f>
        <v>Tapilmadi</v>
      </c>
      <c r="N261" s="179">
        <v>1</v>
      </c>
      <c r="O261" s="179">
        <v>23</v>
      </c>
      <c r="P261" s="179" t="s">
        <v>184</v>
      </c>
      <c r="Q261" s="179" t="str">
        <f>_xlfn.XLOOKUP(Tablo7[[#This Row],[Qulp növü]],Anbar!$J$3:$J$1000,Anbar!$H$3:$H$1000,"Tapilmadi")</f>
        <v>Tapilmadi</v>
      </c>
      <c r="R261" s="179">
        <v>1</v>
      </c>
      <c r="S261" s="180">
        <v>26</v>
      </c>
      <c r="T261" s="181" t="s">
        <v>196</v>
      </c>
      <c r="U261" s="179" t="str">
        <f>_xlfn.XLOOKUP(Tablo7[[#This Row],[Petlə]],Anbar!$J$3:$J$1000,Anbar!$H$3:$H$1000,"Tapilmadi")</f>
        <v>Tapilmadi</v>
      </c>
      <c r="V261" s="181">
        <v>3</v>
      </c>
      <c r="W261" s="180">
        <v>12</v>
      </c>
      <c r="X261" s="269">
        <v>0</v>
      </c>
      <c r="Y261" s="179" t="s">
        <v>36</v>
      </c>
      <c r="Z261" s="182"/>
      <c r="AA261" s="180">
        <v>25</v>
      </c>
      <c r="AB261" s="180"/>
      <c r="AC261" s="179" t="str">
        <f>_xlfn.XLOOKUP(Tablo7[[#This Row],[Bağlantı]],Anbar!$J$3:$J$1000,Anbar!$H$3:$H$1000,"Tapilmadi")</f>
        <v>Tapilmadi</v>
      </c>
      <c r="AD261" s="179"/>
      <c r="AE261" s="180">
        <v>8</v>
      </c>
      <c r="AF261" s="180"/>
      <c r="AG261" s="179" t="str">
        <f>_xlfn.XLOOKUP(Tablo7[[#This Row],[Mexanizm]],Anbar!$J$3:$J$1000,Anbar!$H$3:$H$1000,"Tapilmadi")</f>
        <v>Tapilmadi</v>
      </c>
      <c r="AH261" s="179">
        <v>1</v>
      </c>
      <c r="AI261" s="180">
        <v>0</v>
      </c>
      <c r="AJ261" s="180">
        <v>6</v>
      </c>
      <c r="AK261" s="180">
        <v>15</v>
      </c>
      <c r="AL261" s="180">
        <v>0</v>
      </c>
      <c r="AM261" s="180">
        <v>115</v>
      </c>
      <c r="AN261" s="180"/>
      <c r="AO261" s="180">
        <v>115</v>
      </c>
      <c r="AP261" s="194">
        <f>Tablo7[[#This Row],[Ümumi məbləğ]]-Tablo7[[#This Row],[Ödəniş]]-Tablo7[[#This Row],[Endirim]]</f>
        <v>0</v>
      </c>
      <c r="AQ261" s="183" t="str">
        <f t="shared" si="81"/>
        <v>Mesaj</v>
      </c>
      <c r="AR261" s="183" t="str">
        <f t="shared" si="82"/>
        <v>Mesaj</v>
      </c>
      <c r="AS261" s="184" t="str">
        <f>IF(ISNA(VLOOKUP(Tablo7[[#This Row],[Sifariş kodu]],'Kəsim ve təhvil'!$E$5:$E1259,1,0)),"Qəbul edilməyib","Qəbul edilib")</f>
        <v>Qəbul edilməyib</v>
      </c>
      <c r="AT261" s="185" t="str">
        <f>IF(ISNA(VLOOKUP(Tablo7[[#This Row],[Sifariş kodu]],'Kəsim ve təhvil'!$H$5:$H1259,1,0)),"Anbardadır","Təhvil verilib")</f>
        <v>Anbardadır</v>
      </c>
      <c r="AU261" s="186" t="str">
        <f>"Hörmətli *"&amp;Tablo7[[#This Row],[Müştəri]]&amp;"*  ,Sizin *"&amp;G261&amp;"* tarixli sifarişiniz qeydə alındı. Sifariş Məbləğı *"&amp;AM261&amp;" AZN* , Qalıq *"&amp;AP261&amp;" AZN* . Hörmətlə  *AlumPro*"</f>
        <v>Hörmətli *Vaqif German*  ,Sizin *21,11,2024* tarixli sifarişiniz qeydə alındı. Sifariş Məbləğı *115 AZN* , Qalıq *0 AZN* . Hörmətlə  *AlumPro*</v>
      </c>
      <c r="AV261" s="187" t="str">
        <f>"Hörmətli *"&amp;Tablo7[[#This Row],[Müştəri]]&amp;"* , sizin *"&amp;G261&amp;"* tarixli  sifarişiniz hazırdır . Bizi seçdiyiniz üçün minnətdarıq. Hörmətlə  *AlumPro*."</f>
        <v>Hörmətli *Vaqif German* , sizin *21,11,2024* tarixli  sifarişiniz hazırdır . Bizi seçdiyiniz üçün minnətdarıq. Hörmətlə  *AlumPro*.</v>
      </c>
      <c r="AW261" s="188" t="str">
        <f t="shared" si="84"/>
        <v>Vaqif</v>
      </c>
      <c r="AX261" s="189" t="str">
        <f t="shared" si="83"/>
        <v xml:space="preserve">Vaqif </v>
      </c>
    </row>
    <row r="262" spans="4:50">
      <c r="D262" s="178">
        <v>68</v>
      </c>
      <c r="E262" s="179" t="s">
        <v>724</v>
      </c>
      <c r="F262" s="179" t="s">
        <v>339</v>
      </c>
      <c r="G262" s="212" t="s">
        <v>717</v>
      </c>
      <c r="H262" s="179" t="s">
        <v>725</v>
      </c>
      <c r="I262" s="179" t="s">
        <v>726</v>
      </c>
      <c r="J262" s="179"/>
      <c r="K262" s="179" t="s">
        <v>183</v>
      </c>
      <c r="L262" s="179"/>
      <c r="M262" s="179" t="str">
        <f>_xlfn.XLOOKUP(Tablo7[[#This Row],[Yan Profili]],Anbar!$J$3:$J$1000,Anbar!$H$3:$H$1000,"Tapilmadi")</f>
        <v>Tapilmadi</v>
      </c>
      <c r="N262" s="179">
        <v>1</v>
      </c>
      <c r="O262" s="179">
        <v>23</v>
      </c>
      <c r="P262" s="179" t="s">
        <v>184</v>
      </c>
      <c r="Q262" s="179" t="str">
        <f>_xlfn.XLOOKUP(Tablo7[[#This Row],[Qulp növü]],Anbar!$J$3:$J$1000,Anbar!$H$3:$H$1000,"Tapilmadi")</f>
        <v>Tapilmadi</v>
      </c>
      <c r="R262" s="179">
        <v>1</v>
      </c>
      <c r="S262" s="180">
        <v>26</v>
      </c>
      <c r="T262" s="181"/>
      <c r="U262" s="179" t="str">
        <f>_xlfn.XLOOKUP(Tablo7[[#This Row],[Petlə]],Anbar!$J$3:$J$1000,Anbar!$H$3:$H$1000,"Tapilmadi")</f>
        <v>Tapilmadi</v>
      </c>
      <c r="V262" s="181">
        <v>0</v>
      </c>
      <c r="W262" s="180">
        <v>0</v>
      </c>
      <c r="X262" s="269">
        <v>6</v>
      </c>
      <c r="Y262" s="179" t="s">
        <v>36</v>
      </c>
      <c r="Z262" s="182"/>
      <c r="AA262" s="180">
        <v>15</v>
      </c>
      <c r="AB262" s="180"/>
      <c r="AC262" s="179" t="str">
        <f>_xlfn.XLOOKUP(Tablo7[[#This Row],[Bağlantı]],Anbar!$J$3:$J$1000,Anbar!$H$3:$H$1000,"Tapilmadi")</f>
        <v>Tapilmadi</v>
      </c>
      <c r="AD262" s="179"/>
      <c r="AE262" s="180">
        <v>4</v>
      </c>
      <c r="AF262" s="180"/>
      <c r="AG262" s="179" t="str">
        <f>_xlfn.XLOOKUP(Tablo7[[#This Row],[Mexanizm]],Anbar!$J$3:$J$1000,Anbar!$H$3:$H$1000,"Tapilmadi")</f>
        <v>Tapilmadi</v>
      </c>
      <c r="AH262" s="179">
        <v>1</v>
      </c>
      <c r="AI262" s="180">
        <v>0</v>
      </c>
      <c r="AJ262" s="180">
        <v>3</v>
      </c>
      <c r="AK262" s="180">
        <v>15</v>
      </c>
      <c r="AL262" s="180">
        <v>0</v>
      </c>
      <c r="AM262" s="180">
        <v>92</v>
      </c>
      <c r="AN262" s="180"/>
      <c r="AO262" s="180">
        <v>92</v>
      </c>
      <c r="AP262" s="194">
        <f>Tablo7[[#This Row],[Ümumi məbləğ]]-Tablo7[[#This Row],[Ödəniş]]-Tablo7[[#This Row],[Endirim]]</f>
        <v>0</v>
      </c>
      <c r="AQ262" s="183" t="str">
        <f t="shared" si="81"/>
        <v>Mesaj</v>
      </c>
      <c r="AR262" s="183" t="str">
        <f t="shared" si="82"/>
        <v>Mesaj</v>
      </c>
      <c r="AS262" s="184" t="str">
        <f>IF(ISNA(VLOOKUP(Tablo7[[#This Row],[Sifariş kodu]],'Kəsim ve təhvil'!$E$5:$E1260,1,0)),"Qəbul edilməyib","Qəbul edilib")</f>
        <v>Qəbul edilməyib</v>
      </c>
      <c r="AT262" s="185" t="str">
        <f>IF(ISNA(VLOOKUP(Tablo7[[#This Row],[Sifariş kodu]],'Kəsim ve təhvil'!$H$5:$H1260,1,0)),"Anbardadır","Təhvil verilib")</f>
        <v>Anbardadır</v>
      </c>
      <c r="AU262" s="186" t="str">
        <f>"Hörmətli *"&amp;Tablo7[[#This Row],[Müştəri]]&amp;"*  ,Sizin *"&amp;G262&amp;"* tarixli sifarişiniz qeydə alındı. Sifariş Məbləğı *"&amp;AM262&amp;" AZN* , Qalıq *"&amp;AP262&amp;" AZN* . Hörmətlə  *AlumPro*"</f>
        <v>Hörmətli *Ruslan Amil*  ,Sizin *21,11,2024* tarixli sifarişiniz qeydə alındı. Sifariş Məbləğı *92 AZN* , Qalıq *0 AZN* . Hörmətlə  *AlumPro*</v>
      </c>
      <c r="AV262" s="187" t="str">
        <f>"Hörmətli *"&amp;Tablo7[[#This Row],[Müştəri]]&amp;"* , sizin *"&amp;G262&amp;"* tarixli  sifarişiniz hazırdır . Bizi seçdiyiniz üçün minnətdarıq. Hörmətlə  *AlumPro*."</f>
        <v>Hörmətli *Ruslan Amil* , sizin *21,11,2024* tarixli  sifarişiniz hazırdır . Bizi seçdiyiniz üçün minnətdarıq. Hörmətlə  *AlumPro*.</v>
      </c>
      <c r="AW262" s="188" t="str">
        <f t="shared" si="84"/>
        <v>Ruslan</v>
      </c>
      <c r="AX262" s="189" t="str">
        <f t="shared" si="83"/>
        <v xml:space="preserve">Ruslan </v>
      </c>
    </row>
    <row r="263" spans="4:50">
      <c r="D263" s="178">
        <v>67</v>
      </c>
      <c r="E263" s="179" t="s">
        <v>727</v>
      </c>
      <c r="F263" s="179" t="s">
        <v>339</v>
      </c>
      <c r="G263" s="212" t="s">
        <v>717</v>
      </c>
      <c r="H263" s="179" t="s">
        <v>728</v>
      </c>
      <c r="I263" s="179" t="s">
        <v>729</v>
      </c>
      <c r="J263" s="179"/>
      <c r="K263" s="179" t="s">
        <v>183</v>
      </c>
      <c r="L263" s="179"/>
      <c r="M263" s="179" t="str">
        <f>_xlfn.XLOOKUP(Tablo7[[#This Row],[Yan Profili]],Anbar!$J$3:$J$1000,Anbar!$H$3:$H$1000,"Tapilmadi")</f>
        <v>Tapilmadi</v>
      </c>
      <c r="N263" s="179">
        <v>7</v>
      </c>
      <c r="O263" s="179">
        <v>161</v>
      </c>
      <c r="P263" s="179" t="s">
        <v>184</v>
      </c>
      <c r="Q263" s="179" t="str">
        <f>_xlfn.XLOOKUP(Tablo7[[#This Row],[Qulp növü]],Anbar!$J$3:$J$1000,Anbar!$H$3:$H$1000,"Tapilmadi")</f>
        <v>Tapilmadi</v>
      </c>
      <c r="R263" s="179">
        <v>5</v>
      </c>
      <c r="S263" s="180">
        <v>130</v>
      </c>
      <c r="T263" s="181"/>
      <c r="U263" s="179" t="str">
        <f>_xlfn.XLOOKUP(Tablo7[[#This Row],[Petlə]],Anbar!$J$3:$J$1000,Anbar!$H$3:$H$1000,"Tapilmadi")</f>
        <v>Tapilmadi</v>
      </c>
      <c r="V263" s="181">
        <v>0</v>
      </c>
      <c r="W263" s="180">
        <v>0</v>
      </c>
      <c r="X263" s="269">
        <v>36</v>
      </c>
      <c r="Y263" s="179" t="s">
        <v>36</v>
      </c>
      <c r="Z263" s="182"/>
      <c r="AA263" s="180">
        <v>123</v>
      </c>
      <c r="AB263" s="180"/>
      <c r="AC263" s="179" t="str">
        <f>_xlfn.XLOOKUP(Tablo7[[#This Row],[Bağlantı]],Anbar!$J$3:$J$1000,Anbar!$H$3:$H$1000,"Tapilmadi")</f>
        <v>Tapilmadi</v>
      </c>
      <c r="AD263" s="179"/>
      <c r="AE263" s="180">
        <v>20</v>
      </c>
      <c r="AF263" s="180"/>
      <c r="AG263" s="179" t="str">
        <f>_xlfn.XLOOKUP(Tablo7[[#This Row],[Mexanizm]],Anbar!$J$3:$J$1000,Anbar!$H$3:$H$1000,"Tapilmadi")</f>
        <v>Tapilmadi</v>
      </c>
      <c r="AH263" s="179">
        <v>1</v>
      </c>
      <c r="AI263" s="180">
        <v>0</v>
      </c>
      <c r="AJ263" s="180">
        <v>20</v>
      </c>
      <c r="AK263" s="180">
        <v>75</v>
      </c>
      <c r="AL263" s="180">
        <v>0</v>
      </c>
      <c r="AM263" s="180">
        <v>565</v>
      </c>
      <c r="AN263" s="180"/>
      <c r="AO263" s="180">
        <v>570</v>
      </c>
      <c r="AP263" s="194">
        <f>Tablo7[[#This Row],[Ümumi məbləğ]]-Tablo7[[#This Row],[Ödəniş]]-Tablo7[[#This Row],[Endirim]]</f>
        <v>-5</v>
      </c>
      <c r="AQ263" s="183" t="str">
        <f t="shared" si="81"/>
        <v>Mesaj</v>
      </c>
      <c r="AR263" s="183" t="str">
        <f t="shared" si="82"/>
        <v>Mesaj</v>
      </c>
      <c r="AS263" s="184" t="str">
        <f>IF(ISNA(VLOOKUP(Tablo7[[#This Row],[Sifariş kodu]],'Kəsim ve təhvil'!$E$5:$E1261,1,0)),"Qəbul edilməyib","Qəbul edilib")</f>
        <v>Qəbul edilməyib</v>
      </c>
      <c r="AT263" s="185" t="str">
        <f>IF(ISNA(VLOOKUP(Tablo7[[#This Row],[Sifariş kodu]],'Kəsim ve təhvil'!$H$5:$H1261,1,0)),"Anbardadır","Təhvil verilib")</f>
        <v>Anbardadır</v>
      </c>
      <c r="AU263" s="186" t="str">
        <f>"Hörmətli *"&amp;Tablo7[[#This Row],[Müştəri]]&amp;"*  ,Sizin *"&amp;G263&amp;"* tarixli sifarişiniz qeydə alındı. Sifariş Məbləğı *"&amp;AM263&amp;" AZN* , Qalıq *"&amp;AP263&amp;" AZN* . Hörmətlə  *AlumPro*"</f>
        <v>Hörmətli *Erdal Adiyge Mebel*  ,Sizin *21,11,2024* tarixli sifarişiniz qeydə alındı. Sifariş Məbləğı *565 AZN* , Qalıq *-5 AZN* . Hörmətlə  *AlumPro*</v>
      </c>
      <c r="AV263" s="187" t="str">
        <f>"Hörmətli *"&amp;Tablo7[[#This Row],[Müştəri]]&amp;"* , sizin *"&amp;G263&amp;"* tarixli  sifarişiniz hazırdır . Bizi seçdiyiniz üçün minnətdarıq. Hörmətlə  *AlumPro*."</f>
        <v>Hörmətli *Erdal Adiyge Mebel* , sizin *21,11,2024* tarixli  sifarişiniz hazırdır . Bizi seçdiyiniz üçün minnətdarıq. Hörmətlə  *AlumPro*.</v>
      </c>
      <c r="AW263" s="188" t="str">
        <f t="shared" si="84"/>
        <v>Erdal</v>
      </c>
      <c r="AX263" s="189" t="str">
        <f t="shared" si="83"/>
        <v xml:space="preserve">Erdal </v>
      </c>
    </row>
    <row r="264" spans="4:50">
      <c r="D264" s="178">
        <v>66</v>
      </c>
      <c r="E264" s="179" t="s">
        <v>730</v>
      </c>
      <c r="F264" s="179" t="s">
        <v>339</v>
      </c>
      <c r="G264" s="212" t="s">
        <v>717</v>
      </c>
      <c r="H264" s="179" t="s">
        <v>683</v>
      </c>
      <c r="I264" s="179" t="s">
        <v>684</v>
      </c>
      <c r="J264" s="179"/>
      <c r="K264" s="179" t="s">
        <v>183</v>
      </c>
      <c r="L264" s="179"/>
      <c r="M264" s="179" t="str">
        <f>_xlfn.XLOOKUP(Tablo7[[#This Row],[Yan Profili]],Anbar!$J$3:$J$1000,Anbar!$H$3:$H$1000,"Tapilmadi")</f>
        <v>Tapilmadi</v>
      </c>
      <c r="N264" s="179">
        <v>3</v>
      </c>
      <c r="O264" s="179">
        <v>69</v>
      </c>
      <c r="P264" s="179" t="s">
        <v>184</v>
      </c>
      <c r="Q264" s="179" t="str">
        <f>_xlfn.XLOOKUP(Tablo7[[#This Row],[Qulp növü]],Anbar!$J$3:$J$1000,Anbar!$H$3:$H$1000,"Tapilmadi")</f>
        <v>Tapilmadi</v>
      </c>
      <c r="R264" s="179">
        <v>2</v>
      </c>
      <c r="S264" s="180">
        <v>52</v>
      </c>
      <c r="T264" s="181"/>
      <c r="U264" s="179" t="str">
        <f>_xlfn.XLOOKUP(Tablo7[[#This Row],[Petlə]],Anbar!$J$3:$J$1000,Anbar!$H$3:$H$1000,"Tapilmadi")</f>
        <v>Tapilmadi</v>
      </c>
      <c r="V264" s="181">
        <v>0</v>
      </c>
      <c r="W264" s="180">
        <v>0</v>
      </c>
      <c r="X264" s="269">
        <v>15</v>
      </c>
      <c r="Y264" s="179" t="s">
        <v>36</v>
      </c>
      <c r="Z264" s="182"/>
      <c r="AA264" s="180">
        <v>69</v>
      </c>
      <c r="AB264" s="180"/>
      <c r="AC264" s="179" t="str">
        <f>_xlfn.XLOOKUP(Tablo7[[#This Row],[Bağlantı]],Anbar!$J$3:$J$1000,Anbar!$H$3:$H$1000,"Tapilmadi")</f>
        <v>Tapilmadi</v>
      </c>
      <c r="AD264" s="179"/>
      <c r="AE264" s="180">
        <v>8</v>
      </c>
      <c r="AF264" s="180"/>
      <c r="AG264" s="179" t="str">
        <f>_xlfn.XLOOKUP(Tablo7[[#This Row],[Mexanizm]],Anbar!$J$3:$J$1000,Anbar!$H$3:$H$1000,"Tapilmadi")</f>
        <v>Tapilmadi</v>
      </c>
      <c r="AH264" s="179">
        <v>1</v>
      </c>
      <c r="AI264" s="180">
        <v>0</v>
      </c>
      <c r="AJ264" s="180">
        <v>12</v>
      </c>
      <c r="AK264" s="180">
        <v>30</v>
      </c>
      <c r="AL264" s="180">
        <v>0</v>
      </c>
      <c r="AM264" s="180">
        <v>255</v>
      </c>
      <c r="AN264" s="180"/>
      <c r="AO264" s="180">
        <v>260</v>
      </c>
      <c r="AP264" s="194">
        <f>Tablo7[[#This Row],[Ümumi məbləğ]]-Tablo7[[#This Row],[Ödəniş]]-Tablo7[[#This Row],[Endirim]]</f>
        <v>-5</v>
      </c>
      <c r="AQ264" s="183" t="str">
        <f t="shared" si="81"/>
        <v>Mesaj</v>
      </c>
      <c r="AR264" s="183" t="str">
        <f t="shared" si="82"/>
        <v>Mesaj</v>
      </c>
      <c r="AS264" s="184" t="str">
        <f>IF(ISNA(VLOOKUP(Tablo7[[#This Row],[Sifariş kodu]],'Kəsim ve təhvil'!$E$5:$E1262,1,0)),"Qəbul edilməyib","Qəbul edilib")</f>
        <v>Qəbul edilməyib</v>
      </c>
      <c r="AT264" s="185" t="str">
        <f>IF(ISNA(VLOOKUP(Tablo7[[#This Row],[Sifariş kodu]],'Kəsim ve təhvil'!$H$5:$H1262,1,0)),"Anbardadır","Təhvil verilib")</f>
        <v>Anbardadır</v>
      </c>
      <c r="AU264" s="186" t="str">
        <f>"Hörmətli *"&amp;Tablo7[[#This Row],[Müştəri]]&amp;"*  ,Sizin *"&amp;G264&amp;"* tarixli sifarişiniz qeydə alındı. Sifariş Məbləğı *"&amp;AM264&amp;" AZN* , Qalıq *"&amp;AP264&amp;" AZN* . Hörmətlə  *AlumPro*"</f>
        <v>Hörmətli *Elmeddin Soltanov*  ,Sizin *21,11,2024* tarixli sifarişiniz qeydə alındı. Sifariş Məbləğı *255 AZN* , Qalıq *-5 AZN* . Hörmətlə  *AlumPro*</v>
      </c>
      <c r="AV264" s="187" t="str">
        <f>"Hörmətli *"&amp;Tablo7[[#This Row],[Müştəri]]&amp;"* , sizin *"&amp;G264&amp;"* tarixli  sifarişiniz hazırdır . Bizi seçdiyiniz üçün minnətdarıq. Hörmətlə  *AlumPro*."</f>
        <v>Hörmətli *Elmeddin Soltanov* , sizin *21,11,2024* tarixli  sifarişiniz hazırdır . Bizi seçdiyiniz üçün minnətdarıq. Hörmətlə  *AlumPro*.</v>
      </c>
      <c r="AW264" s="188" t="str">
        <f t="shared" si="84"/>
        <v>Elmeddin</v>
      </c>
      <c r="AX264" s="189" t="str">
        <f t="shared" si="83"/>
        <v xml:space="preserve">Elmeddin </v>
      </c>
    </row>
    <row r="265" spans="4:50">
      <c r="D265" s="178">
        <v>65</v>
      </c>
      <c r="E265" s="179" t="s">
        <v>731</v>
      </c>
      <c r="F265" s="179" t="s">
        <v>339</v>
      </c>
      <c r="G265" s="212" t="s">
        <v>717</v>
      </c>
      <c r="H265" s="179" t="s">
        <v>123</v>
      </c>
      <c r="I265" s="179" t="s">
        <v>124</v>
      </c>
      <c r="J265" s="179"/>
      <c r="K265" s="179" t="s">
        <v>194</v>
      </c>
      <c r="L265" s="179"/>
      <c r="M265" s="179" t="str">
        <f>_xlfn.XLOOKUP(Tablo7[[#This Row],[Yan Profili]],Anbar!$J$3:$J$1000,Anbar!$H$3:$H$1000,"Tapilmadi")</f>
        <v>Tapilmadi</v>
      </c>
      <c r="N265" s="179">
        <v>2</v>
      </c>
      <c r="O265" s="179">
        <v>46</v>
      </c>
      <c r="P265" s="179" t="s">
        <v>195</v>
      </c>
      <c r="Q265" s="179" t="str">
        <f>_xlfn.XLOOKUP(Tablo7[[#This Row],[Qulp növü]],Anbar!$J$3:$J$1000,Anbar!$H$3:$H$1000,"Tapilmadi")</f>
        <v>Tapilmadi</v>
      </c>
      <c r="R265" s="179">
        <v>0</v>
      </c>
      <c r="S265" s="180">
        <v>0</v>
      </c>
      <c r="T265" s="181" t="s">
        <v>196</v>
      </c>
      <c r="U265" s="179" t="str">
        <f>_xlfn.XLOOKUP(Tablo7[[#This Row],[Petlə]],Anbar!$J$3:$J$1000,Anbar!$H$3:$H$1000,"Tapilmadi")</f>
        <v>Tapilmadi</v>
      </c>
      <c r="V265" s="181">
        <v>3</v>
      </c>
      <c r="W265" s="180">
        <v>12</v>
      </c>
      <c r="X265" s="269">
        <v>0</v>
      </c>
      <c r="Y265" s="179" t="s">
        <v>387</v>
      </c>
      <c r="Z265" s="182"/>
      <c r="AA265" s="180">
        <v>18</v>
      </c>
      <c r="AB265" s="180"/>
      <c r="AC265" s="179" t="str">
        <f>_xlfn.XLOOKUP(Tablo7[[#This Row],[Bağlantı]],Anbar!$J$3:$J$1000,Anbar!$H$3:$H$1000,"Tapilmadi")</f>
        <v>Tapilmadi</v>
      </c>
      <c r="AD265" s="179"/>
      <c r="AE265" s="180">
        <v>8</v>
      </c>
      <c r="AF265" s="180"/>
      <c r="AG265" s="179" t="str">
        <f>_xlfn.XLOOKUP(Tablo7[[#This Row],[Mexanizm]],Anbar!$J$3:$J$1000,Anbar!$H$3:$H$1000,"Tapilmadi")</f>
        <v>Tapilmadi</v>
      </c>
      <c r="AH265" s="179">
        <v>1</v>
      </c>
      <c r="AI265" s="180">
        <v>0</v>
      </c>
      <c r="AJ265" s="180">
        <v>6</v>
      </c>
      <c r="AK265" s="180">
        <v>15</v>
      </c>
      <c r="AL265" s="180">
        <v>0</v>
      </c>
      <c r="AM265" s="180">
        <v>105</v>
      </c>
      <c r="AN265" s="180"/>
      <c r="AO265" s="180">
        <v>105</v>
      </c>
      <c r="AP265" s="194">
        <f>Tablo7[[#This Row],[Ümumi məbləğ]]-Tablo7[[#This Row],[Ödəniş]]-Tablo7[[#This Row],[Endirim]]</f>
        <v>0</v>
      </c>
      <c r="AQ265" s="183" t="str">
        <f t="shared" si="81"/>
        <v>Mesaj</v>
      </c>
      <c r="AR265" s="183" t="str">
        <f t="shared" si="82"/>
        <v>Mesaj</v>
      </c>
      <c r="AS265" s="184" t="str">
        <f>IF(ISNA(VLOOKUP(Tablo7[[#This Row],[Sifariş kodu]],'Kəsim ve təhvil'!$E$5:$E1263,1,0)),"Qəbul edilməyib","Qəbul edilib")</f>
        <v>Qəbul edilməyib</v>
      </c>
      <c r="AT265" s="185" t="str">
        <f>IF(ISNA(VLOOKUP(Tablo7[[#This Row],[Sifariş kodu]],'Kəsim ve təhvil'!$H$5:$H1263,1,0)),"Anbardadır","Təhvil verilib")</f>
        <v>Anbardadır</v>
      </c>
      <c r="AU265" s="186" t="str">
        <f>"Hörmətli *"&amp;Tablo7[[#This Row],[Müştəri]]&amp;"*  ,Sizin *"&amp;G265&amp;"* tarixli sifarişiniz qeydə alındı. Sifariş Məbləğı *"&amp;AM265&amp;" AZN* , Qalıq *"&amp;AP265&amp;" AZN* . Hörmətlə  *AlumPro*"</f>
        <v>Hörmətli *Lux Concept*  ,Sizin *21,11,2024* tarixli sifarişiniz qeydə alındı. Sifariş Məbləğı *105 AZN* , Qalıq *0 AZN* . Hörmətlə  *AlumPro*</v>
      </c>
      <c r="AV265" s="187" t="str">
        <f>"Hörmətli *"&amp;Tablo7[[#This Row],[Müştəri]]&amp;"* , sizin *"&amp;G265&amp;"* tarixli  sifarişiniz hazırdır . Bizi seçdiyiniz üçün minnətdarıq. Hörmətlə  *AlumPro*."</f>
        <v>Hörmətli *Lux Concept* , sizin *21,11,2024* tarixli  sifarişiniz hazırdır . Bizi seçdiyiniz üçün minnətdarıq. Hörmətlə  *AlumPro*.</v>
      </c>
      <c r="AW265" s="188" t="str">
        <f t="shared" si="84"/>
        <v>Lux</v>
      </c>
      <c r="AX265" s="189" t="str">
        <f t="shared" si="83"/>
        <v xml:space="preserve">Lux </v>
      </c>
    </row>
    <row r="266" spans="4:50">
      <c r="D266" s="178">
        <v>64</v>
      </c>
      <c r="E266" s="179" t="s">
        <v>732</v>
      </c>
      <c r="F266" s="179" t="s">
        <v>339</v>
      </c>
      <c r="G266" s="212" t="s">
        <v>717</v>
      </c>
      <c r="H266" s="179" t="s">
        <v>123</v>
      </c>
      <c r="I266" s="179" t="s">
        <v>124</v>
      </c>
      <c r="J266" s="179"/>
      <c r="K266" s="179" t="s">
        <v>226</v>
      </c>
      <c r="L266" s="179"/>
      <c r="M266" s="179">
        <f>_xlfn.XLOOKUP(Tablo7[[#This Row],[Yan Profili]],Anbar!$J$3:$J$1000,Anbar!$H$3:$H$1000,"Tapilmadi")</f>
        <v>0</v>
      </c>
      <c r="N266" s="179">
        <v>7</v>
      </c>
      <c r="O266" s="179">
        <v>161</v>
      </c>
      <c r="P266" s="179" t="s">
        <v>184</v>
      </c>
      <c r="Q266" s="179" t="str">
        <f>_xlfn.XLOOKUP(Tablo7[[#This Row],[Qulp növü]],Anbar!$J$3:$J$1000,Anbar!$H$3:$H$1000,"Tapilmadi")</f>
        <v>Tapilmadi</v>
      </c>
      <c r="R266" s="179">
        <v>4</v>
      </c>
      <c r="S266" s="180">
        <v>104</v>
      </c>
      <c r="T266" s="181" t="s">
        <v>196</v>
      </c>
      <c r="U266" s="179" t="str">
        <f>_xlfn.XLOOKUP(Tablo7[[#This Row],[Petlə]],Anbar!$J$3:$J$1000,Anbar!$H$3:$H$1000,"Tapilmadi")</f>
        <v>Tapilmadi</v>
      </c>
      <c r="V266" s="181">
        <v>24</v>
      </c>
      <c r="W266" s="180">
        <v>96</v>
      </c>
      <c r="X266" s="269">
        <v>0</v>
      </c>
      <c r="Y266" s="179" t="s">
        <v>199</v>
      </c>
      <c r="Z266" s="182"/>
      <c r="AA266" s="180">
        <v>115</v>
      </c>
      <c r="AB266" s="180"/>
      <c r="AC266" s="179" t="str">
        <f>_xlfn.XLOOKUP(Tablo7[[#This Row],[Bağlantı]],Anbar!$J$3:$J$1000,Anbar!$H$3:$H$1000,"Tapilmadi")</f>
        <v>Tapilmadi</v>
      </c>
      <c r="AD266" s="179"/>
      <c r="AE266" s="180">
        <v>64</v>
      </c>
      <c r="AF266" s="180"/>
      <c r="AG266" s="179" t="str">
        <f>_xlfn.XLOOKUP(Tablo7[[#This Row],[Mexanizm]],Anbar!$J$3:$J$1000,Anbar!$H$3:$H$1000,"Tapilmadi")</f>
        <v>Tapilmadi</v>
      </c>
      <c r="AH266" s="179">
        <v>1</v>
      </c>
      <c r="AI266" s="180">
        <v>0</v>
      </c>
      <c r="AJ266" s="180">
        <v>48</v>
      </c>
      <c r="AK266" s="180">
        <v>100</v>
      </c>
      <c r="AL266" s="180">
        <v>0</v>
      </c>
      <c r="AM266" s="180">
        <v>688</v>
      </c>
      <c r="AN266" s="180"/>
      <c r="AO266" s="180">
        <v>688</v>
      </c>
      <c r="AP266" s="194">
        <f>Tablo7[[#This Row],[Ümumi məbləğ]]-Tablo7[[#This Row],[Ödəniş]]-Tablo7[[#This Row],[Endirim]]</f>
        <v>0</v>
      </c>
      <c r="AQ266" s="183" t="str">
        <f t="shared" si="81"/>
        <v>Mesaj</v>
      </c>
      <c r="AR266" s="183" t="str">
        <f t="shared" si="82"/>
        <v>Mesaj</v>
      </c>
      <c r="AS266" s="184" t="str">
        <f>IF(ISNA(VLOOKUP(Tablo7[[#This Row],[Sifariş kodu]],'Kəsim ve təhvil'!$E$5:$E1264,1,0)),"Qəbul edilməyib","Qəbul edilib")</f>
        <v>Qəbul edilməyib</v>
      </c>
      <c r="AT266" s="185" t="str">
        <f>IF(ISNA(VLOOKUP(Tablo7[[#This Row],[Sifariş kodu]],'Kəsim ve təhvil'!$H$5:$H1264,1,0)),"Anbardadır","Təhvil verilib")</f>
        <v>Anbardadır</v>
      </c>
      <c r="AU266" s="186" t="str">
        <f>"Hörmətli *"&amp;Tablo7[[#This Row],[Müştəri]]&amp;"*  ,Sizin *"&amp;G266&amp;"* tarixli sifarişiniz qeydə alındı. Sifariş Məbləğı *"&amp;AM266&amp;" AZN* , Qalıq *"&amp;AP266&amp;" AZN* . Hörmətlə  *AlumPro*"</f>
        <v>Hörmətli *Lux Concept*  ,Sizin *21,11,2024* tarixli sifarişiniz qeydə alındı. Sifariş Məbləğı *688 AZN* , Qalıq *0 AZN* . Hörmətlə  *AlumPro*</v>
      </c>
      <c r="AV266" s="187" t="str">
        <f>"Hörmətli *"&amp;Tablo7[[#This Row],[Müştəri]]&amp;"* , sizin *"&amp;G266&amp;"* tarixli  sifarişiniz hazırdır . Bizi seçdiyiniz üçün minnətdarıq. Hörmətlə  *AlumPro*."</f>
        <v>Hörmətli *Lux Concept* , sizin *21,11,2024* tarixli  sifarişiniz hazırdır . Bizi seçdiyiniz üçün minnətdarıq. Hörmətlə  *AlumPro*.</v>
      </c>
      <c r="AW266" s="188" t="str">
        <f t="shared" si="84"/>
        <v>Lux</v>
      </c>
      <c r="AX266" s="189" t="str">
        <f t="shared" si="83"/>
        <v xml:space="preserve">Lux </v>
      </c>
    </row>
    <row r="267" spans="4:50">
      <c r="D267" s="178">
        <v>63</v>
      </c>
      <c r="E267" s="179" t="s">
        <v>733</v>
      </c>
      <c r="F267" s="179" t="s">
        <v>339</v>
      </c>
      <c r="G267" s="212" t="s">
        <v>717</v>
      </c>
      <c r="H267" s="179" t="s">
        <v>358</v>
      </c>
      <c r="I267" s="179" t="s">
        <v>359</v>
      </c>
      <c r="J267" s="179" t="s">
        <v>734</v>
      </c>
      <c r="K267" s="179" t="s">
        <v>183</v>
      </c>
      <c r="L267" s="179"/>
      <c r="M267" s="179" t="str">
        <f>_xlfn.XLOOKUP(Tablo7[[#This Row],[Yan Profili]],Anbar!$J$3:$J$1000,Anbar!$H$3:$H$1000,"Tapilmadi")</f>
        <v>Tapilmadi</v>
      </c>
      <c r="N267" s="179">
        <v>1</v>
      </c>
      <c r="O267" s="179">
        <v>23</v>
      </c>
      <c r="P267" s="179" t="s">
        <v>184</v>
      </c>
      <c r="Q267" s="179" t="str">
        <f>_xlfn.XLOOKUP(Tablo7[[#This Row],[Qulp növü]],Anbar!$J$3:$J$1000,Anbar!$H$3:$H$1000,"Tapilmadi")</f>
        <v>Tapilmadi</v>
      </c>
      <c r="R267" s="179">
        <v>1</v>
      </c>
      <c r="S267" s="180">
        <v>26</v>
      </c>
      <c r="T267" s="181"/>
      <c r="U267" s="179" t="str">
        <f>_xlfn.XLOOKUP(Tablo7[[#This Row],[Petlə]],Anbar!$J$3:$J$1000,Anbar!$H$3:$H$1000,"Tapilmadi")</f>
        <v>Tapilmadi</v>
      </c>
      <c r="V267" s="181">
        <v>0</v>
      </c>
      <c r="W267" s="180">
        <v>0</v>
      </c>
      <c r="X267" s="269">
        <v>6</v>
      </c>
      <c r="Y267" s="179"/>
      <c r="Z267" s="182"/>
      <c r="AA267" s="180">
        <v>42</v>
      </c>
      <c r="AB267" s="180"/>
      <c r="AC267" s="179" t="str">
        <f>_xlfn.XLOOKUP(Tablo7[[#This Row],[Bağlantı]],Anbar!$J$3:$J$1000,Anbar!$H$3:$H$1000,"Tapilmadi")</f>
        <v>Tapilmadi</v>
      </c>
      <c r="AD267" s="179"/>
      <c r="AE267" s="180">
        <v>8</v>
      </c>
      <c r="AF267" s="180"/>
      <c r="AG267" s="179" t="str">
        <f>_xlfn.XLOOKUP(Tablo7[[#This Row],[Mexanizm]],Anbar!$J$3:$J$1000,Anbar!$H$3:$H$1000,"Tapilmadi")</f>
        <v>Tapilmadi</v>
      </c>
      <c r="AH267" s="179">
        <v>1</v>
      </c>
      <c r="AI267" s="180">
        <v>0</v>
      </c>
      <c r="AJ267" s="180">
        <v>4</v>
      </c>
      <c r="AK267" s="180">
        <v>20</v>
      </c>
      <c r="AL267" s="180">
        <v>0</v>
      </c>
      <c r="AM267" s="180">
        <v>129</v>
      </c>
      <c r="AN267" s="180"/>
      <c r="AO267" s="180">
        <v>0</v>
      </c>
      <c r="AP267" s="194">
        <f>Tablo7[[#This Row],[Ümumi məbləğ]]-Tablo7[[#This Row],[Ödəniş]]-Tablo7[[#This Row],[Endirim]]</f>
        <v>129</v>
      </c>
      <c r="AQ267" s="183" t="str">
        <f t="shared" si="81"/>
        <v>Mesaj</v>
      </c>
      <c r="AR267" s="183" t="str">
        <f t="shared" si="82"/>
        <v>Mesaj</v>
      </c>
      <c r="AS267" s="184" t="str">
        <f>IF(ISNA(VLOOKUP(Tablo7[[#This Row],[Sifariş kodu]],'Kəsim ve təhvil'!$E$5:$E1265,1,0)),"Qəbul edilməyib","Qəbul edilib")</f>
        <v>Qəbul edilməyib</v>
      </c>
      <c r="AT267" s="185" t="str">
        <f>IF(ISNA(VLOOKUP(Tablo7[[#This Row],[Sifariş kodu]],'Kəsim ve təhvil'!$H$5:$H1265,1,0)),"Anbardadır","Təhvil verilib")</f>
        <v>Anbardadır</v>
      </c>
      <c r="AU267" s="186" t="str">
        <f>"Hörmətli *"&amp;Tablo7[[#This Row],[Müştəri]]&amp;"*  ,Sizin *"&amp;G267&amp;"* tarixli sifarişiniz qeydə alındı. Sifariş Məbləğı *"&amp;AM267&amp;" AZN* , Qalıq *"&amp;AP267&amp;" AZN* . Hörmətlə  *AlumPro*"</f>
        <v>Hörmətli *Ilqar Qara*  ,Sizin *21,11,2024* tarixli sifarişiniz qeydə alındı. Sifariş Məbləğı *129 AZN* , Qalıq *129 AZN* . Hörmətlə  *AlumPro*</v>
      </c>
      <c r="AV267" s="187" t="str">
        <f>"Hörmətli *"&amp;Tablo7[[#This Row],[Müştəri]]&amp;"* , sizin *"&amp;G267&amp;"* tarixli  sifarişiniz hazırdır . Bizi seçdiyiniz üçün minnətdarıq. Hörmətlə  *AlumPro*."</f>
        <v>Hörmətli *Ilqar Qara* , sizin *21,11,2024* tarixli  sifarişiniz hazırdır . Bizi seçdiyiniz üçün minnətdarıq. Hörmətlə  *AlumPro*.</v>
      </c>
      <c r="AW267" s="188" t="str">
        <f t="shared" si="84"/>
        <v>Ilqar</v>
      </c>
      <c r="AX267" s="189" t="str">
        <f t="shared" si="83"/>
        <v xml:space="preserve">Ilqar </v>
      </c>
    </row>
    <row r="268" spans="4:50">
      <c r="D268" s="178">
        <v>62</v>
      </c>
      <c r="E268" s="179" t="s">
        <v>735</v>
      </c>
      <c r="F268" s="179" t="s">
        <v>339</v>
      </c>
      <c r="G268" s="212" t="s">
        <v>717</v>
      </c>
      <c r="H268" s="179" t="s">
        <v>548</v>
      </c>
      <c r="I268" s="179" t="s">
        <v>549</v>
      </c>
      <c r="J268" s="179"/>
      <c r="K268" s="179" t="s">
        <v>183</v>
      </c>
      <c r="L268" s="179"/>
      <c r="M268" s="179" t="str">
        <f>_xlfn.XLOOKUP(Tablo7[[#This Row],[Yan Profili]],Anbar!$J$3:$J$1000,Anbar!$H$3:$H$1000,"Tapilmadi")</f>
        <v>Tapilmadi</v>
      </c>
      <c r="N268" s="179">
        <v>1</v>
      </c>
      <c r="O268" s="179">
        <v>23</v>
      </c>
      <c r="P268" s="179" t="s">
        <v>184</v>
      </c>
      <c r="Q268" s="179" t="str">
        <f>_xlfn.XLOOKUP(Tablo7[[#This Row],[Qulp növü]],Anbar!$J$3:$J$1000,Anbar!$H$3:$H$1000,"Tapilmadi")</f>
        <v>Tapilmadi</v>
      </c>
      <c r="R268" s="179">
        <v>1</v>
      </c>
      <c r="S268" s="180">
        <v>26</v>
      </c>
      <c r="T268" s="181"/>
      <c r="U268" s="179" t="str">
        <f>_xlfn.XLOOKUP(Tablo7[[#This Row],[Petlə]],Anbar!$J$3:$J$1000,Anbar!$H$3:$H$1000,"Tapilmadi")</f>
        <v>Tapilmadi</v>
      </c>
      <c r="V268" s="181">
        <v>0</v>
      </c>
      <c r="W268" s="180">
        <v>0</v>
      </c>
      <c r="X268" s="269">
        <v>6</v>
      </c>
      <c r="Y268" s="179" t="s">
        <v>36</v>
      </c>
      <c r="Z268" s="182"/>
      <c r="AA268" s="180">
        <v>18</v>
      </c>
      <c r="AB268" s="180"/>
      <c r="AC268" s="179" t="str">
        <f>_xlfn.XLOOKUP(Tablo7[[#This Row],[Bağlantı]],Anbar!$J$3:$J$1000,Anbar!$H$3:$H$1000,"Tapilmadi")</f>
        <v>Tapilmadi</v>
      </c>
      <c r="AD268" s="179"/>
      <c r="AE268" s="180">
        <v>4</v>
      </c>
      <c r="AF268" s="180"/>
      <c r="AG268" s="179" t="str">
        <f>_xlfn.XLOOKUP(Tablo7[[#This Row],[Mexanizm]],Anbar!$J$3:$J$1000,Anbar!$H$3:$H$1000,"Tapilmadi")</f>
        <v>Tapilmadi</v>
      </c>
      <c r="AH268" s="179">
        <v>1</v>
      </c>
      <c r="AI268" s="180">
        <v>0</v>
      </c>
      <c r="AJ268" s="180">
        <v>2</v>
      </c>
      <c r="AK268" s="180">
        <v>15</v>
      </c>
      <c r="AL268" s="180">
        <v>0</v>
      </c>
      <c r="AM268" s="180">
        <v>94</v>
      </c>
      <c r="AN268" s="180"/>
      <c r="AO268" s="180">
        <v>94</v>
      </c>
      <c r="AP268" s="194">
        <f>Tablo7[[#This Row],[Ümumi məbləğ]]-Tablo7[[#This Row],[Ödəniş]]-Tablo7[[#This Row],[Endirim]]</f>
        <v>0</v>
      </c>
      <c r="AQ268" s="183" t="str">
        <f t="shared" si="81"/>
        <v>Mesaj</v>
      </c>
      <c r="AR268" s="183" t="str">
        <f t="shared" si="82"/>
        <v>Mesaj</v>
      </c>
      <c r="AS268" s="184" t="str">
        <f>IF(ISNA(VLOOKUP(Tablo7[[#This Row],[Sifariş kodu]],'Kəsim ve təhvil'!$E$5:$E1266,1,0)),"Qəbul edilməyib","Qəbul edilib")</f>
        <v>Qəbul edilməyib</v>
      </c>
      <c r="AT268" s="185" t="str">
        <f>IF(ISNA(VLOOKUP(Tablo7[[#This Row],[Sifariş kodu]],'Kəsim ve təhvil'!$H$5:$H1266,1,0)),"Anbardadır","Təhvil verilib")</f>
        <v>Anbardadır</v>
      </c>
      <c r="AU268" s="186" t="str">
        <f>"Hörmətli *"&amp;Tablo7[[#This Row],[Müştəri]]&amp;"*  ,Sizin *"&amp;G268&amp;"* tarixli sifarişiniz qeydə alındı. Sifariş Məbləğı *"&amp;AM268&amp;" AZN* , Qalıq *"&amp;AP268&amp;" AZN* . Hörmətlə  *AlumPro*"</f>
        <v>Hörmətli *Faiq Enso*  ,Sizin *21,11,2024* tarixli sifarişiniz qeydə alındı. Sifariş Məbləğı *94 AZN* , Qalıq *0 AZN* . Hörmətlə  *AlumPro*</v>
      </c>
      <c r="AV268" s="187" t="str">
        <f>"Hörmətli *"&amp;Tablo7[[#This Row],[Müştəri]]&amp;"* , sizin *"&amp;G268&amp;"* tarixli  sifarişiniz hazırdır . Bizi seçdiyiniz üçün minnətdarıq. Hörmətlə  *AlumPro*."</f>
        <v>Hörmətli *Faiq Enso* , sizin *21,11,2024* tarixli  sifarişiniz hazırdır . Bizi seçdiyiniz üçün minnətdarıq. Hörmətlə  *AlumPro*.</v>
      </c>
      <c r="AW268" s="188" t="str">
        <f t="shared" si="84"/>
        <v>Faiq</v>
      </c>
      <c r="AX268" s="189" t="str">
        <f t="shared" si="83"/>
        <v xml:space="preserve">Faiq </v>
      </c>
    </row>
    <row r="269" spans="4:50">
      <c r="D269" s="178">
        <v>61</v>
      </c>
      <c r="E269" s="179" t="s">
        <v>736</v>
      </c>
      <c r="F269" s="179" t="s">
        <v>339</v>
      </c>
      <c r="G269" s="212" t="s">
        <v>717</v>
      </c>
      <c r="H269" s="179" t="s">
        <v>617</v>
      </c>
      <c r="I269" s="179" t="s">
        <v>618</v>
      </c>
      <c r="J269" s="179"/>
      <c r="K269" s="179" t="s">
        <v>183</v>
      </c>
      <c r="L269" s="179"/>
      <c r="M269" s="179" t="str">
        <f>_xlfn.XLOOKUP(Tablo7[[#This Row],[Yan Profili]],Anbar!$J$3:$J$1000,Anbar!$H$3:$H$1000,"Tapilmadi")</f>
        <v>Tapilmadi</v>
      </c>
      <c r="N269" s="179">
        <v>3</v>
      </c>
      <c r="O269" s="179">
        <v>69</v>
      </c>
      <c r="P269" s="179" t="s">
        <v>184</v>
      </c>
      <c r="Q269" s="179" t="str">
        <f>_xlfn.XLOOKUP(Tablo7[[#This Row],[Qulp növü]],Anbar!$J$3:$J$1000,Anbar!$H$3:$H$1000,"Tapilmadi")</f>
        <v>Tapilmadi</v>
      </c>
      <c r="R269" s="179">
        <v>2</v>
      </c>
      <c r="S269" s="180">
        <v>52</v>
      </c>
      <c r="T269" s="181"/>
      <c r="U269" s="179" t="str">
        <f>_xlfn.XLOOKUP(Tablo7[[#This Row],[Petlə]],Anbar!$J$3:$J$1000,Anbar!$H$3:$H$1000,"Tapilmadi")</f>
        <v>Tapilmadi</v>
      </c>
      <c r="V269" s="181">
        <v>0</v>
      </c>
      <c r="W269" s="180">
        <v>0</v>
      </c>
      <c r="X269" s="269">
        <v>15</v>
      </c>
      <c r="Y269" s="179" t="s">
        <v>36</v>
      </c>
      <c r="Z269" s="182"/>
      <c r="AA269" s="180">
        <v>47</v>
      </c>
      <c r="AB269" s="180"/>
      <c r="AC269" s="179" t="str">
        <f>_xlfn.XLOOKUP(Tablo7[[#This Row],[Bağlantı]],Anbar!$J$3:$J$1000,Anbar!$H$3:$H$1000,"Tapilmadi")</f>
        <v>Tapilmadi</v>
      </c>
      <c r="AD269" s="179"/>
      <c r="AE269" s="180">
        <v>8</v>
      </c>
      <c r="AF269" s="180"/>
      <c r="AG269" s="179" t="str">
        <f>_xlfn.XLOOKUP(Tablo7[[#This Row],[Mexanizm]],Anbar!$J$3:$J$1000,Anbar!$H$3:$H$1000,"Tapilmadi")</f>
        <v>Tapilmadi</v>
      </c>
      <c r="AH269" s="179">
        <v>1</v>
      </c>
      <c r="AI269" s="180">
        <v>0</v>
      </c>
      <c r="AJ269" s="180">
        <v>0</v>
      </c>
      <c r="AK269" s="180">
        <v>30</v>
      </c>
      <c r="AL269" s="180">
        <v>0</v>
      </c>
      <c r="AM269" s="180">
        <v>221</v>
      </c>
      <c r="AN269" s="180">
        <v>26</v>
      </c>
      <c r="AO269" s="180">
        <v>195</v>
      </c>
      <c r="AP269" s="194">
        <f>Tablo7[[#This Row],[Ümumi məbləğ]]-Tablo7[[#This Row],[Ödəniş]]-Tablo7[[#This Row],[Endirim]]</f>
        <v>0</v>
      </c>
      <c r="AQ269" s="183" t="str">
        <f t="shared" si="81"/>
        <v>Mesaj</v>
      </c>
      <c r="AR269" s="183" t="str">
        <f t="shared" si="82"/>
        <v>Mesaj</v>
      </c>
      <c r="AS269" s="184" t="str">
        <f>IF(ISNA(VLOOKUP(Tablo7[[#This Row],[Sifariş kodu]],'Kəsim ve təhvil'!$E$5:$E1267,1,0)),"Qəbul edilməyib","Qəbul edilib")</f>
        <v>Qəbul edilməyib</v>
      </c>
      <c r="AT269" s="185" t="str">
        <f>IF(ISNA(VLOOKUP(Tablo7[[#This Row],[Sifariş kodu]],'Kəsim ve təhvil'!$H$5:$H1267,1,0)),"Anbardadır","Təhvil verilib")</f>
        <v>Anbardadır</v>
      </c>
      <c r="AU269" s="186" t="str">
        <f>"Hörmətli *"&amp;Tablo7[[#This Row],[Müştəri]]&amp;"*  ,Sizin *"&amp;G269&amp;"* tarixli sifarişiniz qeydə alındı. Sifariş Məbləğı *"&amp;AM269&amp;" AZN* , Qalıq *"&amp;AP269&amp;" AZN* . Hörmətlə  *AlumPro*"</f>
        <v>Hörmətli *Abbas Cermet*  ,Sizin *21,11,2024* tarixli sifarişiniz qeydə alındı. Sifariş Məbləğı *221 AZN* , Qalıq *0 AZN* . Hörmətlə  *AlumPro*</v>
      </c>
      <c r="AV269" s="187" t="str">
        <f>"Hörmətli *"&amp;Tablo7[[#This Row],[Müştəri]]&amp;"* , sizin *"&amp;G269&amp;"* tarixli  sifarişiniz hazırdır . Bizi seçdiyiniz üçün minnətdarıq. Hörmətlə  *AlumPro*."</f>
        <v>Hörmətli *Abbas Cermet* , sizin *21,11,2024* tarixli  sifarişiniz hazırdır . Bizi seçdiyiniz üçün minnətdarıq. Hörmətlə  *AlumPro*.</v>
      </c>
      <c r="AW269" s="188" t="str">
        <f t="shared" si="84"/>
        <v>Abbas</v>
      </c>
      <c r="AX269" s="189" t="str">
        <f t="shared" si="83"/>
        <v xml:space="preserve">Abbas </v>
      </c>
    </row>
    <row r="270" spans="4:50">
      <c r="D270" s="178">
        <v>60</v>
      </c>
      <c r="E270" s="179" t="s">
        <v>737</v>
      </c>
      <c r="F270" s="179" t="s">
        <v>339</v>
      </c>
      <c r="G270" s="212" t="s">
        <v>717</v>
      </c>
      <c r="H270" s="179" t="s">
        <v>738</v>
      </c>
      <c r="I270" s="179" t="s">
        <v>739</v>
      </c>
      <c r="J270" s="179"/>
      <c r="K270" s="179" t="s">
        <v>183</v>
      </c>
      <c r="L270" s="179"/>
      <c r="M270" s="179" t="str">
        <f>_xlfn.XLOOKUP(Tablo7[[#This Row],[Yan Profili]],Anbar!$J$3:$J$1000,Anbar!$H$3:$H$1000,"Tapilmadi")</f>
        <v>Tapilmadi</v>
      </c>
      <c r="N270" s="179">
        <v>6</v>
      </c>
      <c r="O270" s="179">
        <v>138</v>
      </c>
      <c r="P270" s="179" t="s">
        <v>195</v>
      </c>
      <c r="Q270" s="179" t="str">
        <f>_xlfn.XLOOKUP(Tablo7[[#This Row],[Qulp növü]],Anbar!$J$3:$J$1000,Anbar!$H$3:$H$1000,"Tapilmadi")</f>
        <v>Tapilmadi</v>
      </c>
      <c r="R270" s="179">
        <v>0</v>
      </c>
      <c r="S270" s="180">
        <v>0</v>
      </c>
      <c r="T270" s="181"/>
      <c r="U270" s="179" t="str">
        <f>_xlfn.XLOOKUP(Tablo7[[#This Row],[Petlə]],Anbar!$J$3:$J$1000,Anbar!$H$3:$H$1000,"Tapilmadi")</f>
        <v>Tapilmadi</v>
      </c>
      <c r="V270" s="181">
        <v>0</v>
      </c>
      <c r="W270" s="180">
        <v>0</v>
      </c>
      <c r="X270" s="269">
        <v>18</v>
      </c>
      <c r="Y270" s="179" t="s">
        <v>505</v>
      </c>
      <c r="Z270" s="182"/>
      <c r="AA270" s="180">
        <v>105</v>
      </c>
      <c r="AB270" s="180"/>
      <c r="AC270" s="179" t="str">
        <f>_xlfn.XLOOKUP(Tablo7[[#This Row],[Bağlantı]],Anbar!$J$3:$J$1000,Anbar!$H$3:$H$1000,"Tapilmadi")</f>
        <v>Tapilmadi</v>
      </c>
      <c r="AD270" s="179"/>
      <c r="AE270" s="180">
        <v>20</v>
      </c>
      <c r="AF270" s="180"/>
      <c r="AG270" s="179" t="str">
        <f>_xlfn.XLOOKUP(Tablo7[[#This Row],[Mexanizm]],Anbar!$J$3:$J$1000,Anbar!$H$3:$H$1000,"Tapilmadi")</f>
        <v>Tapilmadi</v>
      </c>
      <c r="AH270" s="179">
        <v>1</v>
      </c>
      <c r="AI270" s="180">
        <v>0</v>
      </c>
      <c r="AJ270" s="180">
        <v>15</v>
      </c>
      <c r="AK270" s="180">
        <v>75</v>
      </c>
      <c r="AL270" s="180">
        <v>0</v>
      </c>
      <c r="AM270" s="180">
        <v>371</v>
      </c>
      <c r="AN270" s="180"/>
      <c r="AO270" s="180">
        <v>371</v>
      </c>
      <c r="AP270" s="194">
        <f>Tablo7[[#This Row],[Ümumi məbləğ]]-Tablo7[[#This Row],[Ödəniş]]-Tablo7[[#This Row],[Endirim]]</f>
        <v>0</v>
      </c>
      <c r="AQ270" s="183" t="str">
        <f t="shared" si="81"/>
        <v>Mesaj</v>
      </c>
      <c r="AR270" s="183" t="str">
        <f t="shared" si="82"/>
        <v>Mesaj</v>
      </c>
      <c r="AS270" s="184" t="str">
        <f>IF(ISNA(VLOOKUP(Tablo7[[#This Row],[Sifariş kodu]],'Kəsim ve təhvil'!$E$5:$E1268,1,0)),"Qəbul edilməyib","Qəbul edilib")</f>
        <v>Qəbul edilməyib</v>
      </c>
      <c r="AT270" s="185" t="str">
        <f>IF(ISNA(VLOOKUP(Tablo7[[#This Row],[Sifariş kodu]],'Kəsim ve təhvil'!$H$5:$H1268,1,0)),"Anbardadır","Təhvil verilib")</f>
        <v>Anbardadır</v>
      </c>
      <c r="AU270" s="186" t="str">
        <f>"Hörmətli *"&amp;Tablo7[[#This Row],[Müştəri]]&amp;"*  ,Sizin *"&amp;G270&amp;"* tarixli sifarişiniz qeydə alındı. Sifariş Məbləğı *"&amp;AM270&amp;" AZN* , Qalıq *"&amp;AP270&amp;" AZN* . Hörmətlə  *AlumPro*"</f>
        <v>Hörmətli *Rusdem Klyent*  ,Sizin *21,11,2024* tarixli sifarişiniz qeydə alındı. Sifariş Məbləğı *371 AZN* , Qalıq *0 AZN* . Hörmətlə  *AlumPro*</v>
      </c>
      <c r="AV270" s="187" t="str">
        <f>"Hörmətli *"&amp;Tablo7[[#This Row],[Müştəri]]&amp;"* , sizin *"&amp;G270&amp;"* tarixli  sifarişiniz hazırdır . Bizi seçdiyiniz üçün minnətdarıq. Hörmətlə  *AlumPro*."</f>
        <v>Hörmətli *Rusdem Klyent* , sizin *21,11,2024* tarixli  sifarişiniz hazırdır . Bizi seçdiyiniz üçün minnətdarıq. Hörmətlə  *AlumPro*.</v>
      </c>
      <c r="AW270" s="188" t="str">
        <f t="shared" si="84"/>
        <v>Rusdem</v>
      </c>
      <c r="AX270" s="189" t="str">
        <f t="shared" si="83"/>
        <v xml:space="preserve">Rusdem </v>
      </c>
    </row>
    <row r="271" spans="4:50">
      <c r="D271" s="178">
        <v>59</v>
      </c>
      <c r="E271" s="179" t="s">
        <v>740</v>
      </c>
      <c r="F271" s="179" t="s">
        <v>339</v>
      </c>
      <c r="G271" s="212" t="s">
        <v>717</v>
      </c>
      <c r="H271" s="179" t="s">
        <v>127</v>
      </c>
      <c r="I271" s="179" t="s">
        <v>128</v>
      </c>
      <c r="J271" s="179"/>
      <c r="K271" s="179" t="s">
        <v>194</v>
      </c>
      <c r="L271" s="179"/>
      <c r="M271" s="179" t="str">
        <f>_xlfn.XLOOKUP(Tablo7[[#This Row],[Yan Profili]],Anbar!$J$3:$J$1000,Anbar!$H$3:$H$1000,"Tapilmadi")</f>
        <v>Tapilmadi</v>
      </c>
      <c r="N271" s="179">
        <v>2</v>
      </c>
      <c r="O271" s="179">
        <v>46</v>
      </c>
      <c r="P271" s="179" t="s">
        <v>184</v>
      </c>
      <c r="Q271" s="179" t="str">
        <f>_xlfn.XLOOKUP(Tablo7[[#This Row],[Qulp növü]],Anbar!$J$3:$J$1000,Anbar!$H$3:$H$1000,"Tapilmadi")</f>
        <v>Tapilmadi</v>
      </c>
      <c r="R271" s="179">
        <v>1</v>
      </c>
      <c r="S271" s="180">
        <v>26</v>
      </c>
      <c r="T271" s="181" t="s">
        <v>196</v>
      </c>
      <c r="U271" s="179" t="str">
        <f>_xlfn.XLOOKUP(Tablo7[[#This Row],[Petlə]],Anbar!$J$3:$J$1000,Anbar!$H$3:$H$1000,"Tapilmadi")</f>
        <v>Tapilmadi</v>
      </c>
      <c r="V271" s="181">
        <v>4</v>
      </c>
      <c r="W271" s="180">
        <v>12</v>
      </c>
      <c r="X271" s="269">
        <v>0</v>
      </c>
      <c r="Y271" s="179" t="s">
        <v>36</v>
      </c>
      <c r="Z271" s="182"/>
      <c r="AA271" s="180">
        <v>27</v>
      </c>
      <c r="AB271" s="180"/>
      <c r="AC271" s="179" t="str">
        <f>_xlfn.XLOOKUP(Tablo7[[#This Row],[Bağlantı]],Anbar!$J$3:$J$1000,Anbar!$H$3:$H$1000,"Tapilmadi")</f>
        <v>Tapilmadi</v>
      </c>
      <c r="AD271" s="179"/>
      <c r="AE271" s="180">
        <v>8</v>
      </c>
      <c r="AF271" s="180"/>
      <c r="AG271" s="179" t="str">
        <f>_xlfn.XLOOKUP(Tablo7[[#This Row],[Mexanizm]],Anbar!$J$3:$J$1000,Anbar!$H$3:$H$1000,"Tapilmadi")</f>
        <v>Tapilmadi</v>
      </c>
      <c r="AH271" s="179">
        <v>1</v>
      </c>
      <c r="AI271" s="180">
        <v>0</v>
      </c>
      <c r="AJ271" s="180">
        <v>6</v>
      </c>
      <c r="AK271" s="180">
        <v>15</v>
      </c>
      <c r="AL271" s="180">
        <v>0</v>
      </c>
      <c r="AM271" s="180">
        <v>140</v>
      </c>
      <c r="AN271" s="180"/>
      <c r="AO271" s="180">
        <v>140</v>
      </c>
      <c r="AP271" s="194">
        <f>Tablo7[[#This Row],[Ümumi məbləğ]]-Tablo7[[#This Row],[Ödəniş]]-Tablo7[[#This Row],[Endirim]]</f>
        <v>0</v>
      </c>
      <c r="AQ271" s="183" t="str">
        <f t="shared" si="81"/>
        <v>Mesaj</v>
      </c>
      <c r="AR271" s="183" t="str">
        <f t="shared" si="82"/>
        <v>Mesaj</v>
      </c>
      <c r="AS271" s="184" t="str">
        <f>IF(ISNA(VLOOKUP(Tablo7[[#This Row],[Sifariş kodu]],'Kəsim ve təhvil'!$E$5:$E1269,1,0)),"Qəbul edilməyib","Qəbul edilib")</f>
        <v>Qəbul edilməyib</v>
      </c>
      <c r="AT271" s="185" t="str">
        <f>IF(ISNA(VLOOKUP(Tablo7[[#This Row],[Sifariş kodu]],'Kəsim ve təhvil'!$H$5:$H1269,1,0)),"Anbardadır","Təhvil verilib")</f>
        <v>Anbardadır</v>
      </c>
      <c r="AU271" s="186" t="str">
        <f>"Hörmətli *"&amp;Tablo7[[#This Row],[Müştəri]]&amp;"*  ,Sizin *"&amp;G271&amp;"* tarixli sifarişiniz qeydə alındı. Sifariş Məbləğı *"&amp;AM271&amp;" AZN* , Qalıq *"&amp;AP271&amp;" AZN* . Hörmətlə  *AlumPro*"</f>
        <v>Hörmətli *Ehed Qorizont*  ,Sizin *21,11,2024* tarixli sifarişiniz qeydə alındı. Sifariş Məbləğı *140 AZN* , Qalıq *0 AZN* . Hörmətlə  *AlumPro*</v>
      </c>
      <c r="AV271" s="187" t="str">
        <f>"Hörmətli *"&amp;Tablo7[[#This Row],[Müştəri]]&amp;"* , sizin *"&amp;G271&amp;"* tarixli  sifarişiniz hazırdır . Bizi seçdiyiniz üçün minnətdarıq. Hörmətlə  *AlumPro*."</f>
        <v>Hörmətli *Ehed Qorizont* , sizin *21,11,2024* tarixli  sifarişiniz hazırdır . Bizi seçdiyiniz üçün minnətdarıq. Hörmətlə  *AlumPro*.</v>
      </c>
      <c r="AW271" s="188" t="str">
        <f t="shared" si="84"/>
        <v>Ehed</v>
      </c>
      <c r="AX271" s="189" t="str">
        <f t="shared" si="83"/>
        <v xml:space="preserve">Ehed </v>
      </c>
    </row>
    <row r="272" spans="4:50">
      <c r="D272" s="178">
        <v>58</v>
      </c>
      <c r="E272" s="179" t="s">
        <v>741</v>
      </c>
      <c r="F272" s="179" t="s">
        <v>339</v>
      </c>
      <c r="G272" s="212" t="s">
        <v>717</v>
      </c>
      <c r="H272" s="179" t="s">
        <v>742</v>
      </c>
      <c r="I272" s="179" t="s">
        <v>743</v>
      </c>
      <c r="J272" s="179"/>
      <c r="K272" s="179" t="s">
        <v>189</v>
      </c>
      <c r="L272" s="179"/>
      <c r="M272" s="179" t="str">
        <f>_xlfn.XLOOKUP(Tablo7[[#This Row],[Yan Profili]],Anbar!$J$3:$J$1000,Anbar!$H$3:$H$1000,"Tapilmadi")</f>
        <v>Tapilmadi</v>
      </c>
      <c r="N272" s="179">
        <v>3</v>
      </c>
      <c r="O272" s="179">
        <v>69</v>
      </c>
      <c r="P272" s="179" t="s">
        <v>184</v>
      </c>
      <c r="Q272" s="179" t="str">
        <f>_xlfn.XLOOKUP(Tablo7[[#This Row],[Qulp növü]],Anbar!$J$3:$J$1000,Anbar!$H$3:$H$1000,"Tapilmadi")</f>
        <v>Tapilmadi</v>
      </c>
      <c r="R272" s="179">
        <v>2</v>
      </c>
      <c r="S272" s="180">
        <v>52</v>
      </c>
      <c r="T272" s="181"/>
      <c r="U272" s="179" t="str">
        <f>_xlfn.XLOOKUP(Tablo7[[#This Row],[Petlə]],Anbar!$J$3:$J$1000,Anbar!$H$3:$H$1000,"Tapilmadi")</f>
        <v>Tapilmadi</v>
      </c>
      <c r="V272" s="181">
        <v>0</v>
      </c>
      <c r="W272" s="180">
        <v>0</v>
      </c>
      <c r="X272" s="269">
        <v>0</v>
      </c>
      <c r="Y272" s="179" t="s">
        <v>199</v>
      </c>
      <c r="Z272" s="182"/>
      <c r="AA272" s="180">
        <v>50</v>
      </c>
      <c r="AB272" s="180"/>
      <c r="AC272" s="179" t="str">
        <f>_xlfn.XLOOKUP(Tablo7[[#This Row],[Bağlantı]],Anbar!$J$3:$J$1000,Anbar!$H$3:$H$1000,"Tapilmadi")</f>
        <v>Tapilmadi</v>
      </c>
      <c r="AD272" s="179"/>
      <c r="AE272" s="180">
        <v>8</v>
      </c>
      <c r="AF272" s="180"/>
      <c r="AG272" s="179" t="str">
        <f>_xlfn.XLOOKUP(Tablo7[[#This Row],[Mexanizm]],Anbar!$J$3:$J$1000,Anbar!$H$3:$H$1000,"Tapilmadi")</f>
        <v>Tapilmadi</v>
      </c>
      <c r="AH272" s="179">
        <v>1</v>
      </c>
      <c r="AI272" s="180">
        <v>0</v>
      </c>
      <c r="AJ272" s="180">
        <v>11</v>
      </c>
      <c r="AK272" s="180">
        <v>30</v>
      </c>
      <c r="AL272" s="180">
        <v>0</v>
      </c>
      <c r="AM272" s="180">
        <v>220</v>
      </c>
      <c r="AN272" s="180"/>
      <c r="AO272" s="180">
        <v>220</v>
      </c>
      <c r="AP272" s="194">
        <f>Tablo7[[#This Row],[Ümumi məbləğ]]-Tablo7[[#This Row],[Ödəniş]]-Tablo7[[#This Row],[Endirim]]</f>
        <v>0</v>
      </c>
      <c r="AQ272" s="183" t="str">
        <f t="shared" si="81"/>
        <v>Mesaj</v>
      </c>
      <c r="AR272" s="183" t="str">
        <f t="shared" si="82"/>
        <v>Mesaj</v>
      </c>
      <c r="AS272" s="184" t="str">
        <f>IF(ISNA(VLOOKUP(Tablo7[[#This Row],[Sifariş kodu]],'Kəsim ve təhvil'!$E$5:$E1270,1,0)),"Qəbul edilməyib","Qəbul edilib")</f>
        <v>Qəbul edilməyib</v>
      </c>
      <c r="AT272" s="185" t="str">
        <f>IF(ISNA(VLOOKUP(Tablo7[[#This Row],[Sifariş kodu]],'Kəsim ve təhvil'!$H$5:$H1270,1,0)),"Anbardadır","Təhvil verilib")</f>
        <v>Anbardadır</v>
      </c>
      <c r="AU272" s="186" t="str">
        <f>"Hörmətli *"&amp;Tablo7[[#This Row],[Müştəri]]&amp;"*  ,Sizin *"&amp;G272&amp;"* tarixli sifarişiniz qeydə alındı. Sifariş Məbləğı *"&amp;AM272&amp;" AZN* , Qalıq *"&amp;AP272&amp;" AZN* . Hörmətlə  *AlumPro*"</f>
        <v>Hörmətli *Ilkin Memmedov*  ,Sizin *21,11,2024* tarixli sifarişiniz qeydə alındı. Sifariş Məbləğı *220 AZN* , Qalıq *0 AZN* . Hörmətlə  *AlumPro*</v>
      </c>
      <c r="AV272" s="187" t="str">
        <f>"Hörmətli *"&amp;Tablo7[[#This Row],[Müştəri]]&amp;"* , sizin *"&amp;G272&amp;"* tarixli  sifarişiniz hazırdır . Bizi seçdiyiniz üçün minnətdarıq. Hörmətlə  *AlumPro*."</f>
        <v>Hörmətli *Ilkin Memmedov* , sizin *21,11,2024* tarixli  sifarişiniz hazırdır . Bizi seçdiyiniz üçün minnətdarıq. Hörmətlə  *AlumPro*.</v>
      </c>
      <c r="AW272" s="188" t="str">
        <f t="shared" si="84"/>
        <v>Ilkin</v>
      </c>
      <c r="AX272" s="189" t="str">
        <f t="shared" si="83"/>
        <v xml:space="preserve">Ilkin </v>
      </c>
    </row>
    <row r="273" spans="4:50">
      <c r="D273" s="178">
        <v>57</v>
      </c>
      <c r="E273" s="179" t="s">
        <v>744</v>
      </c>
      <c r="F273" s="179" t="s">
        <v>339</v>
      </c>
      <c r="G273" s="212" t="s">
        <v>717</v>
      </c>
      <c r="H273" s="179" t="s">
        <v>745</v>
      </c>
      <c r="I273" s="179">
        <v>0</v>
      </c>
      <c r="J273" s="179"/>
      <c r="K273" s="179" t="s">
        <v>260</v>
      </c>
      <c r="L273" s="179"/>
      <c r="M273" s="179" t="str">
        <f>_xlfn.XLOOKUP(Tablo7[[#This Row],[Yan Profili]],Anbar!$J$3:$J$1000,Anbar!$H$3:$H$1000,"Tapilmadi")</f>
        <v>Tapilmadi</v>
      </c>
      <c r="N273" s="179">
        <v>3</v>
      </c>
      <c r="O273" s="179">
        <v>69</v>
      </c>
      <c r="P273" s="179" t="s">
        <v>184</v>
      </c>
      <c r="Q273" s="179" t="str">
        <f>_xlfn.XLOOKUP(Tablo7[[#This Row],[Qulp növü]],Anbar!$J$3:$J$1000,Anbar!$H$3:$H$1000,"Tapilmadi")</f>
        <v>Tapilmadi</v>
      </c>
      <c r="R273" s="179">
        <v>2</v>
      </c>
      <c r="S273" s="180">
        <v>52</v>
      </c>
      <c r="T273" s="181" t="s">
        <v>196</v>
      </c>
      <c r="U273" s="179" t="str">
        <f>_xlfn.XLOOKUP(Tablo7[[#This Row],[Petlə]],Anbar!$J$3:$J$1000,Anbar!$H$3:$H$1000,"Tapilmadi")</f>
        <v>Tapilmadi</v>
      </c>
      <c r="V273" s="181">
        <v>10</v>
      </c>
      <c r="W273" s="180">
        <v>40</v>
      </c>
      <c r="X273" s="269">
        <v>0</v>
      </c>
      <c r="Y273" s="179" t="s">
        <v>505</v>
      </c>
      <c r="Z273" s="182"/>
      <c r="AA273" s="180">
        <v>73</v>
      </c>
      <c r="AB273" s="180"/>
      <c r="AC273" s="179" t="str">
        <f>_xlfn.XLOOKUP(Tablo7[[#This Row],[Bağlantı]],Anbar!$J$3:$J$1000,Anbar!$H$3:$H$1000,"Tapilmadi")</f>
        <v>Tapilmadi</v>
      </c>
      <c r="AD273" s="179"/>
      <c r="AE273" s="180">
        <v>16</v>
      </c>
      <c r="AF273" s="180"/>
      <c r="AG273" s="179" t="str">
        <f>_xlfn.XLOOKUP(Tablo7[[#This Row],[Mexanizm]],Anbar!$J$3:$J$1000,Anbar!$H$3:$H$1000,"Tapilmadi")</f>
        <v>Tapilmadi</v>
      </c>
      <c r="AH273" s="179">
        <v>1</v>
      </c>
      <c r="AI273" s="180">
        <v>0</v>
      </c>
      <c r="AJ273" s="180">
        <v>20</v>
      </c>
      <c r="AK273" s="180">
        <v>30</v>
      </c>
      <c r="AL273" s="180">
        <v>0</v>
      </c>
      <c r="AM273" s="180">
        <v>300</v>
      </c>
      <c r="AN273" s="180"/>
      <c r="AO273" s="180">
        <v>300</v>
      </c>
      <c r="AP273" s="194">
        <f>Tablo7[[#This Row],[Ümumi məbləğ]]-Tablo7[[#This Row],[Ödəniş]]-Tablo7[[#This Row],[Endirim]]</f>
        <v>0</v>
      </c>
      <c r="AQ273" s="183" t="str">
        <f t="shared" si="81"/>
        <v>Mesaj</v>
      </c>
      <c r="AR273" s="183" t="str">
        <f t="shared" si="82"/>
        <v>Mesaj</v>
      </c>
      <c r="AS273" s="184" t="str">
        <f>IF(ISNA(VLOOKUP(Tablo7[[#This Row],[Sifariş kodu]],'Kəsim ve təhvil'!$E$5:$E1271,1,0)),"Qəbul edilməyib","Qəbul edilib")</f>
        <v>Qəbul edilməyib</v>
      </c>
      <c r="AT273" s="185" t="str">
        <f>IF(ISNA(VLOOKUP(Tablo7[[#This Row],[Sifariş kodu]],'Kəsim ve təhvil'!$H$5:$H1271,1,0)),"Anbardadır","Təhvil verilib")</f>
        <v>Anbardadır</v>
      </c>
      <c r="AU273" s="186" t="str">
        <f>"Hörmətli *"&amp;Tablo7[[#This Row],[Müştəri]]&amp;"*  ,Sizin *"&amp;G273&amp;"* tarixli sifarişiniz qeydə alındı. Sifariş Məbləğı *"&amp;AM273&amp;" AZN* , Qalıq *"&amp;AP273&amp;" AZN* . Hörmətlə  *AlumPro*"</f>
        <v>Hörmətli *Mubariz Isgenderov*  ,Sizin *21,11,2024* tarixli sifarişiniz qeydə alındı. Sifariş Məbləğı *300 AZN* , Qalıq *0 AZN* . Hörmətlə  *AlumPro*</v>
      </c>
      <c r="AV273" s="187" t="str">
        <f>"Hörmətli *"&amp;Tablo7[[#This Row],[Müştəri]]&amp;"* , sizin *"&amp;G273&amp;"* tarixli  sifarişiniz hazırdır . Bizi seçdiyiniz üçün minnətdarıq. Hörmətlə  *AlumPro*."</f>
        <v>Hörmətli *Mubariz Isgenderov* , sizin *21,11,2024* tarixli  sifarişiniz hazırdır . Bizi seçdiyiniz üçün minnətdarıq. Hörmətlə  *AlumPro*.</v>
      </c>
      <c r="AW273" s="188" t="str">
        <f t="shared" si="84"/>
        <v>Mubariz</v>
      </c>
      <c r="AX273" s="189" t="str">
        <f t="shared" si="83"/>
        <v xml:space="preserve">Mubariz </v>
      </c>
    </row>
    <row r="274" spans="4:50">
      <c r="D274" s="178">
        <v>56</v>
      </c>
      <c r="E274" s="179" t="s">
        <v>746</v>
      </c>
      <c r="F274" s="179" t="s">
        <v>339</v>
      </c>
      <c r="G274" s="212" t="s">
        <v>747</v>
      </c>
      <c r="H274" s="179" t="s">
        <v>336</v>
      </c>
      <c r="I274" s="179" t="s">
        <v>337</v>
      </c>
      <c r="J274" s="179"/>
      <c r="K274" s="179" t="s">
        <v>183</v>
      </c>
      <c r="L274" s="179"/>
      <c r="M274" s="179">
        <f>_xlfn.XLOOKUP(Tablo7[[#This Row],[Yan Profili]],Anbar!$J$3:$J$1000,Anbar!$H$3:$H$1000,"Tapilmadi")</f>
        <v>0</v>
      </c>
      <c r="N274" s="179">
        <v>8</v>
      </c>
      <c r="O274" s="179">
        <v>184</v>
      </c>
      <c r="P274" s="179" t="s">
        <v>184</v>
      </c>
      <c r="Q274" s="179" t="str">
        <f>_xlfn.XLOOKUP(Tablo7[[#This Row],[Qulp növü]],Anbar!$J$3:$J$1000,Anbar!$H$3:$H$1000,"Tapilmadi")</f>
        <v>Tapilmadi</v>
      </c>
      <c r="R274" s="179">
        <v>6</v>
      </c>
      <c r="S274" s="180">
        <v>156</v>
      </c>
      <c r="T274" s="181"/>
      <c r="U274" s="179" t="str">
        <f>_xlfn.XLOOKUP(Tablo7[[#This Row],[Petlə]],Anbar!$J$3:$J$1000,Anbar!$H$3:$H$1000,"Tapilmadi")</f>
        <v>Tapilmadi</v>
      </c>
      <c r="V274" s="181">
        <v>0</v>
      </c>
      <c r="W274" s="180">
        <v>0</v>
      </c>
      <c r="X274" s="269">
        <v>42</v>
      </c>
      <c r="Y274" s="179" t="s">
        <v>36</v>
      </c>
      <c r="Z274" s="182"/>
      <c r="AA274" s="180">
        <v>185</v>
      </c>
      <c r="AB274" s="180"/>
      <c r="AC274" s="179" t="str">
        <f>_xlfn.XLOOKUP(Tablo7[[#This Row],[Bağlantı]],Anbar!$J$3:$J$1000,Anbar!$H$3:$H$1000,"Tapilmadi")</f>
        <v>Tapilmadi</v>
      </c>
      <c r="AD274" s="179"/>
      <c r="AE274" s="180">
        <v>24</v>
      </c>
      <c r="AF274" s="180"/>
      <c r="AG274" s="179" t="str">
        <f>_xlfn.XLOOKUP(Tablo7[[#This Row],[Mexanizm]],Anbar!$J$3:$J$1000,Anbar!$H$3:$H$1000,"Tapilmadi")</f>
        <v>Tapilmadi</v>
      </c>
      <c r="AH274" s="179">
        <v>1</v>
      </c>
      <c r="AI274" s="180">
        <v>0</v>
      </c>
      <c r="AJ274" s="180">
        <v>24</v>
      </c>
      <c r="AK274" s="180">
        <v>90</v>
      </c>
      <c r="AL274" s="180">
        <v>0</v>
      </c>
      <c r="AM274" s="180">
        <v>705</v>
      </c>
      <c r="AN274" s="180"/>
      <c r="AO274" s="180">
        <v>705</v>
      </c>
      <c r="AP274" s="194">
        <f>Tablo7[[#This Row],[Ümumi məbləğ]]-Tablo7[[#This Row],[Ödəniş]]-Tablo7[[#This Row],[Endirim]]</f>
        <v>0</v>
      </c>
      <c r="AQ274" s="183" t="str">
        <f t="shared" si="81"/>
        <v>Mesaj</v>
      </c>
      <c r="AR274" s="183" t="str">
        <f t="shared" si="82"/>
        <v>Mesaj</v>
      </c>
      <c r="AS274" s="184" t="str">
        <f>IF(ISNA(VLOOKUP(Tablo7[[#This Row],[Sifariş kodu]],'Kəsim ve təhvil'!$E$5:$E1272,1,0)),"Qəbul edilməyib","Qəbul edilib")</f>
        <v>Qəbul edilməyib</v>
      </c>
      <c r="AT274" s="185" t="str">
        <f>IF(ISNA(VLOOKUP(Tablo7[[#This Row],[Sifariş kodu]],'Kəsim ve təhvil'!$H$5:$H1272,1,0)),"Anbardadır","Təhvil verilib")</f>
        <v>Anbardadır</v>
      </c>
      <c r="AU274" s="186" t="str">
        <f>"Hörmətli *"&amp;Tablo7[[#This Row],[Müştəri]]&amp;"*  ,Sizin *"&amp;G274&amp;"* tarixli sifarişiniz qeydə alındı. Sifariş Məbləğı *"&amp;AM274&amp;" AZN* , Qalıq *"&amp;AP274&amp;" AZN* . Hörmətlə  *AlumPro*"</f>
        <v>Hörmətli *Eshqin Lastella*  ,Sizin *20,11,2024* tarixli sifarişiniz qeydə alındı. Sifariş Məbləğı *705 AZN* , Qalıq *0 AZN* . Hörmətlə  *AlumPro*</v>
      </c>
      <c r="AV274" s="187" t="str">
        <f>"Hörmətli *"&amp;Tablo7[[#This Row],[Müştəri]]&amp;"* , sizin *"&amp;G274&amp;"* tarixli  sifarişiniz hazırdır . Bizi seçdiyiniz üçün minnətdarıq. Hörmətlə  *AlumPro*."</f>
        <v>Hörmətli *Eshqin Lastella* , sizin *20,11,2024* tarixli  sifarişiniz hazırdır . Bizi seçdiyiniz üçün minnətdarıq. Hörmətlə  *AlumPro*.</v>
      </c>
      <c r="AW274" s="188" t="str">
        <f t="shared" si="84"/>
        <v>Eshqin</v>
      </c>
      <c r="AX274" s="189" t="str">
        <f t="shared" si="83"/>
        <v xml:space="preserve">Eshqin </v>
      </c>
    </row>
    <row r="275" spans="4:50">
      <c r="D275" s="178">
        <v>55</v>
      </c>
      <c r="E275" s="179" t="s">
        <v>748</v>
      </c>
      <c r="F275" s="179" t="s">
        <v>339</v>
      </c>
      <c r="G275" s="212" t="s">
        <v>747</v>
      </c>
      <c r="H275" s="179" t="s">
        <v>633</v>
      </c>
      <c r="I275" s="179" t="s">
        <v>634</v>
      </c>
      <c r="J275" s="179"/>
      <c r="K275" s="179" t="s">
        <v>183</v>
      </c>
      <c r="L275" s="179"/>
      <c r="M275" s="179" t="str">
        <f>_xlfn.XLOOKUP(Tablo7[[#This Row],[Yan Profili]],Anbar!$J$3:$J$1000,Anbar!$H$3:$H$1000,"Tapilmadi")</f>
        <v>Tapilmadi</v>
      </c>
      <c r="N275" s="179">
        <v>1</v>
      </c>
      <c r="O275" s="179">
        <v>23</v>
      </c>
      <c r="P275" s="179" t="s">
        <v>184</v>
      </c>
      <c r="Q275" s="179" t="str">
        <f>_xlfn.XLOOKUP(Tablo7[[#This Row],[Qulp növü]],Anbar!$J$3:$J$1000,Anbar!$H$3:$H$1000,"Tapilmadi")</f>
        <v>Tapilmadi</v>
      </c>
      <c r="R275" s="179">
        <v>1</v>
      </c>
      <c r="S275" s="180">
        <v>26</v>
      </c>
      <c r="T275" s="181"/>
      <c r="U275" s="179" t="str">
        <f>_xlfn.XLOOKUP(Tablo7[[#This Row],[Petlə]],Anbar!$J$3:$J$1000,Anbar!$H$3:$H$1000,"Tapilmadi")</f>
        <v>Tapilmadi</v>
      </c>
      <c r="V275" s="181">
        <v>0</v>
      </c>
      <c r="W275" s="180">
        <v>0</v>
      </c>
      <c r="X275" s="269">
        <v>0</v>
      </c>
      <c r="Y275" s="179"/>
      <c r="Z275" s="182"/>
      <c r="AA275" s="180">
        <v>16</v>
      </c>
      <c r="AB275" s="180"/>
      <c r="AC275" s="179" t="str">
        <f>_xlfn.XLOOKUP(Tablo7[[#This Row],[Bağlantı]],Anbar!$J$3:$J$1000,Anbar!$H$3:$H$1000,"Tapilmadi")</f>
        <v>Tapilmadi</v>
      </c>
      <c r="AD275" s="179"/>
      <c r="AE275" s="180">
        <v>4</v>
      </c>
      <c r="AF275" s="180"/>
      <c r="AG275" s="179" t="str">
        <f>_xlfn.XLOOKUP(Tablo7[[#This Row],[Mexanizm]],Anbar!$J$3:$J$1000,Anbar!$H$3:$H$1000,"Tapilmadi")</f>
        <v>Tapilmadi</v>
      </c>
      <c r="AH275" s="179">
        <v>1</v>
      </c>
      <c r="AI275" s="180">
        <v>0</v>
      </c>
      <c r="AJ275" s="180">
        <v>3</v>
      </c>
      <c r="AK275" s="180">
        <v>15</v>
      </c>
      <c r="AL275" s="180">
        <v>0</v>
      </c>
      <c r="AM275" s="180">
        <v>87</v>
      </c>
      <c r="AN275" s="180"/>
      <c r="AO275" s="180">
        <v>87</v>
      </c>
      <c r="AP275" s="194">
        <f>Tablo7[[#This Row],[Ümumi məbləğ]]-Tablo7[[#This Row],[Ödəniş]]-Tablo7[[#This Row],[Endirim]]</f>
        <v>0</v>
      </c>
      <c r="AQ275" s="183" t="str">
        <f t="shared" si="81"/>
        <v>Mesaj</v>
      </c>
      <c r="AR275" s="183" t="str">
        <f t="shared" si="82"/>
        <v>Mesaj</v>
      </c>
      <c r="AS275" s="184" t="str">
        <f>IF(ISNA(VLOOKUP(Tablo7[[#This Row],[Sifariş kodu]],'Kəsim ve təhvil'!$E$5:$E1273,1,0)),"Qəbul edilməyib","Qəbul edilib")</f>
        <v>Qəbul edilməyib</v>
      </c>
      <c r="AT275" s="185" t="str">
        <f>IF(ISNA(VLOOKUP(Tablo7[[#This Row],[Sifariş kodu]],'Kəsim ve təhvil'!$H$5:$H1273,1,0)),"Anbardadır","Təhvil verilib")</f>
        <v>Anbardadır</v>
      </c>
      <c r="AU275" s="186" t="str">
        <f>"Hörmətli *"&amp;Tablo7[[#This Row],[Müştəri]]&amp;"*  ,Sizin *"&amp;G275&amp;"* tarixli sifarişiniz qeydə alındı. Sifariş Məbləğı *"&amp;AM275&amp;" AZN* , Qalıq *"&amp;AP275&amp;" AZN* . Hörmətlə  *AlumPro*"</f>
        <v>Hörmətli *Soltan Musteri*  ,Sizin *20,11,2024* tarixli sifarişiniz qeydə alındı. Sifariş Məbləğı *87 AZN* , Qalıq *0 AZN* . Hörmətlə  *AlumPro*</v>
      </c>
      <c r="AV275" s="187" t="str">
        <f>"Hörmətli *"&amp;Tablo7[[#This Row],[Müştəri]]&amp;"* , sizin *"&amp;G275&amp;"* tarixli  sifarişiniz hazırdır . Bizi seçdiyiniz üçün minnətdarıq. Hörmətlə  *AlumPro*."</f>
        <v>Hörmətli *Soltan Musteri* , sizin *20,11,2024* tarixli  sifarişiniz hazırdır . Bizi seçdiyiniz üçün minnətdarıq. Hörmətlə  *AlumPro*.</v>
      </c>
      <c r="AW275" s="188" t="str">
        <f t="shared" si="84"/>
        <v>Soltan</v>
      </c>
      <c r="AX275" s="189" t="str">
        <f t="shared" si="83"/>
        <v xml:space="preserve">Soltan </v>
      </c>
    </row>
    <row r="276" spans="4:50">
      <c r="D276" s="178">
        <v>54</v>
      </c>
      <c r="E276" s="179" t="s">
        <v>749</v>
      </c>
      <c r="F276" s="179" t="s">
        <v>339</v>
      </c>
      <c r="G276" s="212" t="s">
        <v>747</v>
      </c>
      <c r="H276" s="179" t="s">
        <v>310</v>
      </c>
      <c r="I276" s="179" t="s">
        <v>311</v>
      </c>
      <c r="J276" s="179" t="s">
        <v>750</v>
      </c>
      <c r="K276" s="179" t="s">
        <v>189</v>
      </c>
      <c r="L276" s="179"/>
      <c r="M276" s="179" t="str">
        <f>_xlfn.XLOOKUP(Tablo7[[#This Row],[Yan Profili]],Anbar!$J$3:$J$1000,Anbar!$H$3:$H$1000,"Tapilmadi")</f>
        <v>Tapilmadi</v>
      </c>
      <c r="N276" s="179">
        <v>36</v>
      </c>
      <c r="O276" s="179">
        <v>828</v>
      </c>
      <c r="P276" s="179" t="s">
        <v>184</v>
      </c>
      <c r="Q276" s="179" t="str">
        <f>_xlfn.XLOOKUP(Tablo7[[#This Row],[Qulp növü]],Anbar!$J$3:$J$1000,Anbar!$H$3:$H$1000,"Tapilmadi")</f>
        <v>Tapilmadi</v>
      </c>
      <c r="R276" s="179">
        <v>29</v>
      </c>
      <c r="S276" s="180">
        <v>754</v>
      </c>
      <c r="T276" s="181"/>
      <c r="U276" s="179" t="str">
        <f>_xlfn.XLOOKUP(Tablo7[[#This Row],[Petlə]],Anbar!$J$3:$J$1000,Anbar!$H$3:$H$1000,"Tapilmadi")</f>
        <v>Tapilmadi</v>
      </c>
      <c r="V276" s="181">
        <v>0</v>
      </c>
      <c r="W276" s="180">
        <v>0</v>
      </c>
      <c r="X276" s="269">
        <v>0</v>
      </c>
      <c r="Y276" s="179"/>
      <c r="Z276" s="182"/>
      <c r="AA276" s="180">
        <v>1233</v>
      </c>
      <c r="AB276" s="180"/>
      <c r="AC276" s="179" t="str">
        <f>_xlfn.XLOOKUP(Tablo7[[#This Row],[Bağlantı]],Anbar!$J$3:$J$1000,Anbar!$H$3:$H$1000,"Tapilmadi")</f>
        <v>Tapilmadi</v>
      </c>
      <c r="AD276" s="179"/>
      <c r="AE276" s="180">
        <v>120</v>
      </c>
      <c r="AF276" s="180"/>
      <c r="AG276" s="179" t="str">
        <f>_xlfn.XLOOKUP(Tablo7[[#This Row],[Mexanizm]],Anbar!$J$3:$J$1000,Anbar!$H$3:$H$1000,"Tapilmadi")</f>
        <v>Tapilmadi</v>
      </c>
      <c r="AH276" s="179">
        <v>1</v>
      </c>
      <c r="AI276" s="180">
        <v>0</v>
      </c>
      <c r="AJ276" s="180">
        <v>146</v>
      </c>
      <c r="AK276" s="180">
        <v>450</v>
      </c>
      <c r="AL276" s="180">
        <v>105</v>
      </c>
      <c r="AM276" s="180">
        <v>3636</v>
      </c>
      <c r="AN276" s="180"/>
      <c r="AO276" s="180">
        <v>3001</v>
      </c>
      <c r="AP276" s="194">
        <f>Tablo7[[#This Row],[Ümumi məbləğ]]-Tablo7[[#This Row],[Ödəniş]]-Tablo7[[#This Row],[Endirim]]</f>
        <v>635</v>
      </c>
      <c r="AQ276" s="183" t="str">
        <f t="shared" si="81"/>
        <v>Mesaj</v>
      </c>
      <c r="AR276" s="183" t="str">
        <f t="shared" si="82"/>
        <v>Mesaj</v>
      </c>
      <c r="AS276" s="184" t="str">
        <f>IF(ISNA(VLOOKUP(Tablo7[[#This Row],[Sifariş kodu]],'Kəsim ve təhvil'!$E$5:$E1274,1,0)),"Qəbul edilməyib","Qəbul edilib")</f>
        <v>Qəbul edilməyib</v>
      </c>
      <c r="AT276" s="185" t="str">
        <f>IF(ISNA(VLOOKUP(Tablo7[[#This Row],[Sifariş kodu]],'Kəsim ve təhvil'!$H$5:$H1274,1,0)),"Anbardadır","Təhvil verilib")</f>
        <v>Anbardadır</v>
      </c>
      <c r="AU276" s="186" t="str">
        <f>"Hörmətli *"&amp;Tablo7[[#This Row],[Müştəri]]&amp;"*  ,Sizin *"&amp;G276&amp;"* tarixli sifarişiniz qeydə alındı. Sifariş Məbləğı *"&amp;AM276&amp;" AZN* , Qalıq *"&amp;AP276&amp;" AZN* . Hörmətlə  *AlumPro*"</f>
        <v>Hörmətli *Mecnun Sahmurov*  ,Sizin *20,11,2024* tarixli sifarişiniz qeydə alındı. Sifariş Məbləğı *3636 AZN* , Qalıq *635 AZN* . Hörmətlə  *AlumPro*</v>
      </c>
      <c r="AV276" s="187" t="str">
        <f>"Hörmətli *"&amp;Tablo7[[#This Row],[Müştəri]]&amp;"* , sizin *"&amp;G276&amp;"* tarixli  sifarişiniz hazırdır . Bizi seçdiyiniz üçün minnətdarıq. Hörmətlə  *AlumPro*."</f>
        <v>Hörmətli *Mecnun Sahmurov* , sizin *20,11,2024* tarixli  sifarişiniz hazırdır . Bizi seçdiyiniz üçün minnətdarıq. Hörmətlə  *AlumPro*.</v>
      </c>
      <c r="AW276" s="188" t="str">
        <f t="shared" si="84"/>
        <v>Mecnun</v>
      </c>
      <c r="AX276" s="189" t="str">
        <f t="shared" si="83"/>
        <v xml:space="preserve">Mecnun </v>
      </c>
    </row>
    <row r="277" spans="4:50">
      <c r="D277" s="178">
        <v>53</v>
      </c>
      <c r="E277" s="179" t="s">
        <v>751</v>
      </c>
      <c r="F277" s="179" t="s">
        <v>339</v>
      </c>
      <c r="G277" s="212" t="s">
        <v>752</v>
      </c>
      <c r="H277" s="179" t="s">
        <v>41</v>
      </c>
      <c r="I277" s="179" t="s">
        <v>116</v>
      </c>
      <c r="J277" s="179"/>
      <c r="K277" s="179" t="s">
        <v>194</v>
      </c>
      <c r="L277" s="179"/>
      <c r="M277" s="179" t="str">
        <f>_xlfn.XLOOKUP(Tablo7[[#This Row],[Yan Profili]],Anbar!$J$3:$J$1000,Anbar!$H$3:$H$1000,"Tapilmadi")</f>
        <v>Tapilmadi</v>
      </c>
      <c r="N277" s="179">
        <v>28</v>
      </c>
      <c r="O277" s="179">
        <v>644</v>
      </c>
      <c r="P277" s="179" t="s">
        <v>184</v>
      </c>
      <c r="Q277" s="179" t="str">
        <f>_xlfn.XLOOKUP(Tablo7[[#This Row],[Qulp növü]],Anbar!$J$3:$J$1000,Anbar!$H$3:$H$1000,"Tapilmadi")</f>
        <v>Tapilmadi</v>
      </c>
      <c r="R277" s="179">
        <v>20</v>
      </c>
      <c r="S277" s="180">
        <v>520</v>
      </c>
      <c r="T277" s="181" t="s">
        <v>196</v>
      </c>
      <c r="U277" s="179" t="str">
        <f>_xlfn.XLOOKUP(Tablo7[[#This Row],[Petlə]],Anbar!$J$3:$J$1000,Anbar!$H$3:$H$1000,"Tapilmadi")</f>
        <v>Tapilmadi</v>
      </c>
      <c r="V277" s="181">
        <v>100</v>
      </c>
      <c r="W277" s="180">
        <v>400</v>
      </c>
      <c r="X277" s="269">
        <v>0</v>
      </c>
      <c r="Y277" s="179" t="s">
        <v>203</v>
      </c>
      <c r="Z277" s="182"/>
      <c r="AA277" s="180">
        <v>1051</v>
      </c>
      <c r="AB277" s="180"/>
      <c r="AC277" s="179" t="str">
        <f>_xlfn.XLOOKUP(Tablo7[[#This Row],[Bağlantı]],Anbar!$J$3:$J$1000,Anbar!$H$3:$H$1000,"Tapilmadi")</f>
        <v>Tapilmadi</v>
      </c>
      <c r="AD277" s="179"/>
      <c r="AE277" s="180">
        <v>160</v>
      </c>
      <c r="AF277" s="180"/>
      <c r="AG277" s="179" t="str">
        <f>_xlfn.XLOOKUP(Tablo7[[#This Row],[Mexanizm]],Anbar!$J$3:$J$1000,Anbar!$H$3:$H$1000,"Tapilmadi")</f>
        <v>Tapilmadi</v>
      </c>
      <c r="AH277" s="179">
        <v>1</v>
      </c>
      <c r="AI277" s="180">
        <v>0</v>
      </c>
      <c r="AJ277" s="180">
        <v>200</v>
      </c>
      <c r="AK277" s="180">
        <v>300</v>
      </c>
      <c r="AL277" s="180"/>
      <c r="AM277" s="180">
        <v>3275</v>
      </c>
      <c r="AN277" s="180"/>
      <c r="AO277" s="180">
        <v>3275</v>
      </c>
      <c r="AP277" s="194">
        <f>Tablo7[[#This Row],[Ümumi məbləğ]]-Tablo7[[#This Row],[Ödəniş]]-Tablo7[[#This Row],[Endirim]]</f>
        <v>0</v>
      </c>
      <c r="AQ277" s="183" t="str">
        <f t="shared" si="81"/>
        <v>Mesaj</v>
      </c>
      <c r="AR277" s="183" t="str">
        <f t="shared" si="82"/>
        <v>Mesaj</v>
      </c>
      <c r="AS277" s="184" t="str">
        <f>IF(ISNA(VLOOKUP(Tablo7[[#This Row],[Sifariş kodu]],'Kəsim ve təhvil'!$E$5:$E1275,1,0)),"Qəbul edilməyib","Qəbul edilib")</f>
        <v>Qəbul edilməyib</v>
      </c>
      <c r="AT277" s="185" t="str">
        <f>IF(ISNA(VLOOKUP(Tablo7[[#This Row],[Sifariş kodu]],'Kəsim ve təhvil'!$H$5:$H1275,1,0)),"Anbardadır","Təhvil verilib")</f>
        <v>Anbardadır</v>
      </c>
      <c r="AU277" s="186" t="str">
        <f>"Hörmətli *"&amp;Tablo7[[#This Row],[Müştəri]]&amp;"*  ,Sizin *"&amp;G277&amp;"* tarixli sifarişiniz qeydə alındı. Sifariş Məbləğı *"&amp;AM277&amp;" AZN* , Qalıq *"&amp;AP277&amp;" AZN* . Hörmətlə  *AlumPro*"</f>
        <v>Hörmətli *Fariz Faiq*  ,Sizin *19,11,2024* tarixli sifarişiniz qeydə alındı. Sifariş Məbləğı *3275 AZN* , Qalıq *0 AZN* . Hörmətlə  *AlumPro*</v>
      </c>
      <c r="AV277" s="187" t="str">
        <f>"Hörmətli *"&amp;Tablo7[[#This Row],[Müştəri]]&amp;"* , sizin *"&amp;G277&amp;"* tarixli  sifarişiniz hazırdır . Bizi seçdiyiniz üçün minnətdarıq. Hörmətlə  *AlumPro*."</f>
        <v>Hörmətli *Fariz Faiq* , sizin *19,11,2024* tarixli  sifarişiniz hazırdır . Bizi seçdiyiniz üçün minnətdarıq. Hörmətlə  *AlumPro*.</v>
      </c>
      <c r="AW277" s="188" t="str">
        <f t="shared" si="84"/>
        <v>Fariz</v>
      </c>
      <c r="AX277" s="189" t="str">
        <f t="shared" si="83"/>
        <v xml:space="preserve">Fariz </v>
      </c>
    </row>
    <row r="278" spans="4:50">
      <c r="D278" s="178">
        <v>52</v>
      </c>
      <c r="E278" s="179" t="s">
        <v>753</v>
      </c>
      <c r="F278" s="179" t="s">
        <v>339</v>
      </c>
      <c r="G278" s="212" t="s">
        <v>752</v>
      </c>
      <c r="H278" s="179" t="s">
        <v>192</v>
      </c>
      <c r="I278" s="179" t="s">
        <v>193</v>
      </c>
      <c r="J278" s="179"/>
      <c r="K278" s="179" t="s">
        <v>183</v>
      </c>
      <c r="L278" s="179"/>
      <c r="M278" s="179" t="str">
        <f>_xlfn.XLOOKUP(Tablo7[[#This Row],[Yan Profili]],Anbar!$J$3:$J$1000,Anbar!$H$3:$H$1000,"Tapilmadi")</f>
        <v>Tapilmadi</v>
      </c>
      <c r="N278" s="179">
        <v>3</v>
      </c>
      <c r="O278" s="179">
        <v>69</v>
      </c>
      <c r="P278" s="179" t="s">
        <v>195</v>
      </c>
      <c r="Q278" s="179" t="str">
        <f>_xlfn.XLOOKUP(Tablo7[[#This Row],[Qulp növü]],Anbar!$J$3:$J$1000,Anbar!$H$3:$H$1000,"Tapilmadi")</f>
        <v>Tapilmadi</v>
      </c>
      <c r="R278" s="179">
        <v>0</v>
      </c>
      <c r="S278" s="180">
        <v>0</v>
      </c>
      <c r="T278" s="181"/>
      <c r="U278" s="179" t="str">
        <f>_xlfn.XLOOKUP(Tablo7[[#This Row],[Petlə]],Anbar!$J$3:$J$1000,Anbar!$H$3:$H$1000,"Tapilmadi")</f>
        <v>Tapilmadi</v>
      </c>
      <c r="V278" s="181">
        <v>0</v>
      </c>
      <c r="W278" s="180">
        <v>0</v>
      </c>
      <c r="X278" s="269">
        <v>9</v>
      </c>
      <c r="Y278" s="179" t="s">
        <v>36</v>
      </c>
      <c r="Z278" s="182"/>
      <c r="AA278" s="180">
        <v>0</v>
      </c>
      <c r="AB278" s="180"/>
      <c r="AC278" s="179" t="str">
        <f>_xlfn.XLOOKUP(Tablo7[[#This Row],[Bağlantı]],Anbar!$J$3:$J$1000,Anbar!$H$3:$H$1000,"Tapilmadi")</f>
        <v>Tapilmadi</v>
      </c>
      <c r="AD278" s="179"/>
      <c r="AE278" s="180">
        <v>8</v>
      </c>
      <c r="AF278" s="180"/>
      <c r="AG278" s="179" t="str">
        <f>_xlfn.XLOOKUP(Tablo7[[#This Row],[Mexanizm]],Anbar!$J$3:$J$1000,Anbar!$H$3:$H$1000,"Tapilmadi")</f>
        <v>Tapilmadi</v>
      </c>
      <c r="AH278" s="179">
        <v>1</v>
      </c>
      <c r="AI278" s="180">
        <v>0</v>
      </c>
      <c r="AJ278" s="180">
        <v>6</v>
      </c>
      <c r="AK278" s="180">
        <v>30</v>
      </c>
      <c r="AL278" s="180"/>
      <c r="AM278" s="180">
        <v>122</v>
      </c>
      <c r="AN278" s="180"/>
      <c r="AO278" s="180">
        <v>122</v>
      </c>
      <c r="AP278" s="194">
        <f>Tablo7[[#This Row],[Ümumi məbləğ]]-Tablo7[[#This Row],[Ödəniş]]-Tablo7[[#This Row],[Endirim]]</f>
        <v>0</v>
      </c>
      <c r="AQ278" s="183" t="str">
        <f t="shared" si="81"/>
        <v>Mesaj</v>
      </c>
      <c r="AR278" s="183" t="str">
        <f t="shared" si="82"/>
        <v>Mesaj</v>
      </c>
      <c r="AS278" s="184" t="str">
        <f>IF(ISNA(VLOOKUP(Tablo7[[#This Row],[Sifariş kodu]],'Kəsim ve təhvil'!$E$5:$E1276,1,0)),"Qəbul edilməyib","Qəbul edilib")</f>
        <v>Qəbul edilməyib</v>
      </c>
      <c r="AT278" s="185" t="str">
        <f>IF(ISNA(VLOOKUP(Tablo7[[#This Row],[Sifariş kodu]],'Kəsim ve təhvil'!$H$5:$H1276,1,0)),"Anbardadır","Təhvil verilib")</f>
        <v>Anbardadır</v>
      </c>
      <c r="AU278" s="186" t="str">
        <f>"Hörmətli *"&amp;Tablo7[[#This Row],[Müştəri]]&amp;"*  ,Sizin *"&amp;G278&amp;"* tarixli sifarişiniz qeydə alındı. Sifariş Məbləğı *"&amp;AM278&amp;" AZN* , Qalıq *"&amp;AP278&amp;" AZN* . Hörmətlə  *AlumPro*"</f>
        <v>Hörmətli *Aksin Mahmudov*  ,Sizin *19,11,2024* tarixli sifarişiniz qeydə alındı. Sifariş Məbləğı *122 AZN* , Qalıq *0 AZN* . Hörmətlə  *AlumPro*</v>
      </c>
      <c r="AV278" s="187" t="str">
        <f>"Hörmətli *"&amp;Tablo7[[#This Row],[Müştəri]]&amp;"* , sizin *"&amp;G278&amp;"* tarixli  sifarişiniz hazırdır . Bizi seçdiyiniz üçün minnətdarıq. Hörmətlə  *AlumPro*."</f>
        <v>Hörmətli *Aksin Mahmudov* , sizin *19,11,2024* tarixli  sifarişiniz hazırdır . Bizi seçdiyiniz üçün minnətdarıq. Hörmətlə  *AlumPro*.</v>
      </c>
      <c r="AW278" s="188" t="str">
        <f t="shared" si="84"/>
        <v>Aksin</v>
      </c>
      <c r="AX278" s="189" t="str">
        <f t="shared" si="83"/>
        <v xml:space="preserve">Aksin </v>
      </c>
    </row>
    <row r="279" spans="4:50">
      <c r="D279" s="178">
        <v>51</v>
      </c>
      <c r="E279" s="179" t="s">
        <v>754</v>
      </c>
      <c r="F279" s="179" t="s">
        <v>339</v>
      </c>
      <c r="G279" s="212" t="s">
        <v>752</v>
      </c>
      <c r="H279" s="179" t="s">
        <v>389</v>
      </c>
      <c r="I279" s="179" t="s">
        <v>390</v>
      </c>
      <c r="J279" s="179"/>
      <c r="K279" s="179" t="s">
        <v>183</v>
      </c>
      <c r="L279" s="179"/>
      <c r="M279" s="179" t="str">
        <f>_xlfn.XLOOKUP(Tablo7[[#This Row],[Yan Profili]],Anbar!$J$3:$J$1000,Anbar!$H$3:$H$1000,"Tapilmadi")</f>
        <v>Tapilmadi</v>
      </c>
      <c r="N279" s="179">
        <v>1</v>
      </c>
      <c r="O279" s="179">
        <v>23</v>
      </c>
      <c r="P279" s="179" t="s">
        <v>184</v>
      </c>
      <c r="Q279" s="179" t="str">
        <f>_xlfn.XLOOKUP(Tablo7[[#This Row],[Qulp növü]],Anbar!$J$3:$J$1000,Anbar!$H$3:$H$1000,"Tapilmadi")</f>
        <v>Tapilmadi</v>
      </c>
      <c r="R279" s="179">
        <v>1</v>
      </c>
      <c r="S279" s="180">
        <v>26</v>
      </c>
      <c r="T279" s="181"/>
      <c r="U279" s="179" t="str">
        <f>_xlfn.XLOOKUP(Tablo7[[#This Row],[Petlə]],Anbar!$J$3:$J$1000,Anbar!$H$3:$H$1000,"Tapilmadi")</f>
        <v>Tapilmadi</v>
      </c>
      <c r="V279" s="181">
        <v>0</v>
      </c>
      <c r="W279" s="180">
        <v>0</v>
      </c>
      <c r="X279" s="269">
        <v>0</v>
      </c>
      <c r="Y279" s="179" t="s">
        <v>199</v>
      </c>
      <c r="Z279" s="182"/>
      <c r="AA279" s="180">
        <v>15</v>
      </c>
      <c r="AB279" s="180"/>
      <c r="AC279" s="179" t="str">
        <f>_xlfn.XLOOKUP(Tablo7[[#This Row],[Bağlantı]],Anbar!$J$3:$J$1000,Anbar!$H$3:$H$1000,"Tapilmadi")</f>
        <v>Tapilmadi</v>
      </c>
      <c r="AD279" s="179"/>
      <c r="AE279" s="180">
        <v>4</v>
      </c>
      <c r="AF279" s="180"/>
      <c r="AG279" s="179" t="str">
        <f>_xlfn.XLOOKUP(Tablo7[[#This Row],[Mexanizm]],Anbar!$J$3:$J$1000,Anbar!$H$3:$H$1000,"Tapilmadi")</f>
        <v>Tapilmadi</v>
      </c>
      <c r="AH279" s="179">
        <v>1</v>
      </c>
      <c r="AI279" s="180">
        <v>0</v>
      </c>
      <c r="AJ279" s="180">
        <v>3</v>
      </c>
      <c r="AK279" s="180">
        <v>15</v>
      </c>
      <c r="AL279" s="180"/>
      <c r="AM279" s="180">
        <v>85</v>
      </c>
      <c r="AN279" s="180"/>
      <c r="AO279" s="180">
        <v>85</v>
      </c>
      <c r="AP279" s="194">
        <f>Tablo7[[#This Row],[Ümumi məbləğ]]-Tablo7[[#This Row],[Ödəniş]]-Tablo7[[#This Row],[Endirim]]</f>
        <v>0</v>
      </c>
      <c r="AQ279" s="183" t="str">
        <f t="shared" si="81"/>
        <v>Mesaj</v>
      </c>
      <c r="AR279" s="183" t="str">
        <f t="shared" si="82"/>
        <v>Mesaj</v>
      </c>
      <c r="AS279" s="184" t="str">
        <f>IF(ISNA(VLOOKUP(Tablo7[[#This Row],[Sifariş kodu]],'Kəsim ve təhvil'!$E$5:$E1277,1,0)),"Qəbul edilməyib","Qəbul edilib")</f>
        <v>Qəbul edilməyib</v>
      </c>
      <c r="AT279" s="185" t="str">
        <f>IF(ISNA(VLOOKUP(Tablo7[[#This Row],[Sifariş kodu]],'Kəsim ve təhvil'!$H$5:$H1277,1,0)),"Anbardadır","Təhvil verilib")</f>
        <v>Anbardadır</v>
      </c>
      <c r="AU279" s="186" t="str">
        <f>"Hörmətli *"&amp;Tablo7[[#This Row],[Müştəri]]&amp;"*  ,Sizin *"&amp;G279&amp;"* tarixli sifarişiniz qeydə alındı. Sifariş Məbləğı *"&amp;AM279&amp;" AZN* , Qalıq *"&amp;AP279&amp;" AZN* . Hörmətlə  *AlumPro*"</f>
        <v>Hörmətli *Samir Ayla Mebel*  ,Sizin *19,11,2024* tarixli sifarişiniz qeydə alındı. Sifariş Məbləğı *85 AZN* , Qalıq *0 AZN* . Hörmətlə  *AlumPro*</v>
      </c>
      <c r="AV279" s="187" t="str">
        <f>"Hörmətli *"&amp;Tablo7[[#This Row],[Müştəri]]&amp;"* , sizin *"&amp;G279&amp;"* tarixli  sifarişiniz hazırdır . Bizi seçdiyiniz üçün minnətdarıq. Hörmətlə  *AlumPro*."</f>
        <v>Hörmətli *Samir Ayla Mebel* , sizin *19,11,2024* tarixli  sifarişiniz hazırdır . Bizi seçdiyiniz üçün minnətdarıq. Hörmətlə  *AlumPro*.</v>
      </c>
      <c r="AW279" s="188" t="str">
        <f t="shared" si="84"/>
        <v>Samir</v>
      </c>
      <c r="AX279" s="189" t="str">
        <f t="shared" si="83"/>
        <v xml:space="preserve">Samir </v>
      </c>
    </row>
    <row r="280" spans="4:50">
      <c r="D280" s="178">
        <v>50</v>
      </c>
      <c r="E280" s="179" t="s">
        <v>755</v>
      </c>
      <c r="F280" s="179" t="s">
        <v>339</v>
      </c>
      <c r="G280" s="212" t="s">
        <v>752</v>
      </c>
      <c r="H280" s="179" t="s">
        <v>272</v>
      </c>
      <c r="I280" s="179" t="s">
        <v>273</v>
      </c>
      <c r="J280" s="179"/>
      <c r="K280" s="179" t="s">
        <v>278</v>
      </c>
      <c r="L280" s="179"/>
      <c r="M280" s="179" t="str">
        <f>_xlfn.XLOOKUP(Tablo7[[#This Row],[Yan Profili]],Anbar!$J$3:$J$1000,Anbar!$H$3:$H$1000,"Tapilmadi")</f>
        <v>Tapilmadi</v>
      </c>
      <c r="N280" s="179">
        <v>4</v>
      </c>
      <c r="O280" s="179">
        <v>92</v>
      </c>
      <c r="P280" s="179" t="s">
        <v>195</v>
      </c>
      <c r="Q280" s="179" t="str">
        <f>_xlfn.XLOOKUP(Tablo7[[#This Row],[Qulp növü]],Anbar!$J$3:$J$1000,Anbar!$H$3:$H$1000,"Tapilmadi")</f>
        <v>Tapilmadi</v>
      </c>
      <c r="R280" s="179">
        <v>0</v>
      </c>
      <c r="S280" s="180">
        <v>0</v>
      </c>
      <c r="T280" s="181" t="s">
        <v>196</v>
      </c>
      <c r="U280" s="179" t="str">
        <f>_xlfn.XLOOKUP(Tablo7[[#This Row],[Petlə]],Anbar!$J$3:$J$1000,Anbar!$H$3:$H$1000,"Tapilmadi")</f>
        <v>Tapilmadi</v>
      </c>
      <c r="V280" s="181">
        <v>7</v>
      </c>
      <c r="W280" s="180">
        <v>28</v>
      </c>
      <c r="X280" s="269">
        <v>0</v>
      </c>
      <c r="Y280" s="179"/>
      <c r="Z280" s="182">
        <v>0</v>
      </c>
      <c r="AA280" s="180">
        <v>0</v>
      </c>
      <c r="AB280" s="180"/>
      <c r="AC280" s="179" t="str">
        <f>_xlfn.XLOOKUP(Tablo7[[#This Row],[Bağlantı]],Anbar!$J$3:$J$1000,Anbar!$H$3:$H$1000,"Tapilmadi")</f>
        <v>Tapilmadi</v>
      </c>
      <c r="AD280" s="179"/>
      <c r="AE280" s="180">
        <v>16</v>
      </c>
      <c r="AF280" s="180"/>
      <c r="AG280" s="179" t="str">
        <f>_xlfn.XLOOKUP(Tablo7[[#This Row],[Mexanizm]],Anbar!$J$3:$J$1000,Anbar!$H$3:$H$1000,"Tapilmadi")</f>
        <v>Tapilmadi</v>
      </c>
      <c r="AH280" s="179">
        <v>1</v>
      </c>
      <c r="AI280" s="180">
        <v>0</v>
      </c>
      <c r="AJ280" s="180">
        <v>14</v>
      </c>
      <c r="AK280" s="180">
        <v>25</v>
      </c>
      <c r="AL280" s="180"/>
      <c r="AM280" s="180">
        <v>175</v>
      </c>
      <c r="AN280" s="180"/>
      <c r="AO280" s="180">
        <v>175</v>
      </c>
      <c r="AP280" s="194">
        <f>Tablo7[[#This Row],[Ümumi məbləğ]]-Tablo7[[#This Row],[Ödəniş]]-Tablo7[[#This Row],[Endirim]]</f>
        <v>0</v>
      </c>
      <c r="AQ280" s="183" t="str">
        <f t="shared" si="81"/>
        <v>Mesaj</v>
      </c>
      <c r="AR280" s="183" t="str">
        <f t="shared" si="82"/>
        <v>Mesaj</v>
      </c>
      <c r="AS280" s="184" t="str">
        <f>IF(ISNA(VLOOKUP(Tablo7[[#This Row],[Sifariş kodu]],'Kəsim ve təhvil'!$E$5:$E1278,1,0)),"Qəbul edilməyib","Qəbul edilib")</f>
        <v>Qəbul edilməyib</v>
      </c>
      <c r="AT280" s="185" t="str">
        <f>IF(ISNA(VLOOKUP(Tablo7[[#This Row],[Sifariş kodu]],'Kəsim ve təhvil'!$H$5:$H1278,1,0)),"Anbardadır","Təhvil verilib")</f>
        <v>Anbardadır</v>
      </c>
      <c r="AU280" s="186" t="str">
        <f>"Hörmətli *"&amp;Tablo7[[#This Row],[Müştəri]]&amp;"*  ,Sizin *"&amp;G280&amp;"* tarixli sifarişiniz qeydə alındı. Sifariş Məbləğı *"&amp;AM280&amp;" AZN* , Qalıq *"&amp;AP280&amp;" AZN* . Hörmətlə  *AlumPro*"</f>
        <v>Hörmətli *Resad Mebelline *  ,Sizin *19,11,2024* tarixli sifarişiniz qeydə alındı. Sifariş Məbləğı *175 AZN* , Qalıq *0 AZN* . Hörmətlə  *AlumPro*</v>
      </c>
      <c r="AV280" s="187" t="str">
        <f>"Hörmətli *"&amp;Tablo7[[#This Row],[Müştəri]]&amp;"* , sizin *"&amp;G280&amp;"* tarixli  sifarişiniz hazırdır . Bizi seçdiyiniz üçün minnətdarıq. Hörmətlə  *AlumPro*."</f>
        <v>Hörmətli *Resad Mebelline * , sizin *19,11,2024* tarixli  sifarişiniz hazırdır . Bizi seçdiyiniz üçün minnətdarıq. Hörmətlə  *AlumPro*.</v>
      </c>
      <c r="AW280" s="188" t="str">
        <f t="shared" si="84"/>
        <v>Resad</v>
      </c>
      <c r="AX280" s="189" t="str">
        <f t="shared" si="83"/>
        <v xml:space="preserve">Resad </v>
      </c>
    </row>
    <row r="281" spans="4:50">
      <c r="D281" s="178">
        <v>49</v>
      </c>
      <c r="E281" s="179" t="s">
        <v>756</v>
      </c>
      <c r="F281" s="179" t="s">
        <v>339</v>
      </c>
      <c r="G281" s="212" t="s">
        <v>752</v>
      </c>
      <c r="H281" s="179" t="s">
        <v>674</v>
      </c>
      <c r="I281" s="179" t="s">
        <v>675</v>
      </c>
      <c r="J281" s="179"/>
      <c r="K281" s="179" t="s">
        <v>260</v>
      </c>
      <c r="L281" s="179"/>
      <c r="M281" s="179" t="str">
        <f>_xlfn.XLOOKUP(Tablo7[[#This Row],[Yan Profili]],Anbar!$J$3:$J$1000,Anbar!$H$3:$H$1000,"Tapilmadi")</f>
        <v>Tapilmadi</v>
      </c>
      <c r="N281" s="179">
        <v>11</v>
      </c>
      <c r="O281" s="179">
        <v>253</v>
      </c>
      <c r="P281" s="179" t="s">
        <v>184</v>
      </c>
      <c r="Q281" s="179" t="str">
        <f>_xlfn.XLOOKUP(Tablo7[[#This Row],[Qulp növü]],Anbar!$J$3:$J$1000,Anbar!$H$3:$H$1000,"Tapilmadi")</f>
        <v>Tapilmadi</v>
      </c>
      <c r="R281" s="179">
        <v>9</v>
      </c>
      <c r="S281" s="180">
        <v>234</v>
      </c>
      <c r="T281" s="181" t="s">
        <v>196</v>
      </c>
      <c r="U281" s="179" t="str">
        <f>_xlfn.XLOOKUP(Tablo7[[#This Row],[Petlə]],Anbar!$J$3:$J$1000,Anbar!$H$3:$H$1000,"Tapilmadi")</f>
        <v>Tapilmadi</v>
      </c>
      <c r="V281" s="181">
        <v>36</v>
      </c>
      <c r="W281" s="180">
        <v>144</v>
      </c>
      <c r="X281" s="269">
        <v>0</v>
      </c>
      <c r="Y281" s="179" t="s">
        <v>199</v>
      </c>
      <c r="Z281" s="182">
        <v>0</v>
      </c>
      <c r="AA281" s="180">
        <v>337</v>
      </c>
      <c r="AB281" s="180"/>
      <c r="AC281" s="179" t="str">
        <f>_xlfn.XLOOKUP(Tablo7[[#This Row],[Bağlantı]],Anbar!$J$3:$J$1000,Anbar!$H$3:$H$1000,"Tapilmadi")</f>
        <v>Tapilmadi</v>
      </c>
      <c r="AD281" s="179"/>
      <c r="AE281" s="180">
        <v>72</v>
      </c>
      <c r="AF281" s="180"/>
      <c r="AG281" s="179" t="str">
        <f>_xlfn.XLOOKUP(Tablo7[[#This Row],[Mexanizm]],Anbar!$J$3:$J$1000,Anbar!$H$3:$H$1000,"Tapilmadi")</f>
        <v>Tapilmadi</v>
      </c>
      <c r="AH281" s="179">
        <v>1</v>
      </c>
      <c r="AI281" s="180">
        <v>0</v>
      </c>
      <c r="AJ281" s="180">
        <v>72</v>
      </c>
      <c r="AK281" s="180">
        <v>135</v>
      </c>
      <c r="AL281" s="180"/>
      <c r="AM281" s="180">
        <v>1247</v>
      </c>
      <c r="AN281" s="180"/>
      <c r="AO281" s="180">
        <v>1057</v>
      </c>
      <c r="AP281" s="194">
        <f>Tablo7[[#This Row],[Ümumi məbləğ]]-Tablo7[[#This Row],[Ödəniş]]-Tablo7[[#This Row],[Endirim]]</f>
        <v>190</v>
      </c>
      <c r="AQ281" s="183" t="str">
        <f t="shared" si="81"/>
        <v>Mesaj</v>
      </c>
      <c r="AR281" s="183" t="str">
        <f t="shared" si="82"/>
        <v>Mesaj</v>
      </c>
      <c r="AS281" s="184" t="str">
        <f>IF(ISNA(VLOOKUP(Tablo7[[#This Row],[Sifariş kodu]],'Kəsim ve təhvil'!$E$5:$E1279,1,0)),"Qəbul edilməyib","Qəbul edilib")</f>
        <v>Qəbul edilməyib</v>
      </c>
      <c r="AT281" s="185" t="str">
        <f>IF(ISNA(VLOOKUP(Tablo7[[#This Row],[Sifariş kodu]],'Kəsim ve təhvil'!$H$5:$H1279,1,0)),"Anbardadır","Təhvil verilib")</f>
        <v>Anbardadır</v>
      </c>
      <c r="AU281" s="186" t="str">
        <f>"Hörmətli *"&amp;Tablo7[[#This Row],[Müştəri]]&amp;"*  ,Sizin *"&amp;G281&amp;"* tarixli sifarişiniz qeydə alındı. Sifariş Məbləğı *"&amp;AM281&amp;" AZN* , Qalıq *"&amp;AP281&amp;" AZN* . Hörmətlə  *AlumPro*"</f>
        <v>Hörmətli *Aydin Abbasov*  ,Sizin *19,11,2024* tarixli sifarişiniz qeydə alındı. Sifariş Məbləğı *1247 AZN* , Qalıq *190 AZN* . Hörmətlə  *AlumPro*</v>
      </c>
      <c r="AV281" s="187" t="str">
        <f>"Hörmətli *"&amp;Tablo7[[#This Row],[Müştəri]]&amp;"* , sizin *"&amp;G281&amp;"* tarixli  sifarişiniz hazırdır . Bizi seçdiyiniz üçün minnətdarıq. Hörmətlə  *AlumPro*."</f>
        <v>Hörmətli *Aydin Abbasov* , sizin *19,11,2024* tarixli  sifarişiniz hazırdır . Bizi seçdiyiniz üçün minnətdarıq. Hörmətlə  *AlumPro*.</v>
      </c>
      <c r="AW281" s="188" t="str">
        <f t="shared" si="84"/>
        <v>Aydin</v>
      </c>
      <c r="AX281" s="189" t="str">
        <f t="shared" si="83"/>
        <v xml:space="preserve">Aydin </v>
      </c>
    </row>
    <row r="282" spans="4:50">
      <c r="D282" s="178">
        <v>48</v>
      </c>
      <c r="E282" s="179" t="s">
        <v>757</v>
      </c>
      <c r="F282" s="179" t="s">
        <v>339</v>
      </c>
      <c r="G282" s="212" t="s">
        <v>6</v>
      </c>
      <c r="H282" s="179" t="s">
        <v>272</v>
      </c>
      <c r="I282" s="179" t="s">
        <v>273</v>
      </c>
      <c r="J282" s="179"/>
      <c r="K282" s="179" t="s">
        <v>758</v>
      </c>
      <c r="L282" s="179"/>
      <c r="M282" s="179">
        <f>_xlfn.XLOOKUP(Tablo7[[#This Row],[Yan Profili]],Anbar!$J$3:$J$1000,Anbar!$H$3:$H$1000,"Tapilmadi")</f>
        <v>0</v>
      </c>
      <c r="N282" s="179">
        <v>3</v>
      </c>
      <c r="O282" s="179">
        <v>90</v>
      </c>
      <c r="P282" s="179" t="s">
        <v>759</v>
      </c>
      <c r="Q282" s="179" t="str">
        <f>_xlfn.XLOOKUP(Tablo7[[#This Row],[Qulp növü]],Anbar!$J$3:$J$1000,Anbar!$H$3:$H$1000,"Tapilmadi")</f>
        <v>Tapilmadi</v>
      </c>
      <c r="R282" s="179">
        <v>1</v>
      </c>
      <c r="S282" s="180">
        <v>30</v>
      </c>
      <c r="T282" s="181"/>
      <c r="U282" s="179" t="str">
        <f>_xlfn.XLOOKUP(Tablo7[[#This Row],[Petlə]],Anbar!$J$3:$J$1000,Anbar!$H$3:$H$1000,"Tapilmadi")</f>
        <v>Tapilmadi</v>
      </c>
      <c r="V282" s="181">
        <v>0</v>
      </c>
      <c r="W282" s="180">
        <v>0</v>
      </c>
      <c r="X282" s="269">
        <v>0</v>
      </c>
      <c r="Y282" s="179" t="s">
        <v>36</v>
      </c>
      <c r="Z282" s="182">
        <v>0</v>
      </c>
      <c r="AA282" s="180">
        <v>0</v>
      </c>
      <c r="AB282" s="180"/>
      <c r="AC282" s="179" t="str">
        <f>_xlfn.XLOOKUP(Tablo7[[#This Row],[Bağlantı]],Anbar!$J$3:$J$1000,Anbar!$H$3:$H$1000,"Tapilmadi")</f>
        <v>Tapilmadi</v>
      </c>
      <c r="AD282" s="179"/>
      <c r="AE282" s="180">
        <v>0</v>
      </c>
      <c r="AF282" s="180"/>
      <c r="AG282" s="179" t="str">
        <f>_xlfn.XLOOKUP(Tablo7[[#This Row],[Mexanizm]],Anbar!$J$3:$J$1000,Anbar!$H$3:$H$1000,"Tapilmadi")</f>
        <v>Tapilmadi</v>
      </c>
      <c r="AH282" s="179">
        <v>1</v>
      </c>
      <c r="AI282" s="180">
        <v>410</v>
      </c>
      <c r="AJ282" s="180">
        <v>0</v>
      </c>
      <c r="AK282" s="180">
        <v>0</v>
      </c>
      <c r="AL282" s="180"/>
      <c r="AM282" s="180">
        <v>530</v>
      </c>
      <c r="AN282" s="180"/>
      <c r="AO282" s="180">
        <v>530</v>
      </c>
      <c r="AP282" s="194">
        <f>Tablo7[[#This Row],[Ümumi məbləğ]]-Tablo7[[#This Row],[Ödəniş]]-Tablo7[[#This Row],[Endirim]]</f>
        <v>0</v>
      </c>
      <c r="AQ282" s="183" t="str">
        <f t="shared" si="81"/>
        <v>Mesaj</v>
      </c>
      <c r="AR282" s="183" t="str">
        <f t="shared" si="82"/>
        <v>Mesaj</v>
      </c>
      <c r="AS282" s="184" t="str">
        <f>IF(ISNA(VLOOKUP(Tablo7[[#This Row],[Sifariş kodu]],'Kəsim ve təhvil'!$E$5:$E1280,1,0)),"Qəbul edilməyib","Qəbul edilib")</f>
        <v>Qəbul edilməyib</v>
      </c>
      <c r="AT282" s="185" t="str">
        <f>IF(ISNA(VLOOKUP(Tablo7[[#This Row],[Sifariş kodu]],'Kəsim ve təhvil'!$H$5:$H1280,1,0)),"Anbardadır","Təhvil verilib")</f>
        <v>Anbardadır</v>
      </c>
      <c r="AU282" s="186" t="str">
        <f>"Hörmətli *"&amp;Tablo7[[#This Row],[Müştəri]]&amp;"*  ,Sizin *"&amp;G282&amp;"* tarixli sifarişiniz qeydə alındı. Sifariş Məbləğı *"&amp;AM282&amp;" AZN* , Qalıq *"&amp;AP282&amp;" AZN* . Hörmətlə  *AlumPro*"</f>
        <v>Hörmətli *Resad Mebelline *  ,Sizin *23,12,2024* tarixli sifarişiniz qeydə alındı. Sifariş Məbləğı *530 AZN* , Qalıq *0 AZN* . Hörmətlə  *AlumPro*</v>
      </c>
      <c r="AV282" s="187" t="str">
        <f>"Hörmətli *"&amp;Tablo7[[#This Row],[Müştəri]]&amp;"* , sizin *"&amp;G282&amp;"* tarixli  sifarişiniz hazırdır . Bizi seçdiyiniz üçün minnətdarıq. Hörmətlə  *AlumPro*."</f>
        <v>Hörmətli *Resad Mebelline * , sizin *23,12,2024* tarixli  sifarişiniz hazırdır . Bizi seçdiyiniz üçün minnətdarıq. Hörmətlə  *AlumPro*.</v>
      </c>
      <c r="AW282" s="188" t="str">
        <f t="shared" si="84"/>
        <v>Resad</v>
      </c>
      <c r="AX282" s="189" t="str">
        <f t="shared" si="83"/>
        <v xml:space="preserve">Resad </v>
      </c>
    </row>
    <row r="283" spans="4:50">
      <c r="D283" s="178">
        <v>47</v>
      </c>
      <c r="E283" s="179" t="s">
        <v>760</v>
      </c>
      <c r="F283" s="179" t="s">
        <v>339</v>
      </c>
      <c r="G283" s="212" t="s">
        <v>6</v>
      </c>
      <c r="H283" s="179" t="s">
        <v>201</v>
      </c>
      <c r="I283" s="179" t="s">
        <v>202</v>
      </c>
      <c r="J283" s="179"/>
      <c r="K283" s="179" t="s">
        <v>183</v>
      </c>
      <c r="L283" s="179"/>
      <c r="M283" s="179" t="str">
        <f>_xlfn.XLOOKUP(Tablo7[[#This Row],[Yan Profili]],Anbar!$J$3:$J$1000,Anbar!$H$3:$H$1000,"Tapilmadi")</f>
        <v>Tapilmadi</v>
      </c>
      <c r="N283" s="179">
        <v>2</v>
      </c>
      <c r="O283" s="179">
        <v>46</v>
      </c>
      <c r="P283" s="179" t="s">
        <v>184</v>
      </c>
      <c r="Q283" s="179" t="str">
        <f>_xlfn.XLOOKUP(Tablo7[[#This Row],[Qulp növü]],Anbar!$J$3:$J$1000,Anbar!$H$3:$H$1000,"Tapilmadi")</f>
        <v>Tapilmadi</v>
      </c>
      <c r="R283" s="179">
        <v>1</v>
      </c>
      <c r="S283" s="180">
        <v>26</v>
      </c>
      <c r="T283" s="181"/>
      <c r="U283" s="179" t="str">
        <f>_xlfn.XLOOKUP(Tablo7[[#This Row],[Petlə]],Anbar!$J$3:$J$1000,Anbar!$H$3:$H$1000,"Tapilmadi")</f>
        <v>Tapilmadi</v>
      </c>
      <c r="V283" s="181">
        <v>0</v>
      </c>
      <c r="W283" s="180">
        <v>0</v>
      </c>
      <c r="X283" s="269">
        <v>3</v>
      </c>
      <c r="Y283" s="179" t="s">
        <v>36</v>
      </c>
      <c r="Z283" s="182">
        <v>0</v>
      </c>
      <c r="AA283" s="180">
        <v>26</v>
      </c>
      <c r="AB283" s="180"/>
      <c r="AC283" s="179" t="str">
        <f>_xlfn.XLOOKUP(Tablo7[[#This Row],[Bağlantı]],Anbar!$J$3:$J$1000,Anbar!$H$3:$H$1000,"Tapilmadi")</f>
        <v>Tapilmadi</v>
      </c>
      <c r="AD283" s="179"/>
      <c r="AE283" s="180">
        <v>4</v>
      </c>
      <c r="AF283" s="180"/>
      <c r="AG283" s="179" t="str">
        <f>_xlfn.XLOOKUP(Tablo7[[#This Row],[Mexanizm]],Anbar!$J$3:$J$1000,Anbar!$H$3:$H$1000,"Tapilmadi")</f>
        <v>Tapilmadi</v>
      </c>
      <c r="AH283" s="179">
        <v>1</v>
      </c>
      <c r="AI283" s="180">
        <v>0</v>
      </c>
      <c r="AJ283" s="180">
        <v>4</v>
      </c>
      <c r="AK283" s="180">
        <v>15</v>
      </c>
      <c r="AL283" s="180"/>
      <c r="AM283" s="180">
        <v>124</v>
      </c>
      <c r="AN283" s="180"/>
      <c r="AO283" s="180">
        <v>124</v>
      </c>
      <c r="AP283" s="194">
        <f>Tablo7[[#This Row],[Ümumi məbləğ]]-Tablo7[[#This Row],[Ödəniş]]-Tablo7[[#This Row],[Endirim]]</f>
        <v>0</v>
      </c>
      <c r="AQ283" s="183" t="str">
        <f t="shared" si="81"/>
        <v>Mesaj</v>
      </c>
      <c r="AR283" s="183" t="str">
        <f t="shared" si="82"/>
        <v>Mesaj</v>
      </c>
      <c r="AS283" s="184" t="str">
        <f>IF(ISNA(VLOOKUP(Tablo7[[#This Row],[Sifariş kodu]],'Kəsim ve təhvil'!$E$5:$E1281,1,0)),"Qəbul edilməyib","Qəbul edilib")</f>
        <v>Qəbul edilməyib</v>
      </c>
      <c r="AT283" s="185" t="str">
        <f>IF(ISNA(VLOOKUP(Tablo7[[#This Row],[Sifariş kodu]],'Kəsim ve təhvil'!$H$5:$H1281,1,0)),"Anbardadır","Təhvil verilib")</f>
        <v>Anbardadır</v>
      </c>
      <c r="AU283" s="186" t="str">
        <f>"Hörmətli *"&amp;Tablo7[[#This Row],[Müştəri]]&amp;"*  ,Sizin *"&amp;G283&amp;"* tarixli sifarişiniz qeydə alındı. Sifariş Məbləğı *"&amp;AM283&amp;" AZN* , Qalıq *"&amp;AP283&amp;" AZN* . Hörmətlə  *AlumPro*"</f>
        <v>Hörmətli *Kandar Palid*  ,Sizin *23,12,2024* tarixli sifarişiniz qeydə alındı. Sifariş Məbləğı *124 AZN* , Qalıq *0 AZN* . Hörmətlə  *AlumPro*</v>
      </c>
      <c r="AV283" s="187" t="str">
        <f>"Hörmətli *"&amp;Tablo7[[#This Row],[Müştəri]]&amp;"* , sizin *"&amp;G283&amp;"* tarixli  sifarişiniz hazırdır . Bizi seçdiyiniz üçün minnətdarıq. Hörmətlə  *AlumPro*."</f>
        <v>Hörmətli *Kandar Palid* , sizin *23,12,2024* tarixli  sifarişiniz hazırdır . Bizi seçdiyiniz üçün minnətdarıq. Hörmətlə  *AlumPro*.</v>
      </c>
      <c r="AW283" s="188" t="str">
        <f t="shared" si="84"/>
        <v>Kandar</v>
      </c>
      <c r="AX283" s="189" t="str">
        <f t="shared" si="83"/>
        <v xml:space="preserve">Kandar </v>
      </c>
    </row>
    <row r="284" spans="4:50">
      <c r="D284" s="178">
        <v>46</v>
      </c>
      <c r="E284" s="179" t="s">
        <v>761</v>
      </c>
      <c r="F284" s="179" t="s">
        <v>339</v>
      </c>
      <c r="G284" s="212" t="s">
        <v>6</v>
      </c>
      <c r="H284" s="179" t="s">
        <v>762</v>
      </c>
      <c r="I284" s="179">
        <v>0</v>
      </c>
      <c r="J284" s="179"/>
      <c r="K284" s="179" t="s">
        <v>189</v>
      </c>
      <c r="L284" s="179"/>
      <c r="M284" s="179" t="str">
        <f>_xlfn.XLOOKUP(Tablo7[[#This Row],[Yan Profili]],Anbar!$J$3:$J$1000,Anbar!$H$3:$H$1000,"Tapilmadi")</f>
        <v>Tapilmadi</v>
      </c>
      <c r="N284" s="179">
        <v>5</v>
      </c>
      <c r="O284" s="179">
        <v>115</v>
      </c>
      <c r="P284" s="179" t="s">
        <v>195</v>
      </c>
      <c r="Q284" s="179" t="str">
        <f>_xlfn.XLOOKUP(Tablo7[[#This Row],[Qulp növü]],Anbar!$J$3:$J$1000,Anbar!$H$3:$H$1000,"Tapilmadi")</f>
        <v>Tapilmadi</v>
      </c>
      <c r="R284" s="179">
        <v>0</v>
      </c>
      <c r="S284" s="180">
        <v>0</v>
      </c>
      <c r="T284" s="181"/>
      <c r="U284" s="179" t="str">
        <f>_xlfn.XLOOKUP(Tablo7[[#This Row],[Petlə]],Anbar!$J$3:$J$1000,Anbar!$H$3:$H$1000,"Tapilmadi")</f>
        <v>Tapilmadi</v>
      </c>
      <c r="V284" s="181">
        <v>0</v>
      </c>
      <c r="W284" s="180">
        <v>0</v>
      </c>
      <c r="X284" s="269">
        <v>0</v>
      </c>
      <c r="Y284" s="179" t="s">
        <v>199</v>
      </c>
      <c r="Z284" s="182">
        <v>0</v>
      </c>
      <c r="AA284" s="180">
        <v>48</v>
      </c>
      <c r="AB284" s="180"/>
      <c r="AC284" s="179" t="str">
        <f>_xlfn.XLOOKUP(Tablo7[[#This Row],[Bağlantı]],Anbar!$J$3:$J$1000,Anbar!$H$3:$H$1000,"Tapilmadi")</f>
        <v>Tapilmadi</v>
      </c>
      <c r="AD284" s="179"/>
      <c r="AE284" s="180">
        <v>16</v>
      </c>
      <c r="AF284" s="180"/>
      <c r="AG284" s="179" t="str">
        <f>_xlfn.XLOOKUP(Tablo7[[#This Row],[Mexanizm]],Anbar!$J$3:$J$1000,Anbar!$H$3:$H$1000,"Tapilmadi")</f>
        <v>Tapilmadi</v>
      </c>
      <c r="AH284" s="179">
        <v>1</v>
      </c>
      <c r="AI284" s="180">
        <v>0</v>
      </c>
      <c r="AJ284" s="180">
        <v>12</v>
      </c>
      <c r="AK284" s="180">
        <v>60</v>
      </c>
      <c r="AL284" s="180"/>
      <c r="AM284" s="180">
        <v>251</v>
      </c>
      <c r="AN284" s="180"/>
      <c r="AO284" s="180">
        <v>251</v>
      </c>
      <c r="AP284" s="194">
        <f>Tablo7[[#This Row],[Ümumi məbləğ]]-Tablo7[[#This Row],[Ödəniş]]-Tablo7[[#This Row],[Endirim]]</f>
        <v>0</v>
      </c>
      <c r="AQ284" s="183" t="str">
        <f t="shared" si="81"/>
        <v>Mesaj</v>
      </c>
      <c r="AR284" s="183" t="str">
        <f t="shared" si="82"/>
        <v>Mesaj</v>
      </c>
      <c r="AS284" s="184" t="str">
        <f>IF(ISNA(VLOOKUP(Tablo7[[#This Row],[Sifariş kodu]],'Kəsim ve təhvil'!$E$5:$E1282,1,0)),"Qəbul edilməyib","Qəbul edilib")</f>
        <v>Qəbul edilməyib</v>
      </c>
      <c r="AT284" s="185" t="str">
        <f>IF(ISNA(VLOOKUP(Tablo7[[#This Row],[Sifariş kodu]],'Kəsim ve təhvil'!$H$5:$H1282,1,0)),"Anbardadır","Təhvil verilib")</f>
        <v>Anbardadır</v>
      </c>
      <c r="AU284" s="186" t="str">
        <f>"Hörmətli *"&amp;Tablo7[[#This Row],[Müştəri]]&amp;"*  ,Sizin *"&amp;G284&amp;"* tarixli sifarişiniz qeydə alındı. Sifariş Məbləğı *"&amp;AM284&amp;" AZN* , Qalıq *"&amp;AP284&amp;" AZN* . Hörmətlə  *AlumPro*"</f>
        <v>Hörmətli *Nicat (mutfakcida isleyib)*  ,Sizin *23,12,2024* tarixli sifarişiniz qeydə alındı. Sifariş Məbləğı *251 AZN* , Qalıq *0 AZN* . Hörmətlə  *AlumPro*</v>
      </c>
      <c r="AV284" s="187" t="str">
        <f>"Hörmətli *"&amp;Tablo7[[#This Row],[Müştəri]]&amp;"* , sizin *"&amp;G284&amp;"* tarixli  sifarişiniz hazırdır . Bizi seçdiyiniz üçün minnətdarıq. Hörmətlə  *AlumPro*."</f>
        <v>Hörmətli *Nicat (mutfakcida isleyib)* , sizin *23,12,2024* tarixli  sifarişiniz hazırdır . Bizi seçdiyiniz üçün minnətdarıq. Hörmətlə  *AlumPro*.</v>
      </c>
      <c r="AW284" s="188" t="str">
        <f t="shared" si="84"/>
        <v>Nicat</v>
      </c>
      <c r="AX284" s="189" t="str">
        <f t="shared" si="83"/>
        <v xml:space="preserve">Nicat </v>
      </c>
    </row>
    <row r="285" spans="4:50">
      <c r="D285" s="178">
        <v>45</v>
      </c>
      <c r="E285" s="179" t="s">
        <v>763</v>
      </c>
      <c r="F285" s="179" t="s">
        <v>339</v>
      </c>
      <c r="G285" s="212" t="s">
        <v>6</v>
      </c>
      <c r="H285" s="179" t="s">
        <v>201</v>
      </c>
      <c r="I285" s="179" t="s">
        <v>202</v>
      </c>
      <c r="J285" s="179"/>
      <c r="K285" s="179" t="s">
        <v>183</v>
      </c>
      <c r="L285" s="179"/>
      <c r="M285" s="179" t="str">
        <f>_xlfn.XLOOKUP(Tablo7[[#This Row],[Yan Profili]],Anbar!$J$3:$J$1000,Anbar!$H$3:$H$1000,"Tapilmadi")</f>
        <v>Tapilmadi</v>
      </c>
      <c r="N285" s="179">
        <v>2</v>
      </c>
      <c r="O285" s="179">
        <v>46</v>
      </c>
      <c r="P285" s="179" t="s">
        <v>195</v>
      </c>
      <c r="Q285" s="179" t="str">
        <f>_xlfn.XLOOKUP(Tablo7[[#This Row],[Qulp növü]],Anbar!$J$3:$J$1000,Anbar!$H$3:$H$1000,"Tapilmadi")</f>
        <v>Tapilmadi</v>
      </c>
      <c r="R285" s="179">
        <v>0</v>
      </c>
      <c r="S285" s="180">
        <v>0</v>
      </c>
      <c r="T285" s="181"/>
      <c r="U285" s="179" t="str">
        <f>_xlfn.XLOOKUP(Tablo7[[#This Row],[Petlə]],Anbar!$J$3:$J$1000,Anbar!$H$3:$H$1000,"Tapilmadi")</f>
        <v>Tapilmadi</v>
      </c>
      <c r="V285" s="181">
        <v>0</v>
      </c>
      <c r="W285" s="180">
        <v>0</v>
      </c>
      <c r="X285" s="269">
        <v>6</v>
      </c>
      <c r="Y285" s="179" t="s">
        <v>36</v>
      </c>
      <c r="Z285" s="182">
        <v>0</v>
      </c>
      <c r="AA285" s="180">
        <v>27</v>
      </c>
      <c r="AB285" s="180"/>
      <c r="AC285" s="179" t="str">
        <f>_xlfn.XLOOKUP(Tablo7[[#This Row],[Bağlantı]],Anbar!$J$3:$J$1000,Anbar!$H$3:$H$1000,"Tapilmadi")</f>
        <v>Tapilmadi</v>
      </c>
      <c r="AD285" s="179"/>
      <c r="AE285" s="180">
        <v>8</v>
      </c>
      <c r="AF285" s="180"/>
      <c r="AG285" s="179" t="str">
        <f>_xlfn.XLOOKUP(Tablo7[[#This Row],[Mexanizm]],Anbar!$J$3:$J$1000,Anbar!$H$3:$H$1000,"Tapilmadi")</f>
        <v>Tapilmadi</v>
      </c>
      <c r="AH285" s="179">
        <v>1</v>
      </c>
      <c r="AI285" s="180">
        <v>0</v>
      </c>
      <c r="AJ285" s="180">
        <v>6</v>
      </c>
      <c r="AK285" s="180">
        <v>20</v>
      </c>
      <c r="AL285" s="180"/>
      <c r="AM285" s="180">
        <v>113</v>
      </c>
      <c r="AN285" s="180"/>
      <c r="AO285" s="180">
        <v>113</v>
      </c>
      <c r="AP285" s="194">
        <f>Tablo7[[#This Row],[Ümumi məbləğ]]-Tablo7[[#This Row],[Ödəniş]]-Tablo7[[#This Row],[Endirim]]</f>
        <v>0</v>
      </c>
      <c r="AQ285" s="183" t="str">
        <f t="shared" si="81"/>
        <v>Mesaj</v>
      </c>
      <c r="AR285" s="183" t="str">
        <f t="shared" si="82"/>
        <v>Mesaj</v>
      </c>
      <c r="AS285" s="184" t="str">
        <f>IF(ISNA(VLOOKUP(Tablo7[[#This Row],[Sifariş kodu]],'Kəsim ve təhvil'!$E$5:$E1283,1,0)),"Qəbul edilməyib","Qəbul edilib")</f>
        <v>Qəbul edilməyib</v>
      </c>
      <c r="AT285" s="185" t="str">
        <f>IF(ISNA(VLOOKUP(Tablo7[[#This Row],[Sifariş kodu]],'Kəsim ve təhvil'!$H$5:$H1283,1,0)),"Anbardadır","Təhvil verilib")</f>
        <v>Anbardadır</v>
      </c>
      <c r="AU285" s="186" t="str">
        <f>"Hörmətli *"&amp;Tablo7[[#This Row],[Müştəri]]&amp;"*  ,Sizin *"&amp;G285&amp;"* tarixli sifarişiniz qeydə alındı. Sifariş Məbləğı *"&amp;AM285&amp;" AZN* , Qalıq *"&amp;AP285&amp;" AZN* . Hörmətlə  *AlumPro*"</f>
        <v>Hörmətli *Kandar Palid*  ,Sizin *23,12,2024* tarixli sifarişiniz qeydə alındı. Sifariş Məbləğı *113 AZN* , Qalıq *0 AZN* . Hörmətlə  *AlumPro*</v>
      </c>
      <c r="AV285" s="187" t="str">
        <f>"Hörmətli *"&amp;Tablo7[[#This Row],[Müştəri]]&amp;"* , sizin *"&amp;G285&amp;"* tarixli  sifarişiniz hazırdır . Bizi seçdiyiniz üçün minnətdarıq. Hörmətlə  *AlumPro*."</f>
        <v>Hörmətli *Kandar Palid* , sizin *23,12,2024* tarixli  sifarişiniz hazırdır . Bizi seçdiyiniz üçün minnətdarıq. Hörmətlə  *AlumPro*.</v>
      </c>
      <c r="AW285" s="188" t="str">
        <f t="shared" si="84"/>
        <v>Kandar</v>
      </c>
      <c r="AX285" s="189" t="str">
        <f t="shared" si="83"/>
        <v xml:space="preserve">Kandar </v>
      </c>
    </row>
    <row r="286" spans="4:50">
      <c r="D286" s="178">
        <v>44</v>
      </c>
      <c r="E286" s="179" t="s">
        <v>764</v>
      </c>
      <c r="F286" s="179" t="s">
        <v>339</v>
      </c>
      <c r="G286" s="212" t="s">
        <v>6</v>
      </c>
      <c r="H286" s="179" t="s">
        <v>765</v>
      </c>
      <c r="I286" s="179">
        <v>0</v>
      </c>
      <c r="J286" s="179"/>
      <c r="K286" s="179" t="s">
        <v>266</v>
      </c>
      <c r="L286" s="179"/>
      <c r="M286" s="179" t="str">
        <f>_xlfn.XLOOKUP(Tablo7[[#This Row],[Yan Profili]],Anbar!$J$3:$J$1000,Anbar!$H$3:$H$1000,"Tapilmadi")</f>
        <v>Tapilmadi</v>
      </c>
      <c r="N286" s="179">
        <v>2</v>
      </c>
      <c r="O286" s="179">
        <v>250</v>
      </c>
      <c r="P286" s="179" t="s">
        <v>184</v>
      </c>
      <c r="Q286" s="179" t="str">
        <f>_xlfn.XLOOKUP(Tablo7[[#This Row],[Qulp növü]],Anbar!$J$3:$J$1000,Anbar!$H$3:$H$1000,"Tapilmadi")</f>
        <v>Tapilmadi</v>
      </c>
      <c r="R286" s="179">
        <v>0</v>
      </c>
      <c r="S286" s="180">
        <v>0</v>
      </c>
      <c r="T286" s="181"/>
      <c r="U286" s="179" t="str">
        <f>_xlfn.XLOOKUP(Tablo7[[#This Row],[Petlə]],Anbar!$J$3:$J$1000,Anbar!$H$3:$H$1000,"Tapilmadi")</f>
        <v>Tapilmadi</v>
      </c>
      <c r="V286" s="181">
        <v>0</v>
      </c>
      <c r="W286" s="180">
        <v>0</v>
      </c>
      <c r="X286" s="269">
        <v>0</v>
      </c>
      <c r="Y286" s="179" t="s">
        <v>276</v>
      </c>
      <c r="Z286" s="182">
        <v>0</v>
      </c>
      <c r="AA286" s="180">
        <v>164</v>
      </c>
      <c r="AB286" s="180"/>
      <c r="AC286" s="179" t="str">
        <f>_xlfn.XLOOKUP(Tablo7[[#This Row],[Bağlantı]],Anbar!$J$3:$J$1000,Anbar!$H$3:$H$1000,"Tapilmadi")</f>
        <v>Tapilmadi</v>
      </c>
      <c r="AD286" s="179"/>
      <c r="AE286" s="180">
        <v>0</v>
      </c>
      <c r="AF286" s="180"/>
      <c r="AG286" s="179" t="str">
        <f>_xlfn.XLOOKUP(Tablo7[[#This Row],[Mexanizm]],Anbar!$J$3:$J$1000,Anbar!$H$3:$H$1000,"Tapilmadi")</f>
        <v>Tapilmadi</v>
      </c>
      <c r="AH286" s="179">
        <v>1</v>
      </c>
      <c r="AI286" s="180">
        <v>180</v>
      </c>
      <c r="AJ286" s="180">
        <v>0</v>
      </c>
      <c r="AK286" s="180">
        <v>60</v>
      </c>
      <c r="AL286" s="180"/>
      <c r="AM286" s="180">
        <v>654</v>
      </c>
      <c r="AN286" s="180"/>
      <c r="AO286" s="180">
        <v>654</v>
      </c>
      <c r="AP286" s="194">
        <f>Tablo7[[#This Row],[Ümumi məbləğ]]-Tablo7[[#This Row],[Ödəniş]]-Tablo7[[#This Row],[Endirim]]</f>
        <v>0</v>
      </c>
      <c r="AQ286" s="183" t="str">
        <f t="shared" si="81"/>
        <v>Mesaj</v>
      </c>
      <c r="AR286" s="183" t="str">
        <f t="shared" si="82"/>
        <v>Mesaj</v>
      </c>
      <c r="AS286" s="184" t="str">
        <f>IF(ISNA(VLOOKUP(Tablo7[[#This Row],[Sifariş kodu]],'Kəsim ve təhvil'!$E$5:$E1284,1,0)),"Qəbul edilməyib","Qəbul edilib")</f>
        <v>Qəbul edilməyib</v>
      </c>
      <c r="AT286" s="185" t="str">
        <f>IF(ISNA(VLOOKUP(Tablo7[[#This Row],[Sifariş kodu]],'Kəsim ve təhvil'!$H$5:$H1284,1,0)),"Anbardadır","Təhvil verilib")</f>
        <v>Anbardadır</v>
      </c>
      <c r="AU286" s="186" t="str">
        <f>"Hörmətli *"&amp;Tablo7[[#This Row],[Müştəri]]&amp;"*  ,Sizin *"&amp;G286&amp;"* tarixli sifarişiniz qeydə alındı. Sifariş Məbləğı *"&amp;AM286&amp;" AZN* , Qalıq *"&amp;AP286&amp;" AZN* . Hörmətlə  *AlumPro*"</f>
        <v>Hörmətli *Art wall*  ,Sizin *23,12,2024* tarixli sifarişiniz qeydə alındı. Sifariş Məbləğı *654 AZN* , Qalıq *0 AZN* . Hörmətlə  *AlumPro*</v>
      </c>
      <c r="AV286" s="187" t="str">
        <f>"Hörmətli *"&amp;Tablo7[[#This Row],[Müştəri]]&amp;"* , sizin *"&amp;G286&amp;"* tarixli  sifarişiniz hazırdır . Bizi seçdiyiniz üçün minnətdarıq. Hörmətlə  *AlumPro*."</f>
        <v>Hörmətli *Art wall* , sizin *23,12,2024* tarixli  sifarişiniz hazırdır . Bizi seçdiyiniz üçün minnətdarıq. Hörmətlə  *AlumPro*.</v>
      </c>
      <c r="AW286" s="188" t="str">
        <f t="shared" si="84"/>
        <v>Art</v>
      </c>
      <c r="AX286" s="189" t="str">
        <f t="shared" si="83"/>
        <v xml:space="preserve">Art </v>
      </c>
    </row>
    <row r="287" spans="4:50">
      <c r="D287" s="178">
        <v>43</v>
      </c>
      <c r="E287" s="179" t="s">
        <v>766</v>
      </c>
      <c r="F287" s="179" t="s">
        <v>339</v>
      </c>
      <c r="G287" s="212" t="s">
        <v>6</v>
      </c>
      <c r="H287" s="179" t="s">
        <v>765</v>
      </c>
      <c r="I287" s="179">
        <v>0</v>
      </c>
      <c r="J287" s="179"/>
      <c r="K287" s="179" t="s">
        <v>767</v>
      </c>
      <c r="L287" s="179"/>
      <c r="M287" s="179" t="str">
        <f>_xlfn.XLOOKUP(Tablo7[[#This Row],[Yan Profili]],Anbar!$J$3:$J$1000,Anbar!$H$3:$H$1000,"Tapilmadi")</f>
        <v>Tapilmadi</v>
      </c>
      <c r="N287" s="179">
        <v>4</v>
      </c>
      <c r="O287" s="179">
        <v>92</v>
      </c>
      <c r="P287" s="179" t="s">
        <v>184</v>
      </c>
      <c r="Q287" s="179" t="str">
        <f>_xlfn.XLOOKUP(Tablo7[[#This Row],[Qulp növü]],Anbar!$J$3:$J$1000,Anbar!$H$3:$H$1000,"Tapilmadi")</f>
        <v>Tapilmadi</v>
      </c>
      <c r="R287" s="179">
        <v>2</v>
      </c>
      <c r="S287" s="180">
        <v>52</v>
      </c>
      <c r="T287" s="181" t="s">
        <v>196</v>
      </c>
      <c r="U287" s="179" t="str">
        <f>_xlfn.XLOOKUP(Tablo7[[#This Row],[Petlə]],Anbar!$J$3:$J$1000,Anbar!$H$3:$H$1000,"Tapilmadi")</f>
        <v>Tapilmadi</v>
      </c>
      <c r="V287" s="181">
        <v>8</v>
      </c>
      <c r="W287" s="180">
        <v>32</v>
      </c>
      <c r="X287" s="269">
        <v>0</v>
      </c>
      <c r="Y287" s="179" t="s">
        <v>36</v>
      </c>
      <c r="Z287" s="182">
        <v>0</v>
      </c>
      <c r="AA287" s="180">
        <v>68</v>
      </c>
      <c r="AB287" s="180"/>
      <c r="AC287" s="179" t="str">
        <f>_xlfn.XLOOKUP(Tablo7[[#This Row],[Bağlantı]],Anbar!$J$3:$J$1000,Anbar!$H$3:$H$1000,"Tapilmadi")</f>
        <v>Tapilmadi</v>
      </c>
      <c r="AD287" s="179"/>
      <c r="AE287" s="180">
        <v>32</v>
      </c>
      <c r="AF287" s="180"/>
      <c r="AG287" s="179" t="str">
        <f>_xlfn.XLOOKUP(Tablo7[[#This Row],[Mexanizm]],Anbar!$J$3:$J$1000,Anbar!$H$3:$H$1000,"Tapilmadi")</f>
        <v>Tapilmadi</v>
      </c>
      <c r="AH287" s="179">
        <v>1</v>
      </c>
      <c r="AI287" s="180">
        <v>0</v>
      </c>
      <c r="AJ287" s="180">
        <v>14</v>
      </c>
      <c r="AK287" s="180">
        <v>60</v>
      </c>
      <c r="AL287" s="180"/>
      <c r="AM287" s="180">
        <v>350</v>
      </c>
      <c r="AN287" s="180"/>
      <c r="AO287" s="180">
        <v>350</v>
      </c>
      <c r="AP287" s="194">
        <f>Tablo7[[#This Row],[Ümumi məbləğ]]-Tablo7[[#This Row],[Ödəniş]]-Tablo7[[#This Row],[Endirim]]</f>
        <v>0</v>
      </c>
      <c r="AQ287" s="183" t="str">
        <f t="shared" si="81"/>
        <v>Mesaj</v>
      </c>
      <c r="AR287" s="183" t="str">
        <f t="shared" si="82"/>
        <v>Mesaj</v>
      </c>
      <c r="AS287" s="184" t="str">
        <f>IF(ISNA(VLOOKUP(Tablo7[[#This Row],[Sifariş kodu]],'Kəsim ve təhvil'!$E$5:$E1285,1,0)),"Qəbul edilməyib","Qəbul edilib")</f>
        <v>Qəbul edilməyib</v>
      </c>
      <c r="AT287" s="185" t="str">
        <f>IF(ISNA(VLOOKUP(Tablo7[[#This Row],[Sifariş kodu]],'Kəsim ve təhvil'!$H$5:$H1285,1,0)),"Anbardadır","Təhvil verilib")</f>
        <v>Anbardadır</v>
      </c>
      <c r="AU287" s="186" t="str">
        <f>"Hörmətli *"&amp;Tablo7[[#This Row],[Müştəri]]&amp;"*  ,Sizin *"&amp;G287&amp;"* tarixli sifarişiniz qeydə alındı. Sifariş Məbləğı *"&amp;AM287&amp;" AZN* , Qalıq *"&amp;AP287&amp;" AZN* . Hörmətlə  *AlumPro*"</f>
        <v>Hörmətli *Art wall*  ,Sizin *23,12,2024* tarixli sifarişiniz qeydə alındı. Sifariş Məbləğı *350 AZN* , Qalıq *0 AZN* . Hörmətlə  *AlumPro*</v>
      </c>
      <c r="AV287" s="187" t="str">
        <f>"Hörmətli *"&amp;Tablo7[[#This Row],[Müştəri]]&amp;"* , sizin *"&amp;G287&amp;"* tarixli  sifarişiniz hazırdır . Bizi seçdiyiniz üçün minnətdarıq. Hörmətlə  *AlumPro*."</f>
        <v>Hörmətli *Art wall* , sizin *23,12,2024* tarixli  sifarişiniz hazırdır . Bizi seçdiyiniz üçün minnətdarıq. Hörmətlə  *AlumPro*.</v>
      </c>
      <c r="AW287" s="188" t="str">
        <f t="shared" si="84"/>
        <v>Art</v>
      </c>
      <c r="AX287" s="189" t="str">
        <f t="shared" si="83"/>
        <v xml:space="preserve">Art </v>
      </c>
    </row>
    <row r="288" spans="4:50">
      <c r="D288" s="178">
        <v>42</v>
      </c>
      <c r="E288" s="179" t="s">
        <v>768</v>
      </c>
      <c r="F288" s="179" t="s">
        <v>339</v>
      </c>
      <c r="G288" s="212" t="s">
        <v>6</v>
      </c>
      <c r="H288" s="179" t="s">
        <v>290</v>
      </c>
      <c r="I288" s="179" t="s">
        <v>291</v>
      </c>
      <c r="J288" s="179"/>
      <c r="K288" s="179" t="s">
        <v>194</v>
      </c>
      <c r="L288" s="179"/>
      <c r="M288" s="179" t="str">
        <f>_xlfn.XLOOKUP(Tablo7[[#This Row],[Yan Profili]],Anbar!$J$3:$J$1000,Anbar!$H$3:$H$1000,"Tapilmadi")</f>
        <v>Tapilmadi</v>
      </c>
      <c r="N288" s="179">
        <v>1</v>
      </c>
      <c r="O288" s="179">
        <v>23</v>
      </c>
      <c r="P288" s="179" t="s">
        <v>184</v>
      </c>
      <c r="Q288" s="179" t="str">
        <f>_xlfn.XLOOKUP(Tablo7[[#This Row],[Qulp növü]],Anbar!$J$3:$J$1000,Anbar!$H$3:$H$1000,"Tapilmadi")</f>
        <v>Tapilmadi</v>
      </c>
      <c r="R288" s="179">
        <v>1</v>
      </c>
      <c r="S288" s="180">
        <v>26</v>
      </c>
      <c r="T288" s="181" t="s">
        <v>196</v>
      </c>
      <c r="U288" s="179" t="str">
        <f>_xlfn.XLOOKUP(Tablo7[[#This Row],[Petlə]],Anbar!$J$3:$J$1000,Anbar!$H$3:$H$1000,"Tapilmadi")</f>
        <v>Tapilmadi</v>
      </c>
      <c r="V288" s="181">
        <v>3</v>
      </c>
      <c r="W288" s="180">
        <v>12</v>
      </c>
      <c r="X288" s="269">
        <v>0</v>
      </c>
      <c r="Y288" s="179" t="s">
        <v>36</v>
      </c>
      <c r="Z288" s="182">
        <v>0</v>
      </c>
      <c r="AA288" s="180">
        <v>8</v>
      </c>
      <c r="AB288" s="180"/>
      <c r="AC288" s="179" t="str">
        <f>_xlfn.XLOOKUP(Tablo7[[#This Row],[Bağlantı]],Anbar!$J$3:$J$1000,Anbar!$H$3:$H$1000,"Tapilmadi")</f>
        <v>Tapilmadi</v>
      </c>
      <c r="AD288" s="179"/>
      <c r="AE288" s="180">
        <v>8</v>
      </c>
      <c r="AF288" s="180"/>
      <c r="AG288" s="179" t="str">
        <f>_xlfn.XLOOKUP(Tablo7[[#This Row],[Mexanizm]],Anbar!$J$3:$J$1000,Anbar!$H$3:$H$1000,"Tapilmadi")</f>
        <v>Tapilmadi</v>
      </c>
      <c r="AH288" s="179">
        <v>1</v>
      </c>
      <c r="AI288" s="180">
        <v>0</v>
      </c>
      <c r="AJ288" s="180">
        <v>6</v>
      </c>
      <c r="AK288" s="180">
        <v>10</v>
      </c>
      <c r="AL288" s="180"/>
      <c r="AM288" s="180">
        <v>93</v>
      </c>
      <c r="AN288" s="180"/>
      <c r="AO288" s="180">
        <v>93</v>
      </c>
      <c r="AP288" s="194">
        <f>Tablo7[[#This Row],[Ümumi məbləğ]]-Tablo7[[#This Row],[Ödəniş]]-Tablo7[[#This Row],[Endirim]]</f>
        <v>0</v>
      </c>
      <c r="AQ288" s="183" t="str">
        <f t="shared" si="81"/>
        <v>Mesaj</v>
      </c>
      <c r="AR288" s="183" t="str">
        <f t="shared" si="82"/>
        <v>Mesaj</v>
      </c>
      <c r="AS288" s="184" t="str">
        <f>IF(ISNA(VLOOKUP(Tablo7[[#This Row],[Sifariş kodu]],'Kəsim ve təhvil'!$E$5:$E1286,1,0)),"Qəbul edilməyib","Qəbul edilib")</f>
        <v>Qəbul edilməyib</v>
      </c>
      <c r="AT288" s="185" t="str">
        <f>IF(ISNA(VLOOKUP(Tablo7[[#This Row],[Sifariş kodu]],'Kəsim ve təhvil'!$H$5:$H1286,1,0)),"Anbardadır","Təhvil verilib")</f>
        <v>Anbardadır</v>
      </c>
      <c r="AU288" s="186" t="str">
        <f>"Hörmətli *"&amp;Tablo7[[#This Row],[Müştəri]]&amp;"*  ,Sizin *"&amp;G288&amp;"* tarixli sifarişiniz qeydə alındı. Sifariş Məbləğı *"&amp;AM288&amp;" AZN* , Qalıq *"&amp;AP288&amp;" AZN* . Hörmətlə  *AlumPro*"</f>
        <v>Hörmətli *Vaqif German*  ,Sizin *23,12,2024* tarixli sifarişiniz qeydə alındı. Sifariş Məbləğı *93 AZN* , Qalıq *0 AZN* . Hörmətlə  *AlumPro*</v>
      </c>
      <c r="AV288" s="187" t="str">
        <f>"Hörmətli *"&amp;Tablo7[[#This Row],[Müştəri]]&amp;"* , sizin *"&amp;G288&amp;"* tarixli  sifarişiniz hazırdır . Bizi seçdiyiniz üçün minnətdarıq. Hörmətlə  *AlumPro*."</f>
        <v>Hörmətli *Vaqif German* , sizin *23,12,2024* tarixli  sifarişiniz hazırdır . Bizi seçdiyiniz üçün minnətdarıq. Hörmətlə  *AlumPro*.</v>
      </c>
      <c r="AW288" s="188" t="str">
        <f t="shared" si="84"/>
        <v>Vaqif</v>
      </c>
      <c r="AX288" s="189" t="str">
        <f t="shared" si="83"/>
        <v xml:space="preserve">Vaqif </v>
      </c>
    </row>
    <row r="289" spans="4:50">
      <c r="D289" s="178">
        <v>41</v>
      </c>
      <c r="E289" s="179" t="s">
        <v>769</v>
      </c>
      <c r="F289" s="179" t="s">
        <v>339</v>
      </c>
      <c r="G289" s="212" t="s">
        <v>6</v>
      </c>
      <c r="H289" s="179" t="s">
        <v>450</v>
      </c>
      <c r="I289" s="179" t="s">
        <v>451</v>
      </c>
      <c r="J289" s="179"/>
      <c r="K289" s="179" t="s">
        <v>189</v>
      </c>
      <c r="L289" s="179"/>
      <c r="M289" s="179" t="str">
        <f>_xlfn.XLOOKUP(Tablo7[[#This Row],[Yan Profili]],Anbar!$J$3:$J$1000,Anbar!$H$3:$H$1000,"Tapilmadi")</f>
        <v>Tapilmadi</v>
      </c>
      <c r="N289" s="179">
        <v>2</v>
      </c>
      <c r="O289" s="179">
        <v>46</v>
      </c>
      <c r="P289" s="179" t="s">
        <v>184</v>
      </c>
      <c r="Q289" s="179" t="str">
        <f>_xlfn.XLOOKUP(Tablo7[[#This Row],[Qulp növü]],Anbar!$J$3:$J$1000,Anbar!$H$3:$H$1000,"Tapilmadi")</f>
        <v>Tapilmadi</v>
      </c>
      <c r="R289" s="179">
        <v>1</v>
      </c>
      <c r="S289" s="180">
        <v>26</v>
      </c>
      <c r="T289" s="181"/>
      <c r="U289" s="179" t="str">
        <f>_xlfn.XLOOKUP(Tablo7[[#This Row],[Petlə]],Anbar!$J$3:$J$1000,Anbar!$H$3:$H$1000,"Tapilmadi")</f>
        <v>Tapilmadi</v>
      </c>
      <c r="V289" s="181">
        <v>0</v>
      </c>
      <c r="W289" s="180"/>
      <c r="X289" s="269">
        <v>0</v>
      </c>
      <c r="Y289" s="179" t="s">
        <v>387</v>
      </c>
      <c r="Z289" s="182">
        <v>0</v>
      </c>
      <c r="AA289" s="180">
        <v>30</v>
      </c>
      <c r="AB289" s="180"/>
      <c r="AC289" s="179" t="str">
        <f>_xlfn.XLOOKUP(Tablo7[[#This Row],[Bağlantı]],Anbar!$J$3:$J$1000,Anbar!$H$3:$H$1000,"Tapilmadi")</f>
        <v>Tapilmadi</v>
      </c>
      <c r="AD289" s="179"/>
      <c r="AE289" s="180">
        <v>8</v>
      </c>
      <c r="AF289" s="180"/>
      <c r="AG289" s="179" t="str">
        <f>_xlfn.XLOOKUP(Tablo7[[#This Row],[Mexanizm]],Anbar!$J$3:$J$1000,Anbar!$H$3:$H$1000,"Tapilmadi")</f>
        <v>Tapilmadi</v>
      </c>
      <c r="AH289" s="179">
        <v>1</v>
      </c>
      <c r="AI289" s="180">
        <v>0</v>
      </c>
      <c r="AJ289" s="180">
        <v>6</v>
      </c>
      <c r="AK289" s="180">
        <v>30</v>
      </c>
      <c r="AL289" s="180"/>
      <c r="AM289" s="180">
        <v>146</v>
      </c>
      <c r="AN289" s="180">
        <v>1</v>
      </c>
      <c r="AO289" s="180">
        <v>145</v>
      </c>
      <c r="AP289" s="194">
        <f>Tablo7[[#This Row],[Ümumi məbləğ]]-Tablo7[[#This Row],[Ödəniş]]-Tablo7[[#This Row],[Endirim]]</f>
        <v>0</v>
      </c>
      <c r="AQ289" s="183" t="str">
        <f t="shared" si="81"/>
        <v>Mesaj</v>
      </c>
      <c r="AR289" s="183" t="str">
        <f t="shared" si="82"/>
        <v>Mesaj</v>
      </c>
      <c r="AS289" s="184" t="str">
        <f>IF(ISNA(VLOOKUP(Tablo7[[#This Row],[Sifariş kodu]],'Kəsim ve təhvil'!$E$5:$E1287,1,0)),"Qəbul edilməyib","Qəbul edilib")</f>
        <v>Qəbul edilməyib</v>
      </c>
      <c r="AT289" s="185" t="str">
        <f>IF(ISNA(VLOOKUP(Tablo7[[#This Row],[Sifariş kodu]],'Kəsim ve təhvil'!$H$5:$H1287,1,0)),"Anbardadır","Təhvil verilib")</f>
        <v>Anbardadır</v>
      </c>
      <c r="AU289" s="186" t="str">
        <f>"Hörmətli *"&amp;Tablo7[[#This Row],[Müştəri]]&amp;"*  ,Sizin *"&amp;G289&amp;"* tarixli sifarişiniz qeydə alındı. Sifariş Məbləğı *"&amp;AM289&amp;" AZN* , Qalıq *"&amp;AP289&amp;" AZN* . Hörmətlə  *AlumPro*"</f>
        <v>Hörmətli *Rufet Musteri Bineqedi*  ,Sizin *23,12,2024* tarixli sifarişiniz qeydə alındı. Sifariş Məbləğı *146 AZN* , Qalıq *0 AZN* . Hörmətlə  *AlumPro*</v>
      </c>
      <c r="AV289" s="187" t="str">
        <f>"Hörmətli *"&amp;Tablo7[[#This Row],[Müştəri]]&amp;"* , sizin *"&amp;G289&amp;"* tarixli  sifarişiniz hazırdır . Bizi seçdiyiniz üçün minnətdarıq. Hörmətlə  *AlumPro*."</f>
        <v>Hörmətli *Rufet Musteri Bineqedi* , sizin *23,12,2024* tarixli  sifarişiniz hazırdır . Bizi seçdiyiniz üçün minnətdarıq. Hörmətlə  *AlumPro*.</v>
      </c>
      <c r="AW289" s="188" t="str">
        <f t="shared" si="84"/>
        <v>Rufet</v>
      </c>
      <c r="AX289" s="189" t="str">
        <f t="shared" si="83"/>
        <v xml:space="preserve">Rufet </v>
      </c>
    </row>
    <row r="290" spans="4:50">
      <c r="D290" s="178">
        <v>40</v>
      </c>
      <c r="E290" s="179" t="s">
        <v>770</v>
      </c>
      <c r="F290" s="179" t="s">
        <v>339</v>
      </c>
      <c r="G290" s="212" t="s">
        <v>6</v>
      </c>
      <c r="H290" s="179" t="s">
        <v>771</v>
      </c>
      <c r="I290" s="179" t="s">
        <v>772</v>
      </c>
      <c r="J290" s="179"/>
      <c r="K290" s="179" t="s">
        <v>189</v>
      </c>
      <c r="L290" s="179"/>
      <c r="M290" s="179">
        <f>_xlfn.XLOOKUP(Tablo7[[#This Row],[Yan Profili]],Anbar!$J$3:$J$1000,Anbar!$H$3:$H$1000,"Tapilmadi")</f>
        <v>0</v>
      </c>
      <c r="N290" s="179">
        <v>3</v>
      </c>
      <c r="O290" s="179">
        <v>69</v>
      </c>
      <c r="P290" s="179" t="s">
        <v>184</v>
      </c>
      <c r="Q290" s="179" t="str">
        <f>_xlfn.XLOOKUP(Tablo7[[#This Row],[Qulp növü]],Anbar!$J$3:$J$1000,Anbar!$H$3:$H$1000,"Tapilmadi")</f>
        <v>Tapilmadi</v>
      </c>
      <c r="R290" s="179">
        <v>2</v>
      </c>
      <c r="S290" s="180">
        <v>52</v>
      </c>
      <c r="T290" s="181"/>
      <c r="U290" s="179" t="str">
        <f>_xlfn.XLOOKUP(Tablo7[[#This Row],[Petlə]],Anbar!$J$3:$J$1000,Anbar!$H$3:$H$1000,"Tapilmadi")</f>
        <v>Tapilmadi</v>
      </c>
      <c r="V290" s="181">
        <v>0</v>
      </c>
      <c r="W290" s="180"/>
      <c r="X290" s="269">
        <v>0</v>
      </c>
      <c r="Y290" s="179" t="s">
        <v>325</v>
      </c>
      <c r="Z290" s="182">
        <v>0</v>
      </c>
      <c r="AA290" s="180">
        <v>58</v>
      </c>
      <c r="AB290" s="180"/>
      <c r="AC290" s="179" t="str">
        <f>_xlfn.XLOOKUP(Tablo7[[#This Row],[Bağlantı]],Anbar!$J$3:$J$1000,Anbar!$H$3:$H$1000,"Tapilmadi")</f>
        <v>Tapilmadi</v>
      </c>
      <c r="AD290" s="179"/>
      <c r="AE290" s="180">
        <v>12</v>
      </c>
      <c r="AF290" s="180"/>
      <c r="AG290" s="179" t="str">
        <f>_xlfn.XLOOKUP(Tablo7[[#This Row],[Mexanizm]],Anbar!$J$3:$J$1000,Anbar!$H$3:$H$1000,"Tapilmadi")</f>
        <v>Tapilmadi</v>
      </c>
      <c r="AH290" s="179">
        <v>1</v>
      </c>
      <c r="AI290" s="180">
        <v>0</v>
      </c>
      <c r="AJ290" s="180">
        <v>9</v>
      </c>
      <c r="AK290" s="180">
        <v>45</v>
      </c>
      <c r="AL290" s="180"/>
      <c r="AM290" s="180">
        <v>245</v>
      </c>
      <c r="AN290" s="180"/>
      <c r="AO290" s="180">
        <v>245</v>
      </c>
      <c r="AP290" s="194">
        <f>Tablo7[[#This Row],[Ümumi məbləğ]]-Tablo7[[#This Row],[Ödəniş]]-Tablo7[[#This Row],[Endirim]]</f>
        <v>0</v>
      </c>
      <c r="AQ290" s="183" t="str">
        <f t="shared" si="81"/>
        <v>Mesaj</v>
      </c>
      <c r="AR290" s="183" t="str">
        <f t="shared" si="82"/>
        <v>Mesaj</v>
      </c>
      <c r="AS290" s="184" t="str">
        <f>IF(ISNA(VLOOKUP(Tablo7[[#This Row],[Sifariş kodu]],'Kəsim ve təhvil'!$E$5:$E1288,1,0)),"Qəbul edilməyib","Qəbul edilib")</f>
        <v>Qəbul edilməyib</v>
      </c>
      <c r="AT290" s="185" t="str">
        <f>IF(ISNA(VLOOKUP(Tablo7[[#This Row],[Sifariş kodu]],'Kəsim ve təhvil'!$H$5:$H1288,1,0)),"Anbardadır","Təhvil verilib")</f>
        <v>Anbardadır</v>
      </c>
      <c r="AU290" s="186" t="str">
        <f>"Hörmətli *"&amp;Tablo7[[#This Row],[Müştəri]]&amp;"*  ,Sizin *"&amp;G290&amp;"* tarixli sifarişiniz qeydə alındı. Sifariş Məbləğı *"&amp;AM290&amp;" AZN* , Qalıq *"&amp;AP290&amp;" AZN* . Hörmətlə  *AlumPro*"</f>
        <v>Hörmətli *Orxan Omer*  ,Sizin *23,12,2024* tarixli sifarişiniz qeydə alındı. Sifariş Məbləğı *245 AZN* , Qalıq *0 AZN* . Hörmətlə  *AlumPro*</v>
      </c>
      <c r="AV290" s="187" t="str">
        <f>"Hörmətli *"&amp;Tablo7[[#This Row],[Müştəri]]&amp;"* , sizin *"&amp;G290&amp;"* tarixli  sifarişiniz hazırdır . Bizi seçdiyiniz üçün minnətdarıq. Hörmətlə  *AlumPro*."</f>
        <v>Hörmətli *Orxan Omer* , sizin *23,12,2024* tarixli  sifarişiniz hazırdır . Bizi seçdiyiniz üçün minnətdarıq. Hörmətlə  *AlumPro*.</v>
      </c>
      <c r="AW290" s="188" t="str">
        <f t="shared" si="84"/>
        <v>Orxan</v>
      </c>
      <c r="AX290" s="189" t="str">
        <f t="shared" si="83"/>
        <v xml:space="preserve">Orxan </v>
      </c>
    </row>
    <row r="291" spans="4:50">
      <c r="D291" s="178">
        <v>39</v>
      </c>
      <c r="E291" s="179" t="s">
        <v>773</v>
      </c>
      <c r="F291" s="179" t="s">
        <v>339</v>
      </c>
      <c r="G291" s="212" t="s">
        <v>6</v>
      </c>
      <c r="H291" s="179" t="s">
        <v>774</v>
      </c>
      <c r="I291" s="179" t="s">
        <v>775</v>
      </c>
      <c r="J291" s="179"/>
      <c r="K291" s="179" t="s">
        <v>194</v>
      </c>
      <c r="L291" s="179"/>
      <c r="M291" s="179" t="str">
        <f>_xlfn.XLOOKUP(Tablo7[[#This Row],[Yan Profili]],Anbar!$J$3:$J$1000,Anbar!$H$3:$H$1000,"Tapilmadi")</f>
        <v>Tapilmadi</v>
      </c>
      <c r="N291" s="179">
        <v>2</v>
      </c>
      <c r="O291" s="179">
        <v>46</v>
      </c>
      <c r="P291" s="179" t="s">
        <v>195</v>
      </c>
      <c r="Q291" s="179" t="str">
        <f>_xlfn.XLOOKUP(Tablo7[[#This Row],[Qulp növü]],Anbar!$J$3:$J$1000,Anbar!$H$3:$H$1000,"Tapilmadi")</f>
        <v>Tapilmadi</v>
      </c>
      <c r="R291" s="179">
        <v>0</v>
      </c>
      <c r="S291" s="180">
        <v>0</v>
      </c>
      <c r="T291" s="181"/>
      <c r="U291" s="179" t="str">
        <f>_xlfn.XLOOKUP(Tablo7[[#This Row],[Petlə]],Anbar!$J$3:$J$1000,Anbar!$H$3:$H$1000,"Tapilmadi")</f>
        <v>Tapilmadi</v>
      </c>
      <c r="V291" s="181">
        <v>0</v>
      </c>
      <c r="W291" s="180">
        <v>20</v>
      </c>
      <c r="X291" s="269">
        <v>58</v>
      </c>
      <c r="Y291" s="179" t="s">
        <v>199</v>
      </c>
      <c r="Z291" s="182">
        <v>0</v>
      </c>
      <c r="AA291" s="180">
        <v>30</v>
      </c>
      <c r="AB291" s="180"/>
      <c r="AC291" s="179" t="str">
        <f>_xlfn.XLOOKUP(Tablo7[[#This Row],[Bağlantı]],Anbar!$J$3:$J$1000,Anbar!$H$3:$H$1000,"Tapilmadi")</f>
        <v>Tapilmadi</v>
      </c>
      <c r="AD291" s="179"/>
      <c r="AE291" s="180">
        <v>24</v>
      </c>
      <c r="AF291" s="180"/>
      <c r="AG291" s="179" t="str">
        <f>_xlfn.XLOOKUP(Tablo7[[#This Row],[Mexanizm]],Anbar!$J$3:$J$1000,Anbar!$H$3:$H$1000,"Tapilmadi")</f>
        <v>Tapilmadi</v>
      </c>
      <c r="AH291" s="179">
        <v>1</v>
      </c>
      <c r="AI291" s="180">
        <v>0</v>
      </c>
      <c r="AJ291" s="180">
        <v>12</v>
      </c>
      <c r="AK291" s="180">
        <v>30</v>
      </c>
      <c r="AL291" s="180"/>
      <c r="AM291" s="180">
        <v>220</v>
      </c>
      <c r="AN291" s="180"/>
      <c r="AO291" s="180">
        <v>220</v>
      </c>
      <c r="AP291" s="194">
        <f>Tablo7[[#This Row],[Ümumi məbləğ]]-Tablo7[[#This Row],[Ödəniş]]-Tablo7[[#This Row],[Endirim]]</f>
        <v>0</v>
      </c>
      <c r="AQ291" s="183" t="str">
        <f t="shared" si="81"/>
        <v>Mesaj</v>
      </c>
      <c r="AR291" s="183" t="str">
        <f t="shared" si="82"/>
        <v>Mesaj</v>
      </c>
      <c r="AS291" s="184" t="str">
        <f>IF(ISNA(VLOOKUP(Tablo7[[#This Row],[Sifariş kodu]],'Kəsim ve təhvil'!$E$5:$E1289,1,0)),"Qəbul edilməyib","Qəbul edilib")</f>
        <v>Qəbul edilməyib</v>
      </c>
      <c r="AT291" s="185" t="str">
        <f>IF(ISNA(VLOOKUP(Tablo7[[#This Row],[Sifariş kodu]],'Kəsim ve təhvil'!$H$5:$H1289,1,0)),"Anbardadır","Təhvil verilib")</f>
        <v>Anbardadır</v>
      </c>
      <c r="AU291" s="186" t="str">
        <f>"Hörmətli *"&amp;Tablo7[[#This Row],[Müştəri]]&amp;"*  ,Sizin *"&amp;G291&amp;"* tarixli sifarişiniz qeydə alındı. Sifariş Məbləğı *"&amp;AM291&amp;" AZN* , Qalıq *"&amp;AP291&amp;" AZN* . Hörmətlə  *AlumPro*"</f>
        <v>Hörmətli *Kenan Bileceri*  ,Sizin *23,12,2024* tarixli sifarişiniz qeydə alındı. Sifariş Məbləğı *220 AZN* , Qalıq *0 AZN* . Hörmətlə  *AlumPro*</v>
      </c>
      <c r="AV291" s="187" t="str">
        <f>"Hörmətli *"&amp;Tablo7[[#This Row],[Müştəri]]&amp;"* , sizin *"&amp;G291&amp;"* tarixli  sifarişiniz hazırdır . Bizi seçdiyiniz üçün minnətdarıq. Hörmətlə  *AlumPro*."</f>
        <v>Hörmətli *Kenan Bileceri* , sizin *23,12,2024* tarixli  sifarişiniz hazırdır . Bizi seçdiyiniz üçün minnətdarıq. Hörmətlə  *AlumPro*.</v>
      </c>
      <c r="AW291" s="188" t="str">
        <f t="shared" si="84"/>
        <v>Kenan</v>
      </c>
      <c r="AX291" s="189" t="str">
        <f t="shared" si="83"/>
        <v xml:space="preserve">Kenan </v>
      </c>
    </row>
    <row r="292" spans="4:50">
      <c r="D292" s="178">
        <v>38</v>
      </c>
      <c r="E292" s="179" t="s">
        <v>776</v>
      </c>
      <c r="F292" s="179" t="s">
        <v>339</v>
      </c>
      <c r="G292" s="212" t="s">
        <v>6</v>
      </c>
      <c r="H292" s="179" t="s">
        <v>263</v>
      </c>
      <c r="I292" s="179" t="s">
        <v>264</v>
      </c>
      <c r="J292" s="179"/>
      <c r="K292" s="179" t="s">
        <v>581</v>
      </c>
      <c r="L292" s="179"/>
      <c r="M292" s="179" t="str">
        <f>_xlfn.XLOOKUP(Tablo7[[#This Row],[Yan Profili]],Anbar!$J$3:$J$1000,Anbar!$H$3:$H$1000,"Tapilmadi")</f>
        <v>Tapilmadi</v>
      </c>
      <c r="N292" s="179">
        <v>6</v>
      </c>
      <c r="O292" s="179">
        <v>283</v>
      </c>
      <c r="P292" s="179"/>
      <c r="Q292" s="179" t="str">
        <f>_xlfn.XLOOKUP(Tablo7[[#This Row],[Qulp növü]],Anbar!$J$3:$J$1000,Anbar!$H$3:$H$1000,"Tapilmadi")</f>
        <v>Tapilmadi</v>
      </c>
      <c r="R292" s="179">
        <v>2</v>
      </c>
      <c r="S292" s="180">
        <v>50</v>
      </c>
      <c r="T292" s="181"/>
      <c r="U292" s="179" t="str">
        <f>_xlfn.XLOOKUP(Tablo7[[#This Row],[Petlə]],Anbar!$J$3:$J$1000,Anbar!$H$3:$H$1000,"Tapilmadi")</f>
        <v>Tapilmadi</v>
      </c>
      <c r="V292" s="181">
        <v>0</v>
      </c>
      <c r="W292" s="180">
        <v>0</v>
      </c>
      <c r="X292" s="269">
        <v>0</v>
      </c>
      <c r="Y292" s="179" t="s">
        <v>490</v>
      </c>
      <c r="Z292" s="182">
        <v>0</v>
      </c>
      <c r="AA292" s="180">
        <v>135</v>
      </c>
      <c r="AB292" s="180"/>
      <c r="AC292" s="179" t="str">
        <f>_xlfn.XLOOKUP(Tablo7[[#This Row],[Bağlantı]],Anbar!$J$3:$J$1000,Anbar!$H$3:$H$1000,"Tapilmadi")</f>
        <v>Tapilmadi</v>
      </c>
      <c r="AD292" s="179"/>
      <c r="AE292" s="180">
        <v>16</v>
      </c>
      <c r="AF292" s="180"/>
      <c r="AG292" s="179" t="str">
        <f>_xlfn.XLOOKUP(Tablo7[[#This Row],[Mexanizm]],Anbar!$J$3:$J$1000,Anbar!$H$3:$H$1000,"Tapilmadi")</f>
        <v>Tapilmadi</v>
      </c>
      <c r="AH292" s="179">
        <v>1</v>
      </c>
      <c r="AI292" s="180">
        <v>0</v>
      </c>
      <c r="AJ292" s="180">
        <v>16</v>
      </c>
      <c r="AK292" s="180">
        <v>60</v>
      </c>
      <c r="AL292" s="180">
        <v>0</v>
      </c>
      <c r="AM292" s="180">
        <v>560</v>
      </c>
      <c r="AN292" s="180"/>
      <c r="AO292" s="180">
        <v>560</v>
      </c>
      <c r="AP292" s="194">
        <f>Tablo7[[#This Row],[Ümumi məbləğ]]-Tablo7[[#This Row],[Ödəniş]]-Tablo7[[#This Row],[Endirim]]</f>
        <v>0</v>
      </c>
      <c r="AQ292" s="183" t="str">
        <f t="shared" si="81"/>
        <v>Mesaj</v>
      </c>
      <c r="AR292" s="183" t="str">
        <f t="shared" si="82"/>
        <v>Mesaj</v>
      </c>
      <c r="AS292" s="184" t="str">
        <f>IF(ISNA(VLOOKUP(Tablo7[[#This Row],[Sifariş kodu]],'Kəsim ve təhvil'!$E$5:$E1290,1,0)),"Qəbul edilməyib","Qəbul edilib")</f>
        <v>Qəbul edilməyib</v>
      </c>
      <c r="AT292" s="185" t="str">
        <f>IF(ISNA(VLOOKUP(Tablo7[[#This Row],[Sifariş kodu]],'Kəsim ve təhvil'!$H$5:$H1290,1,0)),"Anbardadır","Təhvil verilib")</f>
        <v>Anbardadır</v>
      </c>
      <c r="AU292" s="186" t="str">
        <f>"Hörmətli *"&amp;Tablo7[[#This Row],[Müştəri]]&amp;"*  ,Sizin *"&amp;G292&amp;"* tarixli sifarişiniz qeydə alındı. Sifariş Məbləğı *"&amp;AM292&amp;" AZN* , Qalıq *"&amp;AP292&amp;" AZN* . Hörmətlə  *AlumPro*"</f>
        <v>Hörmətli *Ferman Mebel*  ,Sizin *23,12,2024* tarixli sifarişiniz qeydə alındı. Sifariş Məbləğı *560 AZN* , Qalıq *0 AZN* . Hörmətlə  *AlumPro*</v>
      </c>
      <c r="AV292" s="187" t="str">
        <f>"Hörmətli *"&amp;Tablo7[[#This Row],[Müştəri]]&amp;"* , sizin *"&amp;G292&amp;"* tarixli  sifarişiniz hazırdır . Bizi seçdiyiniz üçün minnətdarıq. Hörmətlə  *AlumPro*."</f>
        <v>Hörmətli *Ferman Mebel* , sizin *23,12,2024* tarixli  sifarişiniz hazırdır . Bizi seçdiyiniz üçün minnətdarıq. Hörmətlə  *AlumPro*.</v>
      </c>
      <c r="AW292" s="188" t="str">
        <f t="shared" si="84"/>
        <v>Ferman</v>
      </c>
      <c r="AX292" s="189" t="str">
        <f t="shared" si="83"/>
        <v xml:space="preserve">Ferman </v>
      </c>
    </row>
    <row r="293" spans="4:50">
      <c r="D293" s="178">
        <v>37</v>
      </c>
      <c r="E293" s="179" t="s">
        <v>777</v>
      </c>
      <c r="F293" s="179" t="s">
        <v>339</v>
      </c>
      <c r="G293" s="212" t="s">
        <v>6</v>
      </c>
      <c r="H293" s="179" t="s">
        <v>349</v>
      </c>
      <c r="I293" s="179" t="s">
        <v>350</v>
      </c>
      <c r="J293" s="179"/>
      <c r="K293" s="179" t="s">
        <v>266</v>
      </c>
      <c r="L293" s="179"/>
      <c r="M293" s="179" t="str">
        <f>_xlfn.XLOOKUP(Tablo7[[#This Row],[Yan Profili]],Anbar!$J$3:$J$1000,Anbar!$H$3:$H$1000,"Tapilmadi")</f>
        <v>Tapilmadi</v>
      </c>
      <c r="N293" s="179">
        <v>2</v>
      </c>
      <c r="O293" s="179">
        <v>250</v>
      </c>
      <c r="P293" s="179">
        <v>0</v>
      </c>
      <c r="Q293" s="179" t="str">
        <f>_xlfn.XLOOKUP(Tablo7[[#This Row],[Qulp növü]],Anbar!$J$3:$J$1000,Anbar!$H$3:$H$1000,"Tapilmadi")</f>
        <v>Tapilmadi</v>
      </c>
      <c r="R293" s="179">
        <v>0</v>
      </c>
      <c r="S293" s="180">
        <v>0</v>
      </c>
      <c r="T293" s="181"/>
      <c r="U293" s="179" t="str">
        <f>_xlfn.XLOOKUP(Tablo7[[#This Row],[Petlə]],Anbar!$J$3:$J$1000,Anbar!$H$3:$H$1000,"Tapilmadi")</f>
        <v>Tapilmadi</v>
      </c>
      <c r="V293" s="181">
        <v>0</v>
      </c>
      <c r="W293" s="180">
        <v>0</v>
      </c>
      <c r="X293" s="269">
        <v>0</v>
      </c>
      <c r="Y293" s="179" t="s">
        <v>36</v>
      </c>
      <c r="Z293" s="182">
        <v>0</v>
      </c>
      <c r="AA293" s="180">
        <v>122</v>
      </c>
      <c r="AB293" s="180"/>
      <c r="AC293" s="179" t="str">
        <f>_xlfn.XLOOKUP(Tablo7[[#This Row],[Bağlantı]],Anbar!$J$3:$J$1000,Anbar!$H$3:$H$1000,"Tapilmadi")</f>
        <v>Tapilmadi</v>
      </c>
      <c r="AD293" s="179"/>
      <c r="AE293" s="180">
        <v>0</v>
      </c>
      <c r="AF293" s="180"/>
      <c r="AG293" s="179" t="str">
        <f>_xlfn.XLOOKUP(Tablo7[[#This Row],[Mexanizm]],Anbar!$J$3:$J$1000,Anbar!$H$3:$H$1000,"Tapilmadi")</f>
        <v>Tapilmadi</v>
      </c>
      <c r="AH293" s="179">
        <v>1</v>
      </c>
      <c r="AI293" s="180">
        <v>180</v>
      </c>
      <c r="AJ293" s="180">
        <v>0</v>
      </c>
      <c r="AK293" s="180">
        <v>60</v>
      </c>
      <c r="AL293" s="180">
        <v>0</v>
      </c>
      <c r="AM293" s="180">
        <v>612</v>
      </c>
      <c r="AN293" s="180"/>
      <c r="AO293" s="180">
        <v>550</v>
      </c>
      <c r="AP293" s="194">
        <f>Tablo7[[#This Row],[Ümumi məbləğ]]-Tablo7[[#This Row],[Ödəniş]]-Tablo7[[#This Row],[Endirim]]</f>
        <v>62</v>
      </c>
      <c r="AQ293" s="183" t="str">
        <f t="shared" si="81"/>
        <v>Mesaj</v>
      </c>
      <c r="AR293" s="183" t="str">
        <f t="shared" si="82"/>
        <v>Mesaj</v>
      </c>
      <c r="AS293" s="184" t="str">
        <f>IF(ISNA(VLOOKUP(Tablo7[[#This Row],[Sifariş kodu]],'Kəsim ve təhvil'!$E$5:$E1291,1,0)),"Qəbul edilməyib","Qəbul edilib")</f>
        <v>Qəbul edilməyib</v>
      </c>
      <c r="AT293" s="185" t="str">
        <f>IF(ISNA(VLOOKUP(Tablo7[[#This Row],[Sifariş kodu]],'Kəsim ve təhvil'!$H$5:$H1291,1,0)),"Anbardadır","Təhvil verilib")</f>
        <v>Anbardadır</v>
      </c>
      <c r="AU293" s="186" t="str">
        <f>"Hörmətli *"&amp;Tablo7[[#This Row],[Müştəri]]&amp;"*  ,Sizin *"&amp;G293&amp;"* tarixli sifarişiniz qeydə alındı. Sifariş Məbləğı *"&amp;AM293&amp;" AZN* , Qalıq *"&amp;AP293&amp;" AZN* . Hörmətlə  *AlumPro*"</f>
        <v>Hörmətli *Cosqun Mebel Sex*  ,Sizin *23,12,2024* tarixli sifarişiniz qeydə alındı. Sifariş Məbləğı *612 AZN* , Qalıq *62 AZN* . Hörmətlə  *AlumPro*</v>
      </c>
      <c r="AV293" s="187" t="str">
        <f>"Hörmətli *"&amp;Tablo7[[#This Row],[Müştəri]]&amp;"* , sizin *"&amp;G293&amp;"* tarixli  sifarişiniz hazırdır . Bizi seçdiyiniz üçün minnətdarıq. Hörmətlə  *AlumPro*."</f>
        <v>Hörmətli *Cosqun Mebel Sex* , sizin *23,12,2024* tarixli  sifarişiniz hazırdır . Bizi seçdiyiniz üçün minnətdarıq. Hörmətlə  *AlumPro*.</v>
      </c>
      <c r="AW293" s="188" t="str">
        <f t="shared" si="84"/>
        <v>Cosqun</v>
      </c>
      <c r="AX293" s="189" t="str">
        <f t="shared" si="83"/>
        <v xml:space="preserve">Cosqun </v>
      </c>
    </row>
    <row r="294" spans="4:50">
      <c r="D294" s="178">
        <v>36</v>
      </c>
      <c r="E294" s="179" t="s">
        <v>778</v>
      </c>
      <c r="F294" s="179" t="s">
        <v>339</v>
      </c>
      <c r="G294" s="212" t="s">
        <v>6</v>
      </c>
      <c r="H294" s="179" t="s">
        <v>349</v>
      </c>
      <c r="I294" s="179" t="s">
        <v>350</v>
      </c>
      <c r="J294" s="179"/>
      <c r="K294" s="179" t="s">
        <v>183</v>
      </c>
      <c r="L294" s="179"/>
      <c r="M294" s="179" t="str">
        <f>_xlfn.XLOOKUP(Tablo7[[#This Row],[Yan Profili]],Anbar!$J$3:$J$1000,Anbar!$H$3:$H$1000,"Tapilmadi")</f>
        <v>Tapilmadi</v>
      </c>
      <c r="N294" s="179">
        <v>21</v>
      </c>
      <c r="O294" s="179">
        <v>483</v>
      </c>
      <c r="P294" s="179" t="s">
        <v>184</v>
      </c>
      <c r="Q294" s="179" t="str">
        <f>_xlfn.XLOOKUP(Tablo7[[#This Row],[Qulp növü]],Anbar!$J$3:$J$1000,Anbar!$H$3:$H$1000,"Tapilmadi")</f>
        <v>Tapilmadi</v>
      </c>
      <c r="R294" s="179">
        <v>18</v>
      </c>
      <c r="S294" s="180">
        <v>468</v>
      </c>
      <c r="T294" s="181"/>
      <c r="U294" s="179" t="str">
        <f>_xlfn.XLOOKUP(Tablo7[[#This Row],[Petlə]],Anbar!$J$3:$J$1000,Anbar!$H$3:$H$1000,"Tapilmadi")</f>
        <v>Tapilmadi</v>
      </c>
      <c r="V294" s="181">
        <v>0</v>
      </c>
      <c r="W294" s="180">
        <v>0</v>
      </c>
      <c r="X294" s="269">
        <v>117</v>
      </c>
      <c r="Y294" s="179" t="s">
        <v>36</v>
      </c>
      <c r="Z294" s="182">
        <v>0</v>
      </c>
      <c r="AA294" s="180">
        <v>500</v>
      </c>
      <c r="AB294" s="180"/>
      <c r="AC294" s="179" t="str">
        <f>_xlfn.XLOOKUP(Tablo7[[#This Row],[Bağlantı]],Anbar!$J$3:$J$1000,Anbar!$H$3:$H$1000,"Tapilmadi")</f>
        <v>Tapilmadi</v>
      </c>
      <c r="AD294" s="179"/>
      <c r="AE294" s="180">
        <v>72</v>
      </c>
      <c r="AF294" s="180"/>
      <c r="AG294" s="179" t="str">
        <f>_xlfn.XLOOKUP(Tablo7[[#This Row],[Mexanizm]],Anbar!$J$3:$J$1000,Anbar!$H$3:$H$1000,"Tapilmadi")</f>
        <v>Tapilmadi</v>
      </c>
      <c r="AH294" s="179">
        <v>1</v>
      </c>
      <c r="AI294" s="180">
        <v>0</v>
      </c>
      <c r="AJ294" s="180">
        <v>90</v>
      </c>
      <c r="AK294" s="180">
        <v>270</v>
      </c>
      <c r="AL294" s="180">
        <v>0</v>
      </c>
      <c r="AM294" s="180">
        <v>2000</v>
      </c>
      <c r="AN294" s="180"/>
      <c r="AO294" s="180">
        <v>2000</v>
      </c>
      <c r="AP294" s="194">
        <f>Tablo7[[#This Row],[Ümumi məbləğ]]-Tablo7[[#This Row],[Ödəniş]]-Tablo7[[#This Row],[Endirim]]</f>
        <v>0</v>
      </c>
      <c r="AQ294" s="183" t="str">
        <f t="shared" si="81"/>
        <v>Mesaj</v>
      </c>
      <c r="AR294" s="183" t="str">
        <f t="shared" si="82"/>
        <v>Mesaj</v>
      </c>
      <c r="AS294" s="184" t="str">
        <f>IF(ISNA(VLOOKUP(Tablo7[[#This Row],[Sifariş kodu]],'Kəsim ve təhvil'!$E$5:$E1292,1,0)),"Qəbul edilməyib","Qəbul edilib")</f>
        <v>Qəbul edilməyib</v>
      </c>
      <c r="AT294" s="185" t="str">
        <f>IF(ISNA(VLOOKUP(Tablo7[[#This Row],[Sifariş kodu]],'Kəsim ve təhvil'!$H$5:$H1292,1,0)),"Anbardadır","Təhvil verilib")</f>
        <v>Anbardadır</v>
      </c>
      <c r="AU294" s="186" t="str">
        <f>"Hörmətli *"&amp;Tablo7[[#This Row],[Müştəri]]&amp;"*  ,Sizin *"&amp;G294&amp;"* tarixli sifarişiniz qeydə alındı. Sifariş Məbləğı *"&amp;AM294&amp;" AZN* , Qalıq *"&amp;AP294&amp;" AZN* . Hörmətlə  *AlumPro*"</f>
        <v>Hörmətli *Cosqun Mebel Sex*  ,Sizin *23,12,2024* tarixli sifarişiniz qeydə alındı. Sifariş Məbləğı *2000 AZN* , Qalıq *0 AZN* . Hörmətlə  *AlumPro*</v>
      </c>
      <c r="AV294" s="187" t="str">
        <f>"Hörmətli *"&amp;Tablo7[[#This Row],[Müştəri]]&amp;"* , sizin *"&amp;G294&amp;"* tarixli  sifarişiniz hazırdır . Bizi seçdiyiniz üçün minnətdarıq. Hörmətlə  *AlumPro*."</f>
        <v>Hörmətli *Cosqun Mebel Sex* , sizin *23,12,2024* tarixli  sifarişiniz hazırdır . Bizi seçdiyiniz üçün minnətdarıq. Hörmətlə  *AlumPro*.</v>
      </c>
      <c r="AW294" s="188" t="str">
        <f t="shared" si="84"/>
        <v>Cosqun</v>
      </c>
      <c r="AX294" s="189" t="str">
        <f t="shared" si="83"/>
        <v xml:space="preserve">Cosqun </v>
      </c>
    </row>
    <row r="295" spans="4:50">
      <c r="D295" s="178">
        <v>35</v>
      </c>
      <c r="E295" s="179" t="s">
        <v>779</v>
      </c>
      <c r="F295" s="179" t="s">
        <v>339</v>
      </c>
      <c r="G295" s="212" t="s">
        <v>6</v>
      </c>
      <c r="H295" s="179" t="s">
        <v>412</v>
      </c>
      <c r="I295" s="179" t="s">
        <v>413</v>
      </c>
      <c r="J295" s="179" t="s">
        <v>780</v>
      </c>
      <c r="K295" s="179" t="s">
        <v>189</v>
      </c>
      <c r="L295" s="179"/>
      <c r="M295" s="179" t="str">
        <f>_xlfn.XLOOKUP(Tablo7[[#This Row],[Yan Profili]],Anbar!$J$3:$J$1000,Anbar!$H$3:$H$1000,"Tapilmadi")</f>
        <v>Tapilmadi</v>
      </c>
      <c r="N295" s="179">
        <v>7</v>
      </c>
      <c r="O295" s="179">
        <v>161</v>
      </c>
      <c r="P295" s="179" t="s">
        <v>184</v>
      </c>
      <c r="Q295" s="179" t="str">
        <f>_xlfn.XLOOKUP(Tablo7[[#This Row],[Qulp növü]],Anbar!$J$3:$J$1000,Anbar!$H$3:$H$1000,"Tapilmadi")</f>
        <v>Tapilmadi</v>
      </c>
      <c r="R295" s="179">
        <v>5</v>
      </c>
      <c r="S295" s="180">
        <v>130</v>
      </c>
      <c r="T295" s="181"/>
      <c r="U295" s="179" t="str">
        <f>_xlfn.XLOOKUP(Tablo7[[#This Row],[Petlə]],Anbar!$J$3:$J$1000,Anbar!$H$3:$H$1000,"Tapilmadi")</f>
        <v>Tapilmadi</v>
      </c>
      <c r="V295" s="181">
        <v>0</v>
      </c>
      <c r="W295" s="180">
        <v>0</v>
      </c>
      <c r="X295" s="269">
        <v>0</v>
      </c>
      <c r="Y295" s="179" t="s">
        <v>276</v>
      </c>
      <c r="Z295" s="182">
        <v>0</v>
      </c>
      <c r="AA295" s="180">
        <v>294</v>
      </c>
      <c r="AB295" s="180"/>
      <c r="AC295" s="179" t="str">
        <f>_xlfn.XLOOKUP(Tablo7[[#This Row],[Bağlantı]],Anbar!$J$3:$J$1000,Anbar!$H$3:$H$1000,"Tapilmadi")</f>
        <v>Tapilmadi</v>
      </c>
      <c r="AD295" s="179"/>
      <c r="AE295" s="180">
        <v>20</v>
      </c>
      <c r="AF295" s="180"/>
      <c r="AG295" s="179" t="str">
        <f>_xlfn.XLOOKUP(Tablo7[[#This Row],[Mexanizm]],Anbar!$J$3:$J$1000,Anbar!$H$3:$H$1000,"Tapilmadi")</f>
        <v>Tapilmadi</v>
      </c>
      <c r="AH295" s="179">
        <v>1</v>
      </c>
      <c r="AI295" s="180">
        <v>0</v>
      </c>
      <c r="AJ295" s="180">
        <v>20</v>
      </c>
      <c r="AK295" s="180">
        <v>75</v>
      </c>
      <c r="AL295" s="180">
        <v>0</v>
      </c>
      <c r="AM295" s="180">
        <v>722</v>
      </c>
      <c r="AN295" s="180">
        <v>22</v>
      </c>
      <c r="AO295" s="180">
        <v>700</v>
      </c>
      <c r="AP295" s="194">
        <f>Tablo7[[#This Row],[Ümumi məbləğ]]-Tablo7[[#This Row],[Ödəniş]]-Tablo7[[#This Row],[Endirim]]</f>
        <v>0</v>
      </c>
      <c r="AQ295" s="183" t="str">
        <f t="shared" si="81"/>
        <v>Mesaj</v>
      </c>
      <c r="AR295" s="183" t="str">
        <f t="shared" si="82"/>
        <v>Mesaj</v>
      </c>
      <c r="AS295" s="184" t="str">
        <f>IF(ISNA(VLOOKUP(Tablo7[[#This Row],[Sifariş kodu]],'Kəsim ve təhvil'!$E$5:$E1293,1,0)),"Qəbul edilməyib","Qəbul edilib")</f>
        <v>Qəbul edilməyib</v>
      </c>
      <c r="AT295" s="185" t="str">
        <f>IF(ISNA(VLOOKUP(Tablo7[[#This Row],[Sifariş kodu]],'Kəsim ve təhvil'!$H$5:$H1293,1,0)),"Anbardadır","Təhvil verilib")</f>
        <v>Anbardadır</v>
      </c>
      <c r="AU295" s="186" t="str">
        <f>"Hörmətli *"&amp;Tablo7[[#This Row],[Müştəri]]&amp;"*  ,Sizin *"&amp;G295&amp;"* tarixli sifarişiniz qeydə alındı. Sifariş Məbləğı *"&amp;AM295&amp;" AZN* , Qalıq *"&amp;AP295&amp;" AZN* . Hörmətlə  *AlumPro*"</f>
        <v>Hörmətli *Hikmet Qalib*  ,Sizin *23,12,2024* tarixli sifarişiniz qeydə alındı. Sifariş Məbləğı *722 AZN* , Qalıq *0 AZN* . Hörmətlə  *AlumPro*</v>
      </c>
      <c r="AV295" s="187" t="str">
        <f>"Hörmətli *"&amp;Tablo7[[#This Row],[Müştəri]]&amp;"* , sizin *"&amp;G295&amp;"* tarixli  sifarişiniz hazırdır . Bizi seçdiyiniz üçün minnətdarıq. Hörmətlə  *AlumPro*."</f>
        <v>Hörmətli *Hikmet Qalib* , sizin *23,12,2024* tarixli  sifarişiniz hazırdır . Bizi seçdiyiniz üçün minnətdarıq. Hörmətlə  *AlumPro*.</v>
      </c>
      <c r="AW295" s="188" t="str">
        <f t="shared" si="84"/>
        <v>Hikmet</v>
      </c>
      <c r="AX295" s="189" t="str">
        <f t="shared" si="83"/>
        <v xml:space="preserve">Hikmet </v>
      </c>
    </row>
    <row r="296" spans="4:50">
      <c r="D296" s="178">
        <v>33</v>
      </c>
      <c r="E296" s="179" t="s">
        <v>781</v>
      </c>
      <c r="F296" s="179" t="s">
        <v>339</v>
      </c>
      <c r="G296" s="212" t="s">
        <v>6</v>
      </c>
      <c r="H296" s="179" t="s">
        <v>695</v>
      </c>
      <c r="I296" s="179" t="s">
        <v>696</v>
      </c>
      <c r="J296" s="179"/>
      <c r="K296" s="179" t="s">
        <v>189</v>
      </c>
      <c r="L296" s="179"/>
      <c r="M296" s="179" t="str">
        <f>_xlfn.XLOOKUP(Tablo7[[#This Row],[Yan Profili]],Anbar!$J$3:$J$1000,Anbar!$H$3:$H$1000,"Tapilmadi")</f>
        <v>Tapilmadi</v>
      </c>
      <c r="N296" s="179">
        <v>2</v>
      </c>
      <c r="O296" s="179">
        <v>46</v>
      </c>
      <c r="P296" s="179" t="s">
        <v>184</v>
      </c>
      <c r="Q296" s="179" t="str">
        <f>_xlfn.XLOOKUP(Tablo7[[#This Row],[Qulp növü]],Anbar!$J$3:$J$1000,Anbar!$H$3:$H$1000,"Tapilmadi")</f>
        <v>Tapilmadi</v>
      </c>
      <c r="R296" s="179">
        <v>1</v>
      </c>
      <c r="S296" s="180">
        <v>26</v>
      </c>
      <c r="T296" s="181"/>
      <c r="U296" s="179" t="str">
        <f>_xlfn.XLOOKUP(Tablo7[[#This Row],[Petlə]],Anbar!$J$3:$J$1000,Anbar!$H$3:$H$1000,"Tapilmadi")</f>
        <v>Tapilmadi</v>
      </c>
      <c r="V296" s="181">
        <v>0</v>
      </c>
      <c r="W296" s="180">
        <v>0</v>
      </c>
      <c r="X296" s="269">
        <v>0</v>
      </c>
      <c r="Y296" s="179"/>
      <c r="Z296" s="182">
        <v>0</v>
      </c>
      <c r="AA296" s="180">
        <v>29</v>
      </c>
      <c r="AB296" s="180"/>
      <c r="AC296" s="179" t="str">
        <f>_xlfn.XLOOKUP(Tablo7[[#This Row],[Bağlantı]],Anbar!$J$3:$J$1000,Anbar!$H$3:$H$1000,"Tapilmadi")</f>
        <v>Tapilmadi</v>
      </c>
      <c r="AD296" s="179"/>
      <c r="AE296" s="180">
        <v>4</v>
      </c>
      <c r="AF296" s="180"/>
      <c r="AG296" s="179" t="str">
        <f>_xlfn.XLOOKUP(Tablo7[[#This Row],[Mexanizm]],Anbar!$J$3:$J$1000,Anbar!$H$3:$H$1000,"Tapilmadi")</f>
        <v>Tapilmadi</v>
      </c>
      <c r="AH296" s="179">
        <v>1</v>
      </c>
      <c r="AI296" s="180">
        <v>0</v>
      </c>
      <c r="AJ296" s="180">
        <v>4</v>
      </c>
      <c r="AK296" s="180">
        <v>16</v>
      </c>
      <c r="AL296" s="180">
        <v>0</v>
      </c>
      <c r="AM296" s="180">
        <v>125</v>
      </c>
      <c r="AN296" s="180"/>
      <c r="AO296" s="180">
        <v>125</v>
      </c>
      <c r="AP296" s="194">
        <f>Tablo7[[#This Row],[Ümumi məbləğ]]-Tablo7[[#This Row],[Ödəniş]]-Tablo7[[#This Row],[Endirim]]</f>
        <v>0</v>
      </c>
      <c r="AQ296" s="183" t="str">
        <f t="shared" si="81"/>
        <v>Mesaj</v>
      </c>
      <c r="AR296" s="183" t="str">
        <f t="shared" si="82"/>
        <v>Mesaj</v>
      </c>
      <c r="AS296" s="184" t="str">
        <f>IF(ISNA(VLOOKUP(Tablo7[[#This Row],[Sifariş kodu]],'Kəsim ve təhvil'!$E$5:$E1294,1,0)),"Qəbul edilməyib","Qəbul edilib")</f>
        <v>Qəbul edilməyib</v>
      </c>
      <c r="AT296" s="185" t="str">
        <f>IF(ISNA(VLOOKUP(Tablo7[[#This Row],[Sifariş kodu]],'Kəsim ve təhvil'!$H$5:$H1294,1,0)),"Anbardadır","Təhvil verilib")</f>
        <v>Anbardadır</v>
      </c>
      <c r="AU296" s="186" t="str">
        <f>"Hörmətli *"&amp;Tablo7[[#This Row],[Müştəri]]&amp;"*  ,Sizin *"&amp;G296&amp;"* tarixli sifarişiniz qeydə alındı. Sifariş Məbləğı *"&amp;AM296&amp;" AZN* , Qalıq *"&amp;AP296&amp;" AZN* . Hörmətlə  *AlumPro*"</f>
        <v>Hörmətli *Taleh Kesle Ulduz*  ,Sizin *23,12,2024* tarixli sifarişiniz qeydə alındı. Sifariş Məbləğı *125 AZN* , Qalıq *0 AZN* . Hörmətlə  *AlumPro*</v>
      </c>
      <c r="AV296" s="187" t="str">
        <f>"Hörmətli *"&amp;Tablo7[[#This Row],[Müştəri]]&amp;"* , sizin *"&amp;G296&amp;"* tarixli  sifarişiniz hazırdır . Bizi seçdiyiniz üçün minnətdarıq. Hörmətlə  *AlumPro*."</f>
        <v>Hörmətli *Taleh Kesle Ulduz* , sizin *23,12,2024* tarixli  sifarişiniz hazırdır . Bizi seçdiyiniz üçün minnətdarıq. Hörmətlə  *AlumPro*.</v>
      </c>
      <c r="AW296" s="188" t="str">
        <f t="shared" si="84"/>
        <v>Taleh</v>
      </c>
      <c r="AX296" s="189" t="str">
        <f t="shared" si="83"/>
        <v xml:space="preserve">Taleh </v>
      </c>
    </row>
    <row r="297" spans="4:50">
      <c r="D297" s="178">
        <v>32</v>
      </c>
      <c r="E297" s="179" t="s">
        <v>782</v>
      </c>
      <c r="F297" s="179" t="s">
        <v>339</v>
      </c>
      <c r="G297" s="212" t="s">
        <v>6</v>
      </c>
      <c r="H297" s="179" t="s">
        <v>192</v>
      </c>
      <c r="I297" s="179" t="s">
        <v>193</v>
      </c>
      <c r="J297" s="179" t="s">
        <v>783</v>
      </c>
      <c r="K297" s="179" t="s">
        <v>183</v>
      </c>
      <c r="L297" s="179"/>
      <c r="M297" s="179" t="str">
        <f>_xlfn.XLOOKUP(Tablo7[[#This Row],[Yan Profili]],Anbar!$J$3:$J$1000,Anbar!$H$3:$H$1000,"Tapilmadi")</f>
        <v>Tapilmadi</v>
      </c>
      <c r="N297" s="179">
        <v>2</v>
      </c>
      <c r="O297" s="179">
        <v>46</v>
      </c>
      <c r="P297" s="179" t="s">
        <v>195</v>
      </c>
      <c r="Q297" s="179" t="str">
        <f>_xlfn.XLOOKUP(Tablo7[[#This Row],[Qulp növü]],Anbar!$J$3:$J$1000,Anbar!$H$3:$H$1000,"Tapilmadi")</f>
        <v>Tapilmadi</v>
      </c>
      <c r="R297" s="179">
        <v>0</v>
      </c>
      <c r="S297" s="180">
        <v>0</v>
      </c>
      <c r="T297" s="181"/>
      <c r="U297" s="179" t="str">
        <f>_xlfn.XLOOKUP(Tablo7[[#This Row],[Petlə]],Anbar!$J$3:$J$1000,Anbar!$H$3:$H$1000,"Tapilmadi")</f>
        <v>Tapilmadi</v>
      </c>
      <c r="V297" s="181">
        <v>0</v>
      </c>
      <c r="W297" s="180">
        <v>0</v>
      </c>
      <c r="X297" s="269">
        <v>6</v>
      </c>
      <c r="Y297" s="179"/>
      <c r="Z297" s="182">
        <v>0</v>
      </c>
      <c r="AA297" s="180">
        <v>68</v>
      </c>
      <c r="AB297" s="180"/>
      <c r="AC297" s="179" t="str">
        <f>_xlfn.XLOOKUP(Tablo7[[#This Row],[Bağlantı]],Anbar!$J$3:$J$1000,Anbar!$H$3:$H$1000,"Tapilmadi")</f>
        <v>Tapilmadi</v>
      </c>
      <c r="AD297" s="179"/>
      <c r="AE297" s="180">
        <v>8</v>
      </c>
      <c r="AF297" s="180"/>
      <c r="AG297" s="179" t="str">
        <f>_xlfn.XLOOKUP(Tablo7[[#This Row],[Mexanizm]],Anbar!$J$3:$J$1000,Anbar!$H$3:$H$1000,"Tapilmadi")</f>
        <v>Tapilmadi</v>
      </c>
      <c r="AH297" s="179">
        <v>1</v>
      </c>
      <c r="AI297" s="180">
        <v>0</v>
      </c>
      <c r="AJ297" s="180"/>
      <c r="AK297" s="180">
        <v>27</v>
      </c>
      <c r="AL297" s="180">
        <v>0</v>
      </c>
      <c r="AM297" s="180">
        <v>155</v>
      </c>
      <c r="AN297" s="180"/>
      <c r="AO297" s="180">
        <v>155</v>
      </c>
      <c r="AP297" s="194">
        <f>Tablo7[[#This Row],[Ümumi məbləğ]]-Tablo7[[#This Row],[Ödəniş]]-Tablo7[[#This Row],[Endirim]]</f>
        <v>0</v>
      </c>
      <c r="AQ297" s="183" t="str">
        <f t="shared" si="81"/>
        <v>Mesaj</v>
      </c>
      <c r="AR297" s="183" t="str">
        <f t="shared" si="82"/>
        <v>Mesaj</v>
      </c>
      <c r="AS297" s="184" t="str">
        <f>IF(ISNA(VLOOKUP(Tablo7[[#This Row],[Sifariş kodu]],'Kəsim ve təhvil'!$E$5:$E1295,1,0)),"Qəbul edilməyib","Qəbul edilib")</f>
        <v>Qəbul edilməyib</v>
      </c>
      <c r="AT297" s="185" t="str">
        <f>IF(ISNA(VLOOKUP(Tablo7[[#This Row],[Sifariş kodu]],'Kəsim ve təhvil'!$H$5:$H1295,1,0)),"Anbardadır","Təhvil verilib")</f>
        <v>Anbardadır</v>
      </c>
      <c r="AU297" s="186" t="str">
        <f>"Hörmətli *"&amp;Tablo7[[#This Row],[Müştəri]]&amp;"*  ,Sizin *"&amp;G297&amp;"* tarixli sifarişiniz qeydə alındı. Sifariş Məbləğı *"&amp;AM297&amp;" AZN* , Qalıq *"&amp;AP297&amp;" AZN* . Hörmətlə  *AlumPro*"</f>
        <v>Hörmətli *Aksin Mahmudov*  ,Sizin *23,12,2024* tarixli sifarişiniz qeydə alındı. Sifariş Məbləğı *155 AZN* , Qalıq *0 AZN* . Hörmətlə  *AlumPro*</v>
      </c>
      <c r="AV297" s="187" t="str">
        <f>"Hörmətli *"&amp;Tablo7[[#This Row],[Müştəri]]&amp;"* , sizin *"&amp;G297&amp;"* tarixli  sifarişiniz hazırdır . Bizi seçdiyiniz üçün minnətdarıq. Hörmətlə  *AlumPro*."</f>
        <v>Hörmətli *Aksin Mahmudov* , sizin *23,12,2024* tarixli  sifarişiniz hazırdır . Bizi seçdiyiniz üçün minnətdarıq. Hörmətlə  *AlumPro*.</v>
      </c>
      <c r="AW297" s="188" t="str">
        <f t="shared" si="84"/>
        <v>Aksin</v>
      </c>
      <c r="AX297" s="189" t="str">
        <f t="shared" si="83"/>
        <v xml:space="preserve">Aksin </v>
      </c>
    </row>
    <row r="298" spans="4:50">
      <c r="D298" s="178">
        <v>31</v>
      </c>
      <c r="E298" s="179" t="s">
        <v>784</v>
      </c>
      <c r="F298" s="179" t="s">
        <v>339</v>
      </c>
      <c r="G298" s="212" t="s">
        <v>6</v>
      </c>
      <c r="H298" s="179" t="s">
        <v>479</v>
      </c>
      <c r="I298" s="179" t="s">
        <v>480</v>
      </c>
      <c r="J298" s="179">
        <v>0</v>
      </c>
      <c r="K298" s="179" t="s">
        <v>194</v>
      </c>
      <c r="L298" s="179"/>
      <c r="M298" s="179">
        <f>_xlfn.XLOOKUP(Tablo7[[#This Row],[Yan Profili]],Anbar!$J$3:$J$1000,Anbar!$H$3:$H$1000,"Tapilmadi")</f>
        <v>0</v>
      </c>
      <c r="N298" s="179">
        <v>2</v>
      </c>
      <c r="O298" s="179">
        <v>46</v>
      </c>
      <c r="P298" s="179" t="s">
        <v>195</v>
      </c>
      <c r="Q298" s="179" t="str">
        <f>_xlfn.XLOOKUP(Tablo7[[#This Row],[Qulp növü]],Anbar!$J$3:$J$1000,Anbar!$H$3:$H$1000,"Tapilmadi")</f>
        <v>Tapilmadi</v>
      </c>
      <c r="R298" s="179">
        <v>0</v>
      </c>
      <c r="S298" s="180">
        <v>0</v>
      </c>
      <c r="T298" s="181"/>
      <c r="U298" s="179" t="str">
        <f>_xlfn.XLOOKUP(Tablo7[[#This Row],[Petlə]],Anbar!$J$3:$J$1000,Anbar!$H$3:$H$1000,"Tapilmadi")</f>
        <v>Tapilmadi</v>
      </c>
      <c r="V298" s="181">
        <v>1</v>
      </c>
      <c r="W298" s="180">
        <v>4.5</v>
      </c>
      <c r="X298" s="269">
        <v>0</v>
      </c>
      <c r="Y298" s="179" t="s">
        <v>36</v>
      </c>
      <c r="Z298" s="182">
        <v>0</v>
      </c>
      <c r="AA298" s="180">
        <v>12</v>
      </c>
      <c r="AB298" s="180"/>
      <c r="AC298" s="179" t="str">
        <f>_xlfn.XLOOKUP(Tablo7[[#This Row],[Bağlantı]],Anbar!$J$3:$J$1000,Anbar!$H$3:$H$1000,"Tapilmadi")</f>
        <v>Tapilmadi</v>
      </c>
      <c r="AD298" s="179"/>
      <c r="AE298" s="180">
        <v>4</v>
      </c>
      <c r="AF298" s="180"/>
      <c r="AG298" s="179" t="str">
        <f>_xlfn.XLOOKUP(Tablo7[[#This Row],[Mexanizm]],Anbar!$J$3:$J$1000,Anbar!$H$3:$H$1000,"Tapilmadi")</f>
        <v>Tapilmadi</v>
      </c>
      <c r="AH298" s="179">
        <v>1</v>
      </c>
      <c r="AI298" s="180">
        <v>0</v>
      </c>
      <c r="AJ298" s="180"/>
      <c r="AK298" s="180">
        <v>15</v>
      </c>
      <c r="AL298" s="180">
        <v>0</v>
      </c>
      <c r="AM298" s="180">
        <v>81.5</v>
      </c>
      <c r="AN298" s="180"/>
      <c r="AO298" s="180">
        <v>82</v>
      </c>
      <c r="AP298" s="194">
        <f>Tablo7[[#This Row],[Ümumi məbləğ]]-Tablo7[[#This Row],[Ödəniş]]-Tablo7[[#This Row],[Endirim]]</f>
        <v>-0.5</v>
      </c>
      <c r="AQ298" s="183" t="str">
        <f t="shared" si="81"/>
        <v>Mesaj</v>
      </c>
      <c r="AR298" s="183" t="str">
        <f t="shared" si="82"/>
        <v>Mesaj</v>
      </c>
      <c r="AS298" s="184" t="str">
        <f>IF(ISNA(VLOOKUP(Tablo7[[#This Row],[Sifariş kodu]],'Kəsim ve təhvil'!$E$5:$E1296,1,0)),"Qəbul edilməyib","Qəbul edilib")</f>
        <v>Qəbul edilməyib</v>
      </c>
      <c r="AT298" s="185" t="str">
        <f>IF(ISNA(VLOOKUP(Tablo7[[#This Row],[Sifariş kodu]],'Kəsim ve təhvil'!$H$5:$H1296,1,0)),"Anbardadır","Təhvil verilib")</f>
        <v>Anbardadır</v>
      </c>
      <c r="AU298" s="186" t="str">
        <f>"Hörmətli *"&amp;Tablo7[[#This Row],[Müştəri]]&amp;"*  ,Sizin *"&amp;G298&amp;"* tarixli sifarişiniz qeydə alındı. Sifariş Məbləğı *"&amp;AM298&amp;" AZN* , Qalıq *"&amp;AP298&amp;" AZN* . Hörmətlə  *AlumPro*"</f>
        <v>Hörmətli *Zakir Bmw Servis*  ,Sizin *23,12,2024* tarixli sifarişiniz qeydə alındı. Sifariş Məbləğı *81.5 AZN* , Qalıq *-0.5 AZN* . Hörmətlə  *AlumPro*</v>
      </c>
      <c r="AV298" s="187" t="str">
        <f>"Hörmətli *"&amp;Tablo7[[#This Row],[Müştəri]]&amp;"* , sizin *"&amp;G298&amp;"* tarixli  sifarişiniz hazırdır . Bizi seçdiyiniz üçün minnətdarıq. Hörmətlə  *AlumPro*."</f>
        <v>Hörmətli *Zakir Bmw Servis* , sizin *23,12,2024* tarixli  sifarişiniz hazırdır . Bizi seçdiyiniz üçün minnətdarıq. Hörmətlə  *AlumPro*.</v>
      </c>
      <c r="AW298" s="188" t="str">
        <f t="shared" si="84"/>
        <v>Zakir</v>
      </c>
      <c r="AX298" s="189" t="str">
        <f t="shared" si="83"/>
        <v xml:space="preserve">Zakir </v>
      </c>
    </row>
    <row r="299" spans="4:50">
      <c r="D299" s="178">
        <v>30</v>
      </c>
      <c r="E299" s="179" t="s">
        <v>785</v>
      </c>
      <c r="F299" s="179" t="s">
        <v>339</v>
      </c>
      <c r="G299" s="212" t="s">
        <v>6</v>
      </c>
      <c r="H299" s="179" t="s">
        <v>349</v>
      </c>
      <c r="I299" s="179" t="s">
        <v>350</v>
      </c>
      <c r="J299" s="179">
        <v>0</v>
      </c>
      <c r="K299" s="179"/>
      <c r="L299" s="179"/>
      <c r="M299" s="179" t="str">
        <f>_xlfn.XLOOKUP(Tablo7[[#This Row],[Yan Profili]],Anbar!$J$3:$J$1000,Anbar!$H$3:$H$1000,"Tapilmadi")</f>
        <v>Tapilmadi</v>
      </c>
      <c r="N299" s="179">
        <v>0</v>
      </c>
      <c r="O299" s="179">
        <v>0</v>
      </c>
      <c r="P299" s="179">
        <v>0</v>
      </c>
      <c r="Q299" s="179" t="str">
        <f>_xlfn.XLOOKUP(Tablo7[[#This Row],[Qulp növü]],Anbar!$J$3:$J$1000,Anbar!$H$3:$H$1000,"Tapilmadi")</f>
        <v>Tapilmadi</v>
      </c>
      <c r="R299" s="179">
        <v>0</v>
      </c>
      <c r="S299" s="180">
        <v>0</v>
      </c>
      <c r="T299" s="181"/>
      <c r="U299" s="179" t="str">
        <f>_xlfn.XLOOKUP(Tablo7[[#This Row],[Petlə]],Anbar!$J$3:$J$1000,Anbar!$H$3:$H$1000,"Tapilmadi")</f>
        <v>Tapilmadi</v>
      </c>
      <c r="V299" s="181">
        <v>0</v>
      </c>
      <c r="W299" s="180">
        <v>0</v>
      </c>
      <c r="X299" s="269">
        <v>0</v>
      </c>
      <c r="Y299" s="179" t="s">
        <v>36</v>
      </c>
      <c r="Z299" s="182">
        <v>0</v>
      </c>
      <c r="AA299" s="180">
        <v>0</v>
      </c>
      <c r="AB299" s="180"/>
      <c r="AC299" s="179" t="str">
        <f>_xlfn.XLOOKUP(Tablo7[[#This Row],[Bağlantı]],Anbar!$J$3:$J$1000,Anbar!$H$3:$H$1000,"Tapilmadi")</f>
        <v>Tapilmadi</v>
      </c>
      <c r="AD299" s="179"/>
      <c r="AE299" s="180">
        <v>0</v>
      </c>
      <c r="AF299" s="180"/>
      <c r="AG299" s="179" t="str">
        <f>_xlfn.XLOOKUP(Tablo7[[#This Row],[Mexanizm]],Anbar!$J$3:$J$1000,Anbar!$H$3:$H$1000,"Tapilmadi")</f>
        <v>Tapilmadi</v>
      </c>
      <c r="AH299" s="179">
        <v>1</v>
      </c>
      <c r="AI299" s="180">
        <v>180</v>
      </c>
      <c r="AJ299" s="180"/>
      <c r="AK299" s="180">
        <v>0</v>
      </c>
      <c r="AL299" s="180">
        <v>0</v>
      </c>
      <c r="AM299" s="180">
        <v>180</v>
      </c>
      <c r="AN299" s="180"/>
      <c r="AO299" s="180">
        <v>180</v>
      </c>
      <c r="AP299" s="194">
        <f>Tablo7[[#This Row],[Ümumi məbləğ]]-Tablo7[[#This Row],[Ödəniş]]-Tablo7[[#This Row],[Endirim]]</f>
        <v>0</v>
      </c>
      <c r="AQ299" s="183" t="str">
        <f t="shared" si="81"/>
        <v>Mesaj</v>
      </c>
      <c r="AR299" s="183" t="str">
        <f t="shared" si="82"/>
        <v>Mesaj</v>
      </c>
      <c r="AS299" s="184" t="str">
        <f>IF(ISNA(VLOOKUP(Tablo7[[#This Row],[Sifariş kodu]],'Kəsim ve təhvil'!$E$5:$E1297,1,0)),"Qəbul edilməyib","Qəbul edilib")</f>
        <v>Qəbul edilməyib</v>
      </c>
      <c r="AT299" s="185" t="str">
        <f>IF(ISNA(VLOOKUP(Tablo7[[#This Row],[Sifariş kodu]],'Kəsim ve təhvil'!$H$5:$H1297,1,0)),"Anbardadır","Təhvil verilib")</f>
        <v>Anbardadır</v>
      </c>
      <c r="AU299" s="186" t="str">
        <f>"Hörmətli *"&amp;Tablo7[[#This Row],[Müştəri]]&amp;"*  ,Sizin *"&amp;G299&amp;"* tarixli sifarişiniz qeydə alındı. Sifariş Məbləğı *"&amp;AM299&amp;" AZN* , Qalıq *"&amp;AP299&amp;" AZN* . Hörmətlə  *AlumPro*"</f>
        <v>Hörmətli *Cosqun Mebel Sex*  ,Sizin *23,12,2024* tarixli sifarişiniz qeydə alındı. Sifariş Məbləğı *180 AZN* , Qalıq *0 AZN* . Hörmətlə  *AlumPro*</v>
      </c>
      <c r="AV299" s="187" t="str">
        <f>"Hörmətli *"&amp;Tablo7[[#This Row],[Müştəri]]&amp;"* , sizin *"&amp;G299&amp;"* tarixli  sifarişiniz hazırdır . Bizi seçdiyiniz üçün minnətdarıq. Hörmətlə  *AlumPro*."</f>
        <v>Hörmətli *Cosqun Mebel Sex* , sizin *23,12,2024* tarixli  sifarişiniz hazırdır . Bizi seçdiyiniz üçün minnətdarıq. Hörmətlə  *AlumPro*.</v>
      </c>
      <c r="AW299" s="188" t="str">
        <f t="shared" si="84"/>
        <v>Cosqun</v>
      </c>
      <c r="AX299" s="189" t="str">
        <f t="shared" si="83"/>
        <v xml:space="preserve">Cosqun </v>
      </c>
    </row>
    <row r="300" spans="4:50">
      <c r="D300" s="178">
        <v>29</v>
      </c>
      <c r="E300" s="179" t="s">
        <v>786</v>
      </c>
      <c r="F300" s="179" t="s">
        <v>339</v>
      </c>
      <c r="G300" s="212" t="s">
        <v>6</v>
      </c>
      <c r="H300" s="179" t="s">
        <v>787</v>
      </c>
      <c r="I300" s="179" t="s">
        <v>788</v>
      </c>
      <c r="J300" s="179">
        <v>0</v>
      </c>
      <c r="K300" s="179"/>
      <c r="L300" s="179"/>
      <c r="M300" s="179" t="str">
        <f>_xlfn.XLOOKUP(Tablo7[[#This Row],[Yan Profili]],Anbar!$J$3:$J$1000,Anbar!$H$3:$H$1000,"Tapilmadi")</f>
        <v>Tapilmadi</v>
      </c>
      <c r="N300" s="179">
        <v>3</v>
      </c>
      <c r="O300" s="179">
        <v>750</v>
      </c>
      <c r="P300" s="179"/>
      <c r="Q300" s="179" t="str">
        <f>_xlfn.XLOOKUP(Tablo7[[#This Row],[Qulp növü]],Anbar!$J$3:$J$1000,Anbar!$H$3:$H$1000,"Tapilmadi")</f>
        <v>Tapilmadi</v>
      </c>
      <c r="R300" s="179">
        <v>0</v>
      </c>
      <c r="S300" s="180">
        <v>0</v>
      </c>
      <c r="T300" s="181" t="s">
        <v>318</v>
      </c>
      <c r="U300" s="179" t="str">
        <f>_xlfn.XLOOKUP(Tablo7[[#This Row],[Petlə]],Anbar!$J$3:$J$1000,Anbar!$H$3:$H$1000,"Tapilmadi")</f>
        <v>Tapilmadi</v>
      </c>
      <c r="V300" s="181">
        <v>9</v>
      </c>
      <c r="W300" s="180">
        <v>540</v>
      </c>
      <c r="X300" s="269">
        <v>0</v>
      </c>
      <c r="Y300" s="179" t="s">
        <v>36</v>
      </c>
      <c r="Z300" s="182">
        <v>7.36</v>
      </c>
      <c r="AA300" s="180">
        <v>0</v>
      </c>
      <c r="AB300" s="180"/>
      <c r="AC300" s="179" t="str">
        <f>_xlfn.XLOOKUP(Tablo7[[#This Row],[Bağlantı]],Anbar!$J$3:$J$1000,Anbar!$H$3:$H$1000,"Tapilmadi")</f>
        <v>Tapilmadi</v>
      </c>
      <c r="AD300" s="179"/>
      <c r="AE300" s="180">
        <v>0</v>
      </c>
      <c r="AF300" s="180"/>
      <c r="AG300" s="179" t="str">
        <f>_xlfn.XLOOKUP(Tablo7[[#This Row],[Mexanizm]],Anbar!$J$3:$J$1000,Anbar!$H$3:$H$1000,"Tapilmadi")</f>
        <v>Tapilmadi</v>
      </c>
      <c r="AH300" s="179">
        <v>1</v>
      </c>
      <c r="AI300" s="180">
        <v>0</v>
      </c>
      <c r="AJ300" s="180"/>
      <c r="AK300" s="180">
        <v>150</v>
      </c>
      <c r="AL300" s="180">
        <v>0</v>
      </c>
      <c r="AM300" s="180">
        <v>1440</v>
      </c>
      <c r="AN300" s="180"/>
      <c r="AO300" s="180">
        <v>1440</v>
      </c>
      <c r="AP300" s="194">
        <f>Tablo7[[#This Row],[Ümumi məbləğ]]-Tablo7[[#This Row],[Ödəniş]]-Tablo7[[#This Row],[Endirim]]</f>
        <v>0</v>
      </c>
      <c r="AQ300" s="183" t="str">
        <f t="shared" si="81"/>
        <v>Mesaj</v>
      </c>
      <c r="AR300" s="183" t="str">
        <f t="shared" si="82"/>
        <v>Mesaj</v>
      </c>
      <c r="AS300" s="184" t="str">
        <f>IF(ISNA(VLOOKUP(Tablo7[[#This Row],[Sifariş kodu]],'Kəsim ve təhvil'!$E$5:$E1298,1,0)),"Qəbul edilməyib","Qəbul edilib")</f>
        <v>Qəbul edilməyib</v>
      </c>
      <c r="AT300" s="185" t="str">
        <f>IF(ISNA(VLOOKUP(Tablo7[[#This Row],[Sifariş kodu]],'Kəsim ve təhvil'!$H$5:$H1298,1,0)),"Anbardadır","Təhvil verilib")</f>
        <v>Anbardadır</v>
      </c>
      <c r="AU300" s="186" t="str">
        <f>"Hörmətli *"&amp;Tablo7[[#This Row],[Müştəri]]&amp;"*  ,Sizin *"&amp;G300&amp;"* tarixli sifarişiniz qeydə alındı. Sifariş Məbləğı *"&amp;AM300&amp;" AZN* , Qalıq *"&amp;AP300&amp;" AZN* . Hörmətlə  *AlumPro*"</f>
        <v>Hörmətli *Saiq Sumqayit*  ,Sizin *23,12,2024* tarixli sifarişiniz qeydə alındı. Sifariş Məbləğı *1440 AZN* , Qalıq *0 AZN* . Hörmətlə  *AlumPro*</v>
      </c>
      <c r="AV300" s="187" t="str">
        <f>"Hörmətli *"&amp;Tablo7[[#This Row],[Müştəri]]&amp;"* , sizin *"&amp;G300&amp;"* tarixli  sifarişiniz hazırdır . Bizi seçdiyiniz üçün minnətdarıq. Hörmətlə  *AlumPro*."</f>
        <v>Hörmətli *Saiq Sumqayit* , sizin *23,12,2024* tarixli  sifarişiniz hazırdır . Bizi seçdiyiniz üçün minnətdarıq. Hörmətlə  *AlumPro*.</v>
      </c>
      <c r="AW300" s="188" t="str">
        <f t="shared" si="84"/>
        <v>Saiq</v>
      </c>
      <c r="AX300" s="189" t="str">
        <f t="shared" si="83"/>
        <v xml:space="preserve">Saiq </v>
      </c>
    </row>
    <row r="301" spans="4:50">
      <c r="D301" s="178">
        <v>28</v>
      </c>
      <c r="E301" s="179" t="s">
        <v>789</v>
      </c>
      <c r="F301" s="179" t="s">
        <v>339</v>
      </c>
      <c r="G301" s="212" t="s">
        <v>6</v>
      </c>
      <c r="H301" s="179" t="s">
        <v>561</v>
      </c>
      <c r="I301" s="179" t="s">
        <v>562</v>
      </c>
      <c r="J301" s="179">
        <v>0</v>
      </c>
      <c r="K301" s="179" t="s">
        <v>183</v>
      </c>
      <c r="L301" s="179"/>
      <c r="M301" s="179" t="str">
        <f>_xlfn.XLOOKUP(Tablo7[[#This Row],[Yan Profili]],Anbar!$J$3:$J$1000,Anbar!$H$3:$H$1000,"Tapilmadi")</f>
        <v>Tapilmadi</v>
      </c>
      <c r="N301" s="179">
        <v>10</v>
      </c>
      <c r="O301" s="179">
        <v>230</v>
      </c>
      <c r="P301" s="179" t="s">
        <v>184</v>
      </c>
      <c r="Q301" s="179" t="str">
        <f>_xlfn.XLOOKUP(Tablo7[[#This Row],[Qulp növü]],Anbar!$J$3:$J$1000,Anbar!$H$3:$H$1000,"Tapilmadi")</f>
        <v>Tapilmadi</v>
      </c>
      <c r="R301" s="179">
        <v>10</v>
      </c>
      <c r="S301" s="180">
        <v>260</v>
      </c>
      <c r="T301" s="181"/>
      <c r="U301" s="179" t="str">
        <f>_xlfn.XLOOKUP(Tablo7[[#This Row],[Petlə]],Anbar!$J$3:$J$1000,Anbar!$H$3:$H$1000,"Tapilmadi")</f>
        <v>Tapilmadi</v>
      </c>
      <c r="V301" s="181">
        <v>0</v>
      </c>
      <c r="W301" s="180">
        <v>0</v>
      </c>
      <c r="X301" s="269">
        <v>0</v>
      </c>
      <c r="Y301" s="179" t="s">
        <v>36</v>
      </c>
      <c r="Z301" s="182">
        <v>7.36</v>
      </c>
      <c r="AA301" s="180">
        <v>184</v>
      </c>
      <c r="AB301" s="180"/>
      <c r="AC301" s="179" t="str">
        <f>_xlfn.XLOOKUP(Tablo7[[#This Row],[Bağlantı]],Anbar!$J$3:$J$1000,Anbar!$H$3:$H$1000,"Tapilmadi")</f>
        <v>Tapilmadi</v>
      </c>
      <c r="AD301" s="179"/>
      <c r="AE301" s="180">
        <v>40</v>
      </c>
      <c r="AF301" s="180"/>
      <c r="AG301" s="179" t="str">
        <f>_xlfn.XLOOKUP(Tablo7[[#This Row],[Mexanizm]],Anbar!$J$3:$J$1000,Anbar!$H$3:$H$1000,"Tapilmadi")</f>
        <v>Tapilmadi</v>
      </c>
      <c r="AH301" s="179">
        <v>1</v>
      </c>
      <c r="AI301" s="180">
        <v>0</v>
      </c>
      <c r="AJ301" s="180">
        <v>40</v>
      </c>
      <c r="AK301" s="180">
        <v>100</v>
      </c>
      <c r="AL301" s="180">
        <v>0</v>
      </c>
      <c r="AM301" s="180">
        <v>854</v>
      </c>
      <c r="AN301" s="180"/>
      <c r="AO301" s="180">
        <v>854</v>
      </c>
      <c r="AP301" s="194">
        <f>Tablo7[[#This Row],[Ümumi məbləğ]]-Tablo7[[#This Row],[Ödəniş]]-Tablo7[[#This Row],[Endirim]]</f>
        <v>0</v>
      </c>
      <c r="AQ301" s="183" t="str">
        <f t="shared" si="81"/>
        <v>Mesaj</v>
      </c>
      <c r="AR301" s="183" t="str">
        <f t="shared" si="82"/>
        <v>Mesaj</v>
      </c>
      <c r="AS301" s="184" t="str">
        <f>IF(ISNA(VLOOKUP(Tablo7[[#This Row],[Sifariş kodu]],'Kəsim ve təhvil'!$E$5:$E1299,1,0)),"Qəbul edilməyib","Qəbul edilib")</f>
        <v>Qəbul edilməyib</v>
      </c>
      <c r="AT301" s="185" t="str">
        <f>IF(ISNA(VLOOKUP(Tablo7[[#This Row],[Sifariş kodu]],'Kəsim ve təhvil'!$H$5:$H1299,1,0)),"Anbardadır","Təhvil verilib")</f>
        <v>Anbardadır</v>
      </c>
      <c r="AU301" s="186" t="str">
        <f>"Hörmətli *"&amp;Tablo7[[#This Row],[Müştəri]]&amp;"*  ,Sizin *"&amp;G301&amp;"* tarixli sifarişiniz qeydə alındı. Sifariş Məbləğı *"&amp;AM301&amp;" AZN* , Qalıq *"&amp;AP301&amp;" AZN* . Hörmətlə  *AlumPro*"</f>
        <v>Hörmətli *Eli Asbella*  ,Sizin *23,12,2024* tarixli sifarişiniz qeydə alındı. Sifariş Məbləğı *854 AZN* , Qalıq *0 AZN* . Hörmətlə  *AlumPro*</v>
      </c>
      <c r="AV301" s="187" t="str">
        <f>"Hörmətli *"&amp;Tablo7[[#This Row],[Müştəri]]&amp;"* , sizin *"&amp;G301&amp;"* tarixli  sifarişiniz hazırdır . Bizi seçdiyiniz üçün minnətdarıq. Hörmətlə  *AlumPro*."</f>
        <v>Hörmətli *Eli Asbella* , sizin *23,12,2024* tarixli  sifarişiniz hazırdır . Bizi seçdiyiniz üçün minnətdarıq. Hörmətlə  *AlumPro*.</v>
      </c>
      <c r="AW301" s="188" t="str">
        <f t="shared" si="84"/>
        <v>Eli</v>
      </c>
      <c r="AX301" s="189" t="str">
        <f t="shared" si="83"/>
        <v xml:space="preserve">Eli </v>
      </c>
    </row>
    <row r="302" spans="4:50">
      <c r="D302" s="178">
        <v>27</v>
      </c>
      <c r="E302" s="179" t="s">
        <v>790</v>
      </c>
      <c r="F302" s="179" t="s">
        <v>339</v>
      </c>
      <c r="G302" s="212" t="s">
        <v>6</v>
      </c>
      <c r="H302" s="179" t="s">
        <v>201</v>
      </c>
      <c r="I302" s="179" t="s">
        <v>202</v>
      </c>
      <c r="J302" s="179">
        <v>0</v>
      </c>
      <c r="K302" s="179" t="s">
        <v>183</v>
      </c>
      <c r="L302" s="179"/>
      <c r="M302" s="179" t="str">
        <f>_xlfn.XLOOKUP(Tablo7[[#This Row],[Yan Profili]],Anbar!$J$3:$J$1000,Anbar!$H$3:$H$1000,"Tapilmadi")</f>
        <v>Tapilmadi</v>
      </c>
      <c r="N302" s="179">
        <v>3</v>
      </c>
      <c r="O302" s="179">
        <v>69</v>
      </c>
      <c r="P302" s="179" t="s">
        <v>184</v>
      </c>
      <c r="Q302" s="179" t="str">
        <f>_xlfn.XLOOKUP(Tablo7[[#This Row],[Qulp növü]],Anbar!$J$3:$J$1000,Anbar!$H$3:$H$1000,"Tapilmadi")</f>
        <v>Tapilmadi</v>
      </c>
      <c r="R302" s="179">
        <v>2</v>
      </c>
      <c r="S302" s="180">
        <v>52</v>
      </c>
      <c r="T302" s="181"/>
      <c r="U302" s="179" t="str">
        <f>_xlfn.XLOOKUP(Tablo7[[#This Row],[Petlə]],Anbar!$J$3:$J$1000,Anbar!$H$3:$H$1000,"Tapilmadi")</f>
        <v>Tapilmadi</v>
      </c>
      <c r="V302" s="181">
        <v>0</v>
      </c>
      <c r="W302" s="180">
        <v>0</v>
      </c>
      <c r="X302" s="269">
        <v>0</v>
      </c>
      <c r="Y302" s="179" t="s">
        <v>36</v>
      </c>
      <c r="Z302" s="182">
        <v>2.76</v>
      </c>
      <c r="AA302" s="180">
        <v>83</v>
      </c>
      <c r="AB302" s="180"/>
      <c r="AC302" s="179" t="str">
        <f>_xlfn.XLOOKUP(Tablo7[[#This Row],[Bağlantı]],Anbar!$J$3:$J$1000,Anbar!$H$3:$H$1000,"Tapilmadi")</f>
        <v>Tapilmadi</v>
      </c>
      <c r="AD302" s="179"/>
      <c r="AE302" s="180">
        <v>8</v>
      </c>
      <c r="AF302" s="180"/>
      <c r="AG302" s="179" t="str">
        <f>_xlfn.XLOOKUP(Tablo7[[#This Row],[Mexanizm]],Anbar!$J$3:$J$1000,Anbar!$H$3:$H$1000,"Tapilmadi")</f>
        <v>Tapilmadi</v>
      </c>
      <c r="AH302" s="179">
        <v>1</v>
      </c>
      <c r="AI302" s="180">
        <v>0</v>
      </c>
      <c r="AJ302" s="180">
        <v>8</v>
      </c>
      <c r="AK302" s="180">
        <v>30</v>
      </c>
      <c r="AL302" s="180">
        <v>0</v>
      </c>
      <c r="AM302" s="180">
        <v>250</v>
      </c>
      <c r="AN302" s="180"/>
      <c r="AO302" s="180">
        <v>250</v>
      </c>
      <c r="AP302" s="194">
        <f>Tablo7[[#This Row],[Ümumi məbləğ]]-Tablo7[[#This Row],[Ödəniş]]-Tablo7[[#This Row],[Endirim]]</f>
        <v>0</v>
      </c>
      <c r="AQ302" s="183" t="str">
        <f t="shared" si="81"/>
        <v>Mesaj</v>
      </c>
      <c r="AR302" s="183" t="str">
        <f t="shared" si="82"/>
        <v>Mesaj</v>
      </c>
      <c r="AS302" s="184" t="str">
        <f>IF(ISNA(VLOOKUP(Tablo7[[#This Row],[Sifariş kodu]],'Kəsim ve təhvil'!$E$5:$E1300,1,0)),"Qəbul edilməyib","Qəbul edilib")</f>
        <v>Qəbul edilməyib</v>
      </c>
      <c r="AT302" s="185" t="str">
        <f>IF(ISNA(VLOOKUP(Tablo7[[#This Row],[Sifariş kodu]],'Kəsim ve təhvil'!$H$5:$H1300,1,0)),"Anbardadır","Təhvil verilib")</f>
        <v>Anbardadır</v>
      </c>
      <c r="AU302" s="186" t="str">
        <f>"Hörmətli *"&amp;Tablo7[[#This Row],[Müştəri]]&amp;"*  ,Sizin *"&amp;G302&amp;"* tarixli sifarişiniz qeydə alındı. Sifariş Məbləğı *"&amp;AM302&amp;" AZN* , Qalıq *"&amp;AP302&amp;" AZN* . Hörmətlə  *AlumPro*"</f>
        <v>Hörmətli *Kandar Palid*  ,Sizin *23,12,2024* tarixli sifarişiniz qeydə alındı. Sifariş Məbləğı *250 AZN* , Qalıq *0 AZN* . Hörmətlə  *AlumPro*</v>
      </c>
      <c r="AV302" s="187" t="str">
        <f>"Hörmətli *"&amp;Tablo7[[#This Row],[Müştəri]]&amp;"* , sizin *"&amp;G302&amp;"* tarixli  sifarişiniz hazırdır . Bizi seçdiyiniz üçün minnətdarıq. Hörmətlə  *AlumPro*."</f>
        <v>Hörmətli *Kandar Palid* , sizin *23,12,2024* tarixli  sifarişiniz hazırdır . Bizi seçdiyiniz üçün minnətdarıq. Hörmətlə  *AlumPro*.</v>
      </c>
      <c r="AW302" s="188" t="str">
        <f t="shared" si="84"/>
        <v>Kandar</v>
      </c>
      <c r="AX302" s="189" t="str">
        <f t="shared" si="83"/>
        <v xml:space="preserve">Kandar </v>
      </c>
    </row>
    <row r="303" spans="4:50">
      <c r="D303" s="178">
        <v>26</v>
      </c>
      <c r="E303" s="179" t="s">
        <v>791</v>
      </c>
      <c r="F303" s="179" t="s">
        <v>339</v>
      </c>
      <c r="G303" s="212" t="s">
        <v>6</v>
      </c>
      <c r="H303" s="179" t="s">
        <v>792</v>
      </c>
      <c r="I303" s="179" t="s">
        <v>793</v>
      </c>
      <c r="J303" s="179">
        <v>0</v>
      </c>
      <c r="K303" s="179" t="s">
        <v>260</v>
      </c>
      <c r="L303" s="179"/>
      <c r="M303" s="179" t="str">
        <f>_xlfn.XLOOKUP(Tablo7[[#This Row],[Yan Profili]],Anbar!$J$3:$J$1000,Anbar!$H$3:$H$1000,"Tapilmadi")</f>
        <v>Tapilmadi</v>
      </c>
      <c r="N303" s="179">
        <v>2</v>
      </c>
      <c r="O303" s="179">
        <v>46</v>
      </c>
      <c r="P303" s="179" t="s">
        <v>184</v>
      </c>
      <c r="Q303" s="179" t="str">
        <f>_xlfn.XLOOKUP(Tablo7[[#This Row],[Qulp növü]],Anbar!$J$3:$J$1000,Anbar!$H$3:$H$1000,"Tapilmadi")</f>
        <v>Tapilmadi</v>
      </c>
      <c r="R303" s="179">
        <v>1</v>
      </c>
      <c r="S303" s="180">
        <v>26</v>
      </c>
      <c r="T303" s="181" t="s">
        <v>196</v>
      </c>
      <c r="U303" s="179" t="str">
        <f>_xlfn.XLOOKUP(Tablo7[[#This Row],[Petlə]],Anbar!$J$3:$J$1000,Anbar!$H$3:$H$1000,"Tapilmadi")</f>
        <v>Tapilmadi</v>
      </c>
      <c r="V303" s="181">
        <v>4</v>
      </c>
      <c r="W303" s="180">
        <v>16</v>
      </c>
      <c r="X303" s="269">
        <v>0</v>
      </c>
      <c r="Y303" s="179" t="s">
        <v>36</v>
      </c>
      <c r="Z303" s="182">
        <v>0.8</v>
      </c>
      <c r="AA303" s="180">
        <v>20</v>
      </c>
      <c r="AB303" s="180"/>
      <c r="AC303" s="179" t="str">
        <f>_xlfn.XLOOKUP(Tablo7[[#This Row],[Bağlantı]],Anbar!$J$3:$J$1000,Anbar!$H$3:$H$1000,"Tapilmadi")</f>
        <v>Tapilmadi</v>
      </c>
      <c r="AD303" s="179"/>
      <c r="AE303" s="180">
        <v>4</v>
      </c>
      <c r="AF303" s="180"/>
      <c r="AG303" s="179" t="str">
        <f>_xlfn.XLOOKUP(Tablo7[[#This Row],[Mexanizm]],Anbar!$J$3:$J$1000,Anbar!$H$3:$H$1000,"Tapilmadi")</f>
        <v>Tapilmadi</v>
      </c>
      <c r="AH303" s="179">
        <v>1</v>
      </c>
      <c r="AI303" s="180">
        <v>0</v>
      </c>
      <c r="AJ303" s="180">
        <v>8</v>
      </c>
      <c r="AK303" s="180">
        <v>20</v>
      </c>
      <c r="AL303" s="180">
        <v>0</v>
      </c>
      <c r="AM303" s="180">
        <v>140</v>
      </c>
      <c r="AN303" s="180"/>
      <c r="AO303" s="180">
        <v>140</v>
      </c>
      <c r="AP303" s="194">
        <f>Tablo7[[#This Row],[Ümumi məbləğ]]-Tablo7[[#This Row],[Ödəniş]]-Tablo7[[#This Row],[Endirim]]</f>
        <v>0</v>
      </c>
      <c r="AQ303" s="183" t="str">
        <f t="shared" si="81"/>
        <v>Mesaj</v>
      </c>
      <c r="AR303" s="183" t="str">
        <f t="shared" si="82"/>
        <v>Mesaj</v>
      </c>
      <c r="AS303" s="184" t="str">
        <f>IF(ISNA(VLOOKUP(Tablo7[[#This Row],[Sifariş kodu]],'Kəsim ve təhvil'!$E$5:$E1301,1,0)),"Qəbul edilməyib","Qəbul edilib")</f>
        <v>Qəbul edilməyib</v>
      </c>
      <c r="AT303" s="185" t="str">
        <f>IF(ISNA(VLOOKUP(Tablo7[[#This Row],[Sifariş kodu]],'Kəsim ve təhvil'!$H$5:$H1301,1,0)),"Anbardadır","Təhvil verilib")</f>
        <v>Anbardadır</v>
      </c>
      <c r="AU303" s="186" t="str">
        <f>"Hörmətli *"&amp;Tablo7[[#This Row],[Müştəri]]&amp;"*  ,Sizin *"&amp;G303&amp;"* tarixli sifarişiniz qeydə alındı. Sifariş Məbləğı *"&amp;AM303&amp;" AZN* , Qalıq *"&amp;AP303&amp;" AZN* . Hörmətlə  *AlumPro*"</f>
        <v>Hörmətli *Behruz Doz*  ,Sizin *23,12,2024* tarixli sifarişiniz qeydə alındı. Sifariş Məbləğı *140 AZN* , Qalıq *0 AZN* . Hörmətlə  *AlumPro*</v>
      </c>
      <c r="AV303" s="187" t="str">
        <f>"Hörmətli *"&amp;Tablo7[[#This Row],[Müştəri]]&amp;"* , sizin *"&amp;G303&amp;"* tarixli  sifarişiniz hazırdır . Bizi seçdiyiniz üçün minnətdarıq. Hörmətlə  *AlumPro*."</f>
        <v>Hörmətli *Behruz Doz* , sizin *23,12,2024* tarixli  sifarişiniz hazırdır . Bizi seçdiyiniz üçün minnətdarıq. Hörmətlə  *AlumPro*.</v>
      </c>
      <c r="AW303" s="188" t="str">
        <f t="shared" si="84"/>
        <v>Behruz</v>
      </c>
      <c r="AX303" s="189" t="str">
        <f t="shared" si="83"/>
        <v xml:space="preserve">Behruz </v>
      </c>
    </row>
    <row r="304" spans="4:50">
      <c r="D304" s="178">
        <v>25</v>
      </c>
      <c r="E304" s="179" t="s">
        <v>794</v>
      </c>
      <c r="F304" s="179" t="s">
        <v>339</v>
      </c>
      <c r="G304" s="212" t="s">
        <v>6</v>
      </c>
      <c r="H304" s="179" t="s">
        <v>795</v>
      </c>
      <c r="I304" s="179" t="s">
        <v>796</v>
      </c>
      <c r="J304" s="179">
        <v>0</v>
      </c>
      <c r="K304" s="179" t="s">
        <v>183</v>
      </c>
      <c r="L304" s="179"/>
      <c r="M304" s="179" t="str">
        <f>_xlfn.XLOOKUP(Tablo7[[#This Row],[Yan Profili]],Anbar!$J$3:$J$1000,Anbar!$H$3:$H$1000,"Tapilmadi")</f>
        <v>Tapilmadi</v>
      </c>
      <c r="N304" s="179">
        <v>1</v>
      </c>
      <c r="O304" s="179">
        <v>23</v>
      </c>
      <c r="P304" s="179" t="s">
        <v>195</v>
      </c>
      <c r="Q304" s="179" t="str">
        <f>_xlfn.XLOOKUP(Tablo7[[#This Row],[Qulp növü]],Anbar!$J$3:$J$1000,Anbar!$H$3:$H$1000,"Tapilmadi")</f>
        <v>Tapilmadi</v>
      </c>
      <c r="R304" s="179">
        <v>0</v>
      </c>
      <c r="S304" s="180">
        <v>0</v>
      </c>
      <c r="T304" s="181"/>
      <c r="U304" s="179" t="str">
        <f>_xlfn.XLOOKUP(Tablo7[[#This Row],[Petlə]],Anbar!$J$3:$J$1000,Anbar!$H$3:$H$1000,"Tapilmadi")</f>
        <v>Tapilmadi</v>
      </c>
      <c r="V304" s="181">
        <v>0</v>
      </c>
      <c r="W304" s="180">
        <v>0</v>
      </c>
      <c r="X304" s="269">
        <v>3</v>
      </c>
      <c r="Y304" s="179" t="s">
        <v>36</v>
      </c>
      <c r="Z304" s="182">
        <v>0</v>
      </c>
      <c r="AA304" s="180">
        <v>12</v>
      </c>
      <c r="AB304" s="180"/>
      <c r="AC304" s="179" t="str">
        <f>_xlfn.XLOOKUP(Tablo7[[#This Row],[Bağlantı]],Anbar!$J$3:$J$1000,Anbar!$H$3:$H$1000,"Tapilmadi")</f>
        <v>Tapilmadi</v>
      </c>
      <c r="AD304" s="179"/>
      <c r="AE304" s="180">
        <v>4</v>
      </c>
      <c r="AF304" s="180"/>
      <c r="AG304" s="179" t="str">
        <f>_xlfn.XLOOKUP(Tablo7[[#This Row],[Mexanizm]],Anbar!$J$3:$J$1000,Anbar!$H$3:$H$1000,"Tapilmadi")</f>
        <v>Tapilmadi</v>
      </c>
      <c r="AH304" s="179">
        <v>1</v>
      </c>
      <c r="AI304" s="180">
        <v>0</v>
      </c>
      <c r="AJ304" s="180">
        <v>3</v>
      </c>
      <c r="AK304" s="180">
        <v>10</v>
      </c>
      <c r="AL304" s="180">
        <v>0</v>
      </c>
      <c r="AM304" s="180">
        <v>55</v>
      </c>
      <c r="AN304" s="180"/>
      <c r="AO304" s="180">
        <v>55</v>
      </c>
      <c r="AP304" s="194">
        <f>Tablo7[[#This Row],[Ümumi məbləğ]]-Tablo7[[#This Row],[Ödəniş]]-Tablo7[[#This Row],[Endirim]]</f>
        <v>0</v>
      </c>
      <c r="AQ304" s="183" t="str">
        <f t="shared" si="81"/>
        <v>Mesaj</v>
      </c>
      <c r="AR304" s="183" t="str">
        <f t="shared" si="82"/>
        <v>Mesaj</v>
      </c>
      <c r="AS304" s="184" t="str">
        <f>IF(ISNA(VLOOKUP(Tablo7[[#This Row],[Sifariş kodu]],'Kəsim ve təhvil'!$E$5:$E1302,1,0)),"Qəbul edilməyib","Qəbul edilib")</f>
        <v>Qəbul edilməyib</v>
      </c>
      <c r="AT304" s="185" t="str">
        <f>IF(ISNA(VLOOKUP(Tablo7[[#This Row],[Sifariş kodu]],'Kəsim ve təhvil'!$H$5:$H1302,1,0)),"Anbardadır","Təhvil verilib")</f>
        <v>Anbardadır</v>
      </c>
      <c r="AU304" s="186" t="str">
        <f>"Hörmətli *"&amp;Tablo7[[#This Row],[Müştəri]]&amp;"*  ,Sizin *"&amp;G304&amp;"* tarixli sifarişiniz qeydə alındı. Sifariş Məbləğı *"&amp;AM304&amp;" AZN* , Qalıq *"&amp;AP304&amp;" AZN* . Hörmətlə  *AlumPro*"</f>
        <v>Hörmətli *Sahveled bey*  ,Sizin *23,12,2024* tarixli sifarişiniz qeydə alındı. Sifariş Məbləğı *55 AZN* , Qalıq *0 AZN* . Hörmətlə  *AlumPro*</v>
      </c>
      <c r="AV304" s="187" t="str">
        <f>"Hörmətli *"&amp;Tablo7[[#This Row],[Müştəri]]&amp;"* , sizin *"&amp;G304&amp;"* tarixli  sifarişiniz hazırdır . Bizi seçdiyiniz üçün minnətdarıq. Hörmətlə  *AlumPro*."</f>
        <v>Hörmətli *Sahveled bey* , sizin *23,12,2024* tarixli  sifarişiniz hazırdır . Bizi seçdiyiniz üçün minnətdarıq. Hörmətlə  *AlumPro*.</v>
      </c>
      <c r="AW304" s="188" t="str">
        <f t="shared" si="84"/>
        <v>Sahveled</v>
      </c>
      <c r="AX304" s="189" t="str">
        <f t="shared" si="83"/>
        <v xml:space="preserve">Sahveled </v>
      </c>
    </row>
    <row r="305" spans="4:50">
      <c r="D305" s="178">
        <v>24</v>
      </c>
      <c r="E305" s="179" t="s">
        <v>797</v>
      </c>
      <c r="F305" s="179" t="s">
        <v>339</v>
      </c>
      <c r="G305" s="212" t="s">
        <v>6</v>
      </c>
      <c r="H305" s="179" t="s">
        <v>272</v>
      </c>
      <c r="I305" s="179" t="s">
        <v>273</v>
      </c>
      <c r="J305" s="179">
        <v>0</v>
      </c>
      <c r="K305" s="179" t="s">
        <v>194</v>
      </c>
      <c r="L305" s="179"/>
      <c r="M305" s="179" t="str">
        <f>_xlfn.XLOOKUP(Tablo7[[#This Row],[Yan Profili]],Anbar!$J$3:$J$1000,Anbar!$H$3:$H$1000,"Tapilmadi")</f>
        <v>Tapilmadi</v>
      </c>
      <c r="N305" s="179">
        <v>1</v>
      </c>
      <c r="O305" s="179">
        <v>23</v>
      </c>
      <c r="P305" s="179" t="s">
        <v>184</v>
      </c>
      <c r="Q305" s="179" t="str">
        <f>_xlfn.XLOOKUP(Tablo7[[#This Row],[Qulp növü]],Anbar!$J$3:$J$1000,Anbar!$H$3:$H$1000,"Tapilmadi")</f>
        <v>Tapilmadi</v>
      </c>
      <c r="R305" s="179">
        <v>2</v>
      </c>
      <c r="S305" s="180">
        <v>52</v>
      </c>
      <c r="T305" s="181"/>
      <c r="U305" s="179" t="str">
        <f>_xlfn.XLOOKUP(Tablo7[[#This Row],[Petlə]],Anbar!$J$3:$J$1000,Anbar!$H$3:$H$1000,"Tapilmadi")</f>
        <v>Tapilmadi</v>
      </c>
      <c r="V305" s="181">
        <v>0</v>
      </c>
      <c r="W305" s="180">
        <v>0</v>
      </c>
      <c r="X305" s="269">
        <v>0</v>
      </c>
      <c r="Y305" s="179" t="s">
        <v>36</v>
      </c>
      <c r="Z305" s="182">
        <v>0</v>
      </c>
      <c r="AA305" s="180">
        <v>0</v>
      </c>
      <c r="AB305" s="180"/>
      <c r="AC305" s="179" t="str">
        <f>_xlfn.XLOOKUP(Tablo7[[#This Row],[Bağlantı]],Anbar!$J$3:$J$1000,Anbar!$H$3:$H$1000,"Tapilmadi")</f>
        <v>Tapilmadi</v>
      </c>
      <c r="AD305" s="179"/>
      <c r="AE305" s="180">
        <v>14</v>
      </c>
      <c r="AF305" s="180"/>
      <c r="AG305" s="179" t="str">
        <f>_xlfn.XLOOKUP(Tablo7[[#This Row],[Mexanizm]],Anbar!$J$3:$J$1000,Anbar!$H$3:$H$1000,"Tapilmadi")</f>
        <v>Tapilmadi</v>
      </c>
      <c r="AH305" s="179">
        <v>1</v>
      </c>
      <c r="AI305" s="180">
        <v>0</v>
      </c>
      <c r="AJ305" s="180">
        <v>10</v>
      </c>
      <c r="AK305" s="180">
        <v>20</v>
      </c>
      <c r="AL305" s="180">
        <v>0</v>
      </c>
      <c r="AM305" s="180">
        <v>119</v>
      </c>
      <c r="AN305" s="180"/>
      <c r="AO305" s="180">
        <v>119</v>
      </c>
      <c r="AP305" s="194">
        <f>Tablo7[[#This Row],[Ümumi məbləğ]]-Tablo7[[#This Row],[Ödəniş]]-Tablo7[[#This Row],[Endirim]]</f>
        <v>0</v>
      </c>
      <c r="AQ305" s="183" t="str">
        <f t="shared" si="81"/>
        <v>Mesaj</v>
      </c>
      <c r="AR305" s="183" t="str">
        <f t="shared" si="82"/>
        <v>Mesaj</v>
      </c>
      <c r="AS305" s="184" t="str">
        <f>IF(ISNA(VLOOKUP(Tablo7[[#This Row],[Sifariş kodu]],'Kəsim ve təhvil'!$E$5:$E1303,1,0)),"Qəbul edilməyib","Qəbul edilib")</f>
        <v>Qəbul edilməyib</v>
      </c>
      <c r="AT305" s="185" t="str">
        <f>IF(ISNA(VLOOKUP(Tablo7[[#This Row],[Sifariş kodu]],'Kəsim ve təhvil'!$H$5:$H1303,1,0)),"Anbardadır","Təhvil verilib")</f>
        <v>Anbardadır</v>
      </c>
      <c r="AU305" s="186" t="str">
        <f>"Hörmətli *"&amp;Tablo7[[#This Row],[Müştəri]]&amp;"*  ,Sizin *"&amp;G305&amp;"* tarixli sifarişiniz qeydə alındı. Sifariş Məbləğı *"&amp;AM305&amp;" AZN* , Qalıq *"&amp;AP305&amp;" AZN* . Hörmətlə  *AlumPro*"</f>
        <v>Hörmətli *Resad Mebelline *  ,Sizin *23,12,2024* tarixli sifarişiniz qeydə alındı. Sifariş Məbləğı *119 AZN* , Qalıq *0 AZN* . Hörmətlə  *AlumPro*</v>
      </c>
      <c r="AV305" s="187" t="str">
        <f>"Hörmətli *"&amp;Tablo7[[#This Row],[Müştəri]]&amp;"* , sizin *"&amp;G305&amp;"* tarixli  sifarişiniz hazırdır . Bizi seçdiyiniz üçün minnətdarıq. Hörmətlə  *AlumPro*."</f>
        <v>Hörmətli *Resad Mebelline * , sizin *23,12,2024* tarixli  sifarişiniz hazırdır . Bizi seçdiyiniz üçün minnətdarıq. Hörmətlə  *AlumPro*.</v>
      </c>
      <c r="AW305" s="188" t="str">
        <f t="shared" si="84"/>
        <v>Resad</v>
      </c>
      <c r="AX305" s="189" t="str">
        <f t="shared" si="83"/>
        <v xml:space="preserve">Resad </v>
      </c>
    </row>
    <row r="306" spans="4:50">
      <c r="D306" s="178">
        <v>23</v>
      </c>
      <c r="E306" s="179" t="s">
        <v>798</v>
      </c>
      <c r="F306" s="179" t="s">
        <v>339</v>
      </c>
      <c r="G306" s="212" t="s">
        <v>6</v>
      </c>
      <c r="H306" s="179" t="s">
        <v>633</v>
      </c>
      <c r="I306" s="179" t="s">
        <v>634</v>
      </c>
      <c r="J306" s="179">
        <v>0</v>
      </c>
      <c r="K306" s="179" t="s">
        <v>183</v>
      </c>
      <c r="L306" s="179"/>
      <c r="M306" s="179">
        <f>_xlfn.XLOOKUP(Tablo7[[#This Row],[Yan Profili]],Anbar!$J$3:$J$1000,Anbar!$H$3:$H$1000,"Tapilmadi")</f>
        <v>0</v>
      </c>
      <c r="N306" s="179">
        <v>5</v>
      </c>
      <c r="O306" s="179">
        <v>115</v>
      </c>
      <c r="P306" s="179" t="s">
        <v>195</v>
      </c>
      <c r="Q306" s="179" t="str">
        <f>_xlfn.XLOOKUP(Tablo7[[#This Row],[Qulp növü]],Anbar!$J$3:$J$1000,Anbar!$H$3:$H$1000,"Tapilmadi")</f>
        <v>Tapilmadi</v>
      </c>
      <c r="R306" s="179">
        <v>0</v>
      </c>
      <c r="S306" s="180">
        <v>0</v>
      </c>
      <c r="T306" s="181"/>
      <c r="U306" s="179" t="str">
        <f>_xlfn.XLOOKUP(Tablo7[[#This Row],[Petlə]],Anbar!$J$3:$J$1000,Anbar!$H$3:$H$1000,"Tapilmadi")</f>
        <v>Tapilmadi</v>
      </c>
      <c r="V306" s="181">
        <v>0</v>
      </c>
      <c r="W306" s="180">
        <v>0</v>
      </c>
      <c r="X306" s="269">
        <v>15</v>
      </c>
      <c r="Y306" s="179" t="s">
        <v>36</v>
      </c>
      <c r="Z306" s="182">
        <v>1.64</v>
      </c>
      <c r="AA306" s="180">
        <v>40</v>
      </c>
      <c r="AB306" s="180"/>
      <c r="AC306" s="179" t="str">
        <f>_xlfn.XLOOKUP(Tablo7[[#This Row],[Bağlantı]],Anbar!$J$3:$J$1000,Anbar!$H$3:$H$1000,"Tapilmadi")</f>
        <v>Tapilmadi</v>
      </c>
      <c r="AD306" s="179"/>
      <c r="AE306" s="180">
        <v>20</v>
      </c>
      <c r="AF306" s="180"/>
      <c r="AG306" s="179" t="str">
        <f>_xlfn.XLOOKUP(Tablo7[[#This Row],[Mexanizm]],Anbar!$J$3:$J$1000,Anbar!$H$3:$H$1000,"Tapilmadi")</f>
        <v>Tapilmadi</v>
      </c>
      <c r="AH306" s="179">
        <v>1</v>
      </c>
      <c r="AI306" s="180">
        <v>0</v>
      </c>
      <c r="AJ306" s="180">
        <v>10</v>
      </c>
      <c r="AK306" s="180">
        <v>50</v>
      </c>
      <c r="AL306" s="180">
        <v>0</v>
      </c>
      <c r="AM306" s="180">
        <v>250</v>
      </c>
      <c r="AN306" s="180"/>
      <c r="AO306" s="180">
        <v>250</v>
      </c>
      <c r="AP306" s="194">
        <f>Tablo7[[#This Row],[Ümumi məbləğ]]-Tablo7[[#This Row],[Ödəniş]]-Tablo7[[#This Row],[Endirim]]</f>
        <v>0</v>
      </c>
      <c r="AQ306" s="183" t="str">
        <f t="shared" si="81"/>
        <v>Mesaj</v>
      </c>
      <c r="AR306" s="183" t="str">
        <f t="shared" si="82"/>
        <v>Mesaj</v>
      </c>
      <c r="AS306" s="184" t="str">
        <f>IF(ISNA(VLOOKUP(Tablo7[[#This Row],[Sifariş kodu]],'Kəsim ve təhvil'!$E$5:$E1304,1,0)),"Qəbul edilməyib","Qəbul edilib")</f>
        <v>Qəbul edilməyib</v>
      </c>
      <c r="AT306" s="185" t="str">
        <f>IF(ISNA(VLOOKUP(Tablo7[[#This Row],[Sifariş kodu]],'Kəsim ve təhvil'!$H$5:$H1304,1,0)),"Anbardadır","Təhvil verilib")</f>
        <v>Anbardadır</v>
      </c>
      <c r="AU306" s="186" t="str">
        <f>"Hörmətli *"&amp;Tablo7[[#This Row],[Müştəri]]&amp;"*  ,Sizin *"&amp;G306&amp;"* tarixli sifarişiniz qeydə alındı. Sifariş Məbləğı *"&amp;AM306&amp;" AZN* , Qalıq *"&amp;AP306&amp;" AZN* . Hörmətlə  *AlumPro*"</f>
        <v>Hörmətli *Soltan Musteri*  ,Sizin *23,12,2024* tarixli sifarişiniz qeydə alındı. Sifariş Məbləğı *250 AZN* , Qalıq *0 AZN* . Hörmətlə  *AlumPro*</v>
      </c>
      <c r="AV306" s="187" t="str">
        <f>"Hörmətli *"&amp;Tablo7[[#This Row],[Müştəri]]&amp;"* , sizin *"&amp;G306&amp;"* tarixli  sifarişiniz hazırdır . Bizi seçdiyiniz üçün minnətdarıq. Hörmətlə  *AlumPro*."</f>
        <v>Hörmətli *Soltan Musteri* , sizin *23,12,2024* tarixli  sifarişiniz hazırdır . Bizi seçdiyiniz üçün minnətdarıq. Hörmətlə  *AlumPro*.</v>
      </c>
      <c r="AW306" s="188" t="str">
        <f t="shared" si="84"/>
        <v>Soltan</v>
      </c>
      <c r="AX306" s="189" t="str">
        <f t="shared" si="83"/>
        <v xml:space="preserve">Soltan </v>
      </c>
    </row>
    <row r="307" spans="4:50">
      <c r="D307" s="178">
        <v>22</v>
      </c>
      <c r="E307" s="179" t="s">
        <v>799</v>
      </c>
      <c r="F307" s="179" t="s">
        <v>339</v>
      </c>
      <c r="G307" s="212" t="s">
        <v>6</v>
      </c>
      <c r="H307" s="179" t="s">
        <v>511</v>
      </c>
      <c r="I307" s="179" t="s">
        <v>512</v>
      </c>
      <c r="J307" s="179">
        <v>0</v>
      </c>
      <c r="K307" s="179" t="s">
        <v>183</v>
      </c>
      <c r="L307" s="179"/>
      <c r="M307" s="179" t="str">
        <f>_xlfn.XLOOKUP(Tablo7[[#This Row],[Yan Profili]],Anbar!$J$3:$J$1000,Anbar!$H$3:$H$1000,"Tapilmadi")</f>
        <v>Tapilmadi</v>
      </c>
      <c r="N307" s="179">
        <v>12</v>
      </c>
      <c r="O307" s="179">
        <v>276</v>
      </c>
      <c r="P307" s="179" t="s">
        <v>184</v>
      </c>
      <c r="Q307" s="179" t="str">
        <f>_xlfn.XLOOKUP(Tablo7[[#This Row],[Qulp növü]],Anbar!$J$3:$J$1000,Anbar!$H$3:$H$1000,"Tapilmadi")</f>
        <v>Tapilmadi</v>
      </c>
      <c r="R307" s="179">
        <v>10</v>
      </c>
      <c r="S307" s="180">
        <v>260</v>
      </c>
      <c r="T307" s="181"/>
      <c r="U307" s="179" t="str">
        <f>_xlfn.XLOOKUP(Tablo7[[#This Row],[Petlə]],Anbar!$J$3:$J$1000,Anbar!$H$3:$H$1000,"Tapilmadi")</f>
        <v>Tapilmadi</v>
      </c>
      <c r="V307" s="181">
        <v>0</v>
      </c>
      <c r="W307" s="180">
        <v>0</v>
      </c>
      <c r="X307" s="269">
        <v>66</v>
      </c>
      <c r="Y307" s="179" t="s">
        <v>36</v>
      </c>
      <c r="Z307" s="182">
        <v>11.32</v>
      </c>
      <c r="AA307" s="180">
        <v>283</v>
      </c>
      <c r="AB307" s="180"/>
      <c r="AC307" s="179" t="str">
        <f>_xlfn.XLOOKUP(Tablo7[[#This Row],[Bağlantı]],Anbar!$J$3:$J$1000,Anbar!$H$3:$H$1000,"Tapilmadi")</f>
        <v>Tapilmadi</v>
      </c>
      <c r="AD307" s="179"/>
      <c r="AE307" s="180">
        <v>40</v>
      </c>
      <c r="AF307" s="180"/>
      <c r="AG307" s="179" t="str">
        <f>_xlfn.XLOOKUP(Tablo7[[#This Row],[Mexanizm]],Anbar!$J$3:$J$1000,Anbar!$H$3:$H$1000,"Tapilmadi")</f>
        <v>Tapilmadi</v>
      </c>
      <c r="AH307" s="179">
        <v>1</v>
      </c>
      <c r="AI307" s="180">
        <v>0</v>
      </c>
      <c r="AJ307" s="180">
        <v>40</v>
      </c>
      <c r="AK307" s="180">
        <v>150</v>
      </c>
      <c r="AL307" s="180">
        <v>0</v>
      </c>
      <c r="AM307" s="180">
        <v>1115</v>
      </c>
      <c r="AN307" s="180"/>
      <c r="AO307" s="180">
        <v>1115</v>
      </c>
      <c r="AP307" s="194">
        <f>Tablo7[[#This Row],[Ümumi məbləğ]]-Tablo7[[#This Row],[Ödəniş]]-Tablo7[[#This Row],[Endirim]]</f>
        <v>0</v>
      </c>
      <c r="AQ307" s="183" t="str">
        <f t="shared" si="81"/>
        <v>Mesaj</v>
      </c>
      <c r="AR307" s="183" t="str">
        <f t="shared" si="82"/>
        <v>Mesaj</v>
      </c>
      <c r="AS307" s="184" t="str">
        <f>IF(ISNA(VLOOKUP(Tablo7[[#This Row],[Sifariş kodu]],'Kəsim ve təhvil'!$E$5:$E1305,1,0)),"Qəbul edilməyib","Qəbul edilib")</f>
        <v>Qəbul edilməyib</v>
      </c>
      <c r="AT307" s="185" t="str">
        <f>IF(ISNA(VLOOKUP(Tablo7[[#This Row],[Sifariş kodu]],'Kəsim ve təhvil'!$H$5:$H1305,1,0)),"Anbardadır","Təhvil verilib")</f>
        <v>Anbardadır</v>
      </c>
      <c r="AU307" s="186" t="str">
        <f>"Hörmətli *"&amp;Tablo7[[#This Row],[Müştəri]]&amp;"*  ,Sizin *"&amp;G307&amp;"* tarixli sifarişiniz qeydə alındı. Sifariş Məbləğı *"&amp;AM307&amp;" AZN* , Qalıq *"&amp;AP307&amp;" AZN* . Hörmətlə  *AlumPro*"</f>
        <v>Hörmətli *Ebulfez Qasımzade*  ,Sizin *23,12,2024* tarixli sifarişiniz qeydə alındı. Sifariş Məbləğı *1115 AZN* , Qalıq *0 AZN* . Hörmətlə  *AlumPro*</v>
      </c>
      <c r="AV307" s="187" t="str">
        <f>"Hörmətli *"&amp;Tablo7[[#This Row],[Müştəri]]&amp;"* , sizin *"&amp;G307&amp;"* tarixli  sifarişiniz hazırdır . Bizi seçdiyiniz üçün minnətdarıq. Hörmətlə  *AlumPro*."</f>
        <v>Hörmətli *Ebulfez Qasımzade* , sizin *23,12,2024* tarixli  sifarişiniz hazırdır . Bizi seçdiyiniz üçün minnətdarıq. Hörmətlə  *AlumPro*.</v>
      </c>
      <c r="AW307" s="188" t="str">
        <f t="shared" si="84"/>
        <v>Ebulfez</v>
      </c>
      <c r="AX307" s="189" t="str">
        <f t="shared" si="83"/>
        <v xml:space="preserve">Ebulfez </v>
      </c>
    </row>
    <row r="308" spans="4:50">
      <c r="D308" s="178">
        <v>21</v>
      </c>
      <c r="E308" s="179" t="s">
        <v>800</v>
      </c>
      <c r="F308" s="179" t="s">
        <v>339</v>
      </c>
      <c r="G308" s="212" t="s">
        <v>6</v>
      </c>
      <c r="H308" s="179" t="s">
        <v>801</v>
      </c>
      <c r="I308" s="179" t="s">
        <v>802</v>
      </c>
      <c r="J308" s="179">
        <v>0</v>
      </c>
      <c r="K308" s="179" t="s">
        <v>183</v>
      </c>
      <c r="L308" s="179"/>
      <c r="M308" s="179" t="str">
        <f>_xlfn.XLOOKUP(Tablo7[[#This Row],[Yan Profili]],Anbar!$J$3:$J$1000,Anbar!$H$3:$H$1000,"Tapilmadi")</f>
        <v>Tapilmadi</v>
      </c>
      <c r="N308" s="179">
        <v>2</v>
      </c>
      <c r="O308" s="179">
        <v>46</v>
      </c>
      <c r="P308" s="179" t="s">
        <v>184</v>
      </c>
      <c r="Q308" s="179" t="str">
        <f>_xlfn.XLOOKUP(Tablo7[[#This Row],[Qulp növü]],Anbar!$J$3:$J$1000,Anbar!$H$3:$H$1000,"Tapilmadi")</f>
        <v>Tapilmadi</v>
      </c>
      <c r="R308" s="179">
        <v>1</v>
      </c>
      <c r="S308" s="180">
        <v>26</v>
      </c>
      <c r="T308" s="181"/>
      <c r="U308" s="179" t="str">
        <f>_xlfn.XLOOKUP(Tablo7[[#This Row],[Petlə]],Anbar!$J$3:$J$1000,Anbar!$H$3:$H$1000,"Tapilmadi")</f>
        <v>Tapilmadi</v>
      </c>
      <c r="V308" s="181">
        <v>0</v>
      </c>
      <c r="W308" s="180">
        <v>0</v>
      </c>
      <c r="X308" s="269">
        <v>0</v>
      </c>
      <c r="Y308" s="179" t="s">
        <v>36</v>
      </c>
      <c r="Z308" s="182">
        <v>0</v>
      </c>
      <c r="AA308" s="180">
        <v>0</v>
      </c>
      <c r="AB308" s="180"/>
      <c r="AC308" s="179" t="str">
        <f>_xlfn.XLOOKUP(Tablo7[[#This Row],[Bağlantı]],Anbar!$J$3:$J$1000,Anbar!$H$3:$H$1000,"Tapilmadi")</f>
        <v>Tapilmadi</v>
      </c>
      <c r="AD308" s="179"/>
      <c r="AE308" s="180">
        <v>4</v>
      </c>
      <c r="AF308" s="180"/>
      <c r="AG308" s="179" t="str">
        <f>_xlfn.XLOOKUP(Tablo7[[#This Row],[Mexanizm]],Anbar!$J$3:$J$1000,Anbar!$H$3:$H$1000,"Tapilmadi")</f>
        <v>Tapilmadi</v>
      </c>
      <c r="AH308" s="179">
        <v>1</v>
      </c>
      <c r="AI308" s="180">
        <v>0</v>
      </c>
      <c r="AJ308" s="180">
        <v>5</v>
      </c>
      <c r="AK308" s="180">
        <v>15</v>
      </c>
      <c r="AL308" s="180">
        <v>0</v>
      </c>
      <c r="AM308" s="180">
        <v>96</v>
      </c>
      <c r="AN308" s="180"/>
      <c r="AO308" s="180">
        <v>96</v>
      </c>
      <c r="AP308" s="194">
        <f>Tablo7[[#This Row],[Ümumi məbləğ]]-Tablo7[[#This Row],[Ödəniş]]-Tablo7[[#This Row],[Endirim]]</f>
        <v>0</v>
      </c>
      <c r="AQ308" s="183" t="str">
        <f t="shared" si="81"/>
        <v>Mesaj</v>
      </c>
      <c r="AR308" s="183" t="str">
        <f t="shared" si="82"/>
        <v>Mesaj</v>
      </c>
      <c r="AS308" s="184" t="str">
        <f>IF(ISNA(VLOOKUP(Tablo7[[#This Row],[Sifariş kodu]],'Kəsim ve təhvil'!$E$5:$E1306,1,0)),"Qəbul edilməyib","Qəbul edilib")</f>
        <v>Qəbul edilməyib</v>
      </c>
      <c r="AT308" s="185" t="str">
        <f>IF(ISNA(VLOOKUP(Tablo7[[#This Row],[Sifariş kodu]],'Kəsim ve təhvil'!$H$5:$H1306,1,0)),"Anbardadır","Təhvil verilib")</f>
        <v>Anbardadır</v>
      </c>
      <c r="AU308" s="186" t="str">
        <f>"Hörmətli *"&amp;Tablo7[[#This Row],[Müştəri]]&amp;"*  ,Sizin *"&amp;G308&amp;"* tarixli sifarişiniz qeydə alındı. Sifariş Məbləğı *"&amp;AM308&amp;" AZN* , Qalıq *"&amp;AP308&amp;" AZN* . Hörmətlə  *AlumPro*"</f>
        <v>Hörmətli *Ceyhun Zegno*  ,Sizin *23,12,2024* tarixli sifarişiniz qeydə alındı. Sifariş Məbləğı *96 AZN* , Qalıq *0 AZN* . Hörmətlə  *AlumPro*</v>
      </c>
      <c r="AV308" s="187" t="str">
        <f>"Hörmətli *"&amp;Tablo7[[#This Row],[Müştəri]]&amp;"* , sizin *"&amp;G308&amp;"* tarixli  sifarişiniz hazırdır . Bizi seçdiyiniz üçün minnətdarıq. Hörmətlə  *AlumPro*."</f>
        <v>Hörmətli *Ceyhun Zegno* , sizin *23,12,2024* tarixli  sifarişiniz hazırdır . Bizi seçdiyiniz üçün minnətdarıq. Hörmətlə  *AlumPro*.</v>
      </c>
      <c r="AW308" s="188" t="str">
        <f t="shared" si="84"/>
        <v>Ceyhun</v>
      </c>
      <c r="AX308" s="189" t="str">
        <f t="shared" si="83"/>
        <v xml:space="preserve">Ceyhun </v>
      </c>
    </row>
    <row r="309" spans="4:50">
      <c r="D309" s="178">
        <v>20</v>
      </c>
      <c r="E309" s="179" t="s">
        <v>803</v>
      </c>
      <c r="F309" s="179" t="s">
        <v>339</v>
      </c>
      <c r="G309" s="212" t="s">
        <v>6</v>
      </c>
      <c r="H309" s="179" t="s">
        <v>158</v>
      </c>
      <c r="I309" s="179" t="s">
        <v>159</v>
      </c>
      <c r="J309" s="179">
        <v>0</v>
      </c>
      <c r="K309" s="179" t="s">
        <v>183</v>
      </c>
      <c r="L309" s="179"/>
      <c r="M309" s="179" t="str">
        <f>_xlfn.XLOOKUP(Tablo7[[#This Row],[Yan Profili]],Anbar!$J$3:$J$1000,Anbar!$H$3:$H$1000,"Tapilmadi")</f>
        <v>Tapilmadi</v>
      </c>
      <c r="N309" s="179">
        <v>2</v>
      </c>
      <c r="O309" s="179">
        <v>46</v>
      </c>
      <c r="P309" s="179" t="s">
        <v>184</v>
      </c>
      <c r="Q309" s="179" t="str">
        <f>_xlfn.XLOOKUP(Tablo7[[#This Row],[Qulp növü]],Anbar!$J$3:$J$1000,Anbar!$H$3:$H$1000,"Tapilmadi")</f>
        <v>Tapilmadi</v>
      </c>
      <c r="R309" s="179">
        <v>1</v>
      </c>
      <c r="S309" s="180">
        <v>26</v>
      </c>
      <c r="T309" s="181"/>
      <c r="U309" s="179" t="str">
        <f>_xlfn.XLOOKUP(Tablo7[[#This Row],[Petlə]],Anbar!$J$3:$J$1000,Anbar!$H$3:$H$1000,"Tapilmadi")</f>
        <v>Tapilmadi</v>
      </c>
      <c r="V309" s="181">
        <v>0</v>
      </c>
      <c r="W309" s="180">
        <v>0</v>
      </c>
      <c r="X309" s="269">
        <v>9</v>
      </c>
      <c r="Y309" s="179" t="s">
        <v>36</v>
      </c>
      <c r="Z309" s="182">
        <v>1.9</v>
      </c>
      <c r="AA309" s="180">
        <v>48</v>
      </c>
      <c r="AB309" s="180"/>
      <c r="AC309" s="179" t="str">
        <f>_xlfn.XLOOKUP(Tablo7[[#This Row],[Bağlantı]],Anbar!$J$3:$J$1000,Anbar!$H$3:$H$1000,"Tapilmadi")</f>
        <v>Tapilmadi</v>
      </c>
      <c r="AD309" s="179"/>
      <c r="AE309" s="180">
        <v>8</v>
      </c>
      <c r="AF309" s="180"/>
      <c r="AG309" s="179" t="str">
        <f>_xlfn.XLOOKUP(Tablo7[[#This Row],[Mexanizm]],Anbar!$J$3:$J$1000,Anbar!$H$3:$H$1000,"Tapilmadi")</f>
        <v>Tapilmadi</v>
      </c>
      <c r="AH309" s="179">
        <v>1</v>
      </c>
      <c r="AI309" s="180">
        <v>0</v>
      </c>
      <c r="AJ309" s="180">
        <v>7</v>
      </c>
      <c r="AK309" s="180">
        <v>25</v>
      </c>
      <c r="AL309" s="180">
        <v>0</v>
      </c>
      <c r="AM309" s="180">
        <v>169</v>
      </c>
      <c r="AN309" s="180"/>
      <c r="AO309" s="180">
        <v>0</v>
      </c>
      <c r="AP309" s="194">
        <f>Tablo7[[#This Row],[Ümumi məbləğ]]-Tablo7[[#This Row],[Ödəniş]]-Tablo7[[#This Row],[Endirim]]</f>
        <v>169</v>
      </c>
      <c r="AQ309" s="183" t="str">
        <f t="shared" si="81"/>
        <v>Mesaj</v>
      </c>
      <c r="AR309" s="183" t="str">
        <f t="shared" si="82"/>
        <v>Mesaj</v>
      </c>
      <c r="AS309" s="184" t="str">
        <f>IF(ISNA(VLOOKUP(Tablo7[[#This Row],[Sifariş kodu]],'Kəsim ve təhvil'!$E$5:$E1307,1,0)),"Qəbul edilməyib","Qəbul edilib")</f>
        <v>Qəbul edilməyib</v>
      </c>
      <c r="AT309" s="185" t="str">
        <f>IF(ISNA(VLOOKUP(Tablo7[[#This Row],[Sifariş kodu]],'Kəsim ve təhvil'!$H$5:$H1307,1,0)),"Anbardadır","Təhvil verilib")</f>
        <v>Anbardadır</v>
      </c>
      <c r="AU309" s="186" t="str">
        <f>"Hörmətli *"&amp;Tablo7[[#This Row],[Müştəri]]&amp;"*  ,Sizin *"&amp;G309&amp;"* tarixli sifarişiniz qeydə alındı. Sifariş Məbləğı *"&amp;AM309&amp;" AZN* , Qalıq *"&amp;AP309&amp;" AZN* . Hörmətlə  *AlumPro*"</f>
        <v>Hörmətli *My Concept*  ,Sizin *23,12,2024* tarixli sifarişiniz qeydə alındı. Sifariş Məbləğı *169 AZN* , Qalıq *169 AZN* . Hörmətlə  *AlumPro*</v>
      </c>
      <c r="AV309" s="187" t="str">
        <f>"Hörmətli *"&amp;Tablo7[[#This Row],[Müştəri]]&amp;"* , sizin *"&amp;G309&amp;"* tarixli  sifarişiniz hazırdır . Bizi seçdiyiniz üçün minnətdarıq. Hörmətlə  *AlumPro*."</f>
        <v>Hörmətli *My Concept* , sizin *23,12,2024* tarixli  sifarişiniz hazırdır . Bizi seçdiyiniz üçün minnətdarıq. Hörmətlə  *AlumPro*.</v>
      </c>
      <c r="AW309" s="188" t="str">
        <f t="shared" si="84"/>
        <v>My</v>
      </c>
      <c r="AX309" s="189" t="str">
        <f t="shared" si="83"/>
        <v xml:space="preserve">My </v>
      </c>
    </row>
    <row r="310" spans="4:50">
      <c r="D310" s="178">
        <v>19</v>
      </c>
      <c r="E310" s="179" t="s">
        <v>804</v>
      </c>
      <c r="F310" s="179" t="s">
        <v>339</v>
      </c>
      <c r="G310" s="212" t="s">
        <v>6</v>
      </c>
      <c r="H310" s="179" t="s">
        <v>805</v>
      </c>
      <c r="I310" s="179" t="s">
        <v>806</v>
      </c>
      <c r="J310" s="179">
        <v>0</v>
      </c>
      <c r="K310" s="179" t="s">
        <v>189</v>
      </c>
      <c r="L310" s="179"/>
      <c r="M310" s="179" t="str">
        <f>_xlfn.XLOOKUP(Tablo7[[#This Row],[Yan Profili]],Anbar!$J$3:$J$1000,Anbar!$H$3:$H$1000,"Tapilmadi")</f>
        <v>Tapilmadi</v>
      </c>
      <c r="N310" s="179">
        <v>7</v>
      </c>
      <c r="O310" s="179">
        <v>161</v>
      </c>
      <c r="P310" s="179" t="s">
        <v>184</v>
      </c>
      <c r="Q310" s="179" t="str">
        <f>_xlfn.XLOOKUP(Tablo7[[#This Row],[Qulp növü]],Anbar!$J$3:$J$1000,Anbar!$H$3:$H$1000,"Tapilmadi")</f>
        <v>Tapilmadi</v>
      </c>
      <c r="R310" s="179">
        <v>4</v>
      </c>
      <c r="S310" s="180">
        <v>104</v>
      </c>
      <c r="T310" s="181"/>
      <c r="U310" s="179" t="str">
        <f>_xlfn.XLOOKUP(Tablo7[[#This Row],[Petlə]],Anbar!$J$3:$J$1000,Anbar!$H$3:$H$1000,"Tapilmadi")</f>
        <v>Tapilmadi</v>
      </c>
      <c r="V310" s="181">
        <v>0</v>
      </c>
      <c r="W310" s="180">
        <v>80</v>
      </c>
      <c r="X310" s="269">
        <v>0</v>
      </c>
      <c r="Y310" s="179" t="s">
        <v>199</v>
      </c>
      <c r="Z310" s="182">
        <v>6</v>
      </c>
      <c r="AA310" s="180">
        <v>153</v>
      </c>
      <c r="AB310" s="180"/>
      <c r="AC310" s="179" t="str">
        <f>_xlfn.XLOOKUP(Tablo7[[#This Row],[Bağlantı]],Anbar!$J$3:$J$1000,Anbar!$H$3:$H$1000,"Tapilmadi")</f>
        <v>Tapilmadi</v>
      </c>
      <c r="AD310" s="179"/>
      <c r="AE310" s="180">
        <v>40</v>
      </c>
      <c r="AF310" s="180"/>
      <c r="AG310" s="179" t="str">
        <f>_xlfn.XLOOKUP(Tablo7[[#This Row],[Mexanizm]],Anbar!$J$3:$J$1000,Anbar!$H$3:$H$1000,"Tapilmadi")</f>
        <v>Tapilmadi</v>
      </c>
      <c r="AH310" s="179">
        <v>1</v>
      </c>
      <c r="AI310" s="180">
        <v>0</v>
      </c>
      <c r="AJ310" s="180">
        <v>40</v>
      </c>
      <c r="AK310" s="180">
        <v>72</v>
      </c>
      <c r="AL310" s="180">
        <v>0</v>
      </c>
      <c r="AM310" s="180">
        <v>650</v>
      </c>
      <c r="AN310" s="180"/>
      <c r="AO310" s="180">
        <v>350</v>
      </c>
      <c r="AP310" s="194">
        <f>Tablo7[[#This Row],[Ümumi məbləğ]]-Tablo7[[#This Row],[Ödəniş]]-Tablo7[[#This Row],[Endirim]]</f>
        <v>300</v>
      </c>
      <c r="AQ310" s="183" t="str">
        <f t="shared" si="81"/>
        <v>Mesaj</v>
      </c>
      <c r="AR310" s="183" t="str">
        <f t="shared" si="82"/>
        <v>Mesaj</v>
      </c>
      <c r="AS310" s="184" t="str">
        <f>IF(ISNA(VLOOKUP(Tablo7[[#This Row],[Sifariş kodu]],'Kəsim ve təhvil'!$E$5:$E1308,1,0)),"Qəbul edilməyib","Qəbul edilib")</f>
        <v>Qəbul edilməyib</v>
      </c>
      <c r="AT310" s="185" t="str">
        <f>IF(ISNA(VLOOKUP(Tablo7[[#This Row],[Sifariş kodu]],'Kəsim ve təhvil'!$H$5:$H1308,1,0)),"Anbardadır","Təhvil verilib")</f>
        <v>Anbardadır</v>
      </c>
      <c r="AU310" s="186" t="str">
        <f>"Hörmətli *"&amp;Tablo7[[#This Row],[Müştəri]]&amp;"*  ,Sizin *"&amp;G310&amp;"* tarixli sifarişiniz qeydə alındı. Sifariş Məbləğı *"&amp;AM310&amp;" AZN* , Qalıq *"&amp;AP310&amp;" AZN* . Hörmətlə  *AlumPro*"</f>
        <v>Hörmətli *Xasay Dayi*  ,Sizin *23,12,2024* tarixli sifarişiniz qeydə alındı. Sifariş Məbləğı *650 AZN* , Qalıq *300 AZN* . Hörmətlə  *AlumPro*</v>
      </c>
      <c r="AV310" s="187" t="str">
        <f>"Hörmətli *"&amp;Tablo7[[#This Row],[Müştəri]]&amp;"* , sizin *"&amp;G310&amp;"* tarixli  sifarişiniz hazırdır . Bizi seçdiyiniz üçün minnətdarıq. Hörmətlə  *AlumPro*."</f>
        <v>Hörmətli *Xasay Dayi* , sizin *23,12,2024* tarixli  sifarişiniz hazırdır . Bizi seçdiyiniz üçün minnətdarıq. Hörmətlə  *AlumPro*.</v>
      </c>
      <c r="AW310" s="188" t="str">
        <f t="shared" si="84"/>
        <v>Xasay</v>
      </c>
      <c r="AX310" s="189" t="str">
        <f t="shared" si="83"/>
        <v xml:space="preserve">Xasay </v>
      </c>
    </row>
    <row r="311" spans="4:50">
      <c r="D311" s="178">
        <v>18</v>
      </c>
      <c r="E311" s="179" t="s">
        <v>807</v>
      </c>
      <c r="F311" s="179" t="s">
        <v>339</v>
      </c>
      <c r="G311" s="212" t="s">
        <v>6</v>
      </c>
      <c r="H311" s="179" t="s">
        <v>808</v>
      </c>
      <c r="I311" s="179" t="s">
        <v>809</v>
      </c>
      <c r="J311" s="179">
        <v>0</v>
      </c>
      <c r="K311" s="179" t="s">
        <v>189</v>
      </c>
      <c r="L311" s="179"/>
      <c r="M311" s="179" t="str">
        <f>_xlfn.XLOOKUP(Tablo7[[#This Row],[Yan Profili]],Anbar!$J$3:$J$1000,Anbar!$H$3:$H$1000,"Tapilmadi")</f>
        <v>Tapilmadi</v>
      </c>
      <c r="N311" s="179">
        <v>6</v>
      </c>
      <c r="O311" s="179">
        <v>138</v>
      </c>
      <c r="P311" s="179" t="s">
        <v>184</v>
      </c>
      <c r="Q311" s="179" t="str">
        <f>_xlfn.XLOOKUP(Tablo7[[#This Row],[Qulp növü]],Anbar!$J$3:$J$1000,Anbar!$H$3:$H$1000,"Tapilmadi")</f>
        <v>Tapilmadi</v>
      </c>
      <c r="R311" s="179">
        <v>4</v>
      </c>
      <c r="S311" s="180">
        <v>104</v>
      </c>
      <c r="T311" s="181"/>
      <c r="U311" s="179" t="str">
        <f>_xlfn.XLOOKUP(Tablo7[[#This Row],[Petlə]],Anbar!$J$3:$J$1000,Anbar!$H$3:$H$1000,"Tapilmadi")</f>
        <v>Tapilmadi</v>
      </c>
      <c r="V311" s="181">
        <v>0</v>
      </c>
      <c r="W311" s="180">
        <v>0</v>
      </c>
      <c r="X311" s="269">
        <v>0</v>
      </c>
      <c r="Y311" s="179" t="s">
        <v>199</v>
      </c>
      <c r="Z311" s="182">
        <v>6</v>
      </c>
      <c r="AA311" s="180">
        <v>152</v>
      </c>
      <c r="AB311" s="180"/>
      <c r="AC311" s="179" t="str">
        <f>_xlfn.XLOOKUP(Tablo7[[#This Row],[Bağlantı]],Anbar!$J$3:$J$1000,Anbar!$H$3:$H$1000,"Tapilmadi")</f>
        <v>Tapilmadi</v>
      </c>
      <c r="AD311" s="179"/>
      <c r="AE311" s="180">
        <v>16</v>
      </c>
      <c r="AF311" s="180"/>
      <c r="AG311" s="179" t="str">
        <f>_xlfn.XLOOKUP(Tablo7[[#This Row],[Mexanizm]],Anbar!$J$3:$J$1000,Anbar!$H$3:$H$1000,"Tapilmadi")</f>
        <v>Tapilmadi</v>
      </c>
      <c r="AH311" s="179">
        <v>1</v>
      </c>
      <c r="AI311" s="180">
        <v>0</v>
      </c>
      <c r="AJ311" s="180">
        <v>20</v>
      </c>
      <c r="AK311" s="180">
        <v>60</v>
      </c>
      <c r="AL311" s="180">
        <v>0</v>
      </c>
      <c r="AM311" s="180">
        <v>490</v>
      </c>
      <c r="AN311" s="180"/>
      <c r="AO311" s="180">
        <v>490</v>
      </c>
      <c r="AP311" s="194">
        <f>Tablo7[[#This Row],[Ümumi məbləğ]]-Tablo7[[#This Row],[Ödəniş]]-Tablo7[[#This Row],[Endirim]]</f>
        <v>0</v>
      </c>
      <c r="AQ311" s="183" t="str">
        <f t="shared" si="81"/>
        <v>Mesaj</v>
      </c>
      <c r="AR311" s="183" t="str">
        <f t="shared" si="82"/>
        <v>Mesaj</v>
      </c>
      <c r="AS311" s="184" t="str">
        <f>IF(ISNA(VLOOKUP(Tablo7[[#This Row],[Sifariş kodu]],'Kəsim ve təhvil'!$E$5:$E1309,1,0)),"Qəbul edilməyib","Qəbul edilib")</f>
        <v>Qəbul edilməyib</v>
      </c>
      <c r="AT311" s="185" t="str">
        <f>IF(ISNA(VLOOKUP(Tablo7[[#This Row],[Sifariş kodu]],'Kəsim ve təhvil'!$H$5:$H1309,1,0)),"Anbardadır","Təhvil verilib")</f>
        <v>Anbardadır</v>
      </c>
      <c r="AU311" s="186" t="str">
        <f>"Hörmətli *"&amp;Tablo7[[#This Row],[Müştəri]]&amp;"*  ,Sizin *"&amp;G311&amp;"* tarixli sifarişiniz qeydə alındı. Sifariş Məbləğı *"&amp;AM311&amp;" AZN* , Qalıq *"&amp;AP311&amp;" AZN* . Hörmətlə  *AlumPro*"</f>
        <v>Hörmətli *Perviz Ezimov*  ,Sizin *23,12,2024* tarixli sifarişiniz qeydə alındı. Sifariş Məbləğı *490 AZN* , Qalıq *0 AZN* . Hörmətlə  *AlumPro*</v>
      </c>
      <c r="AV311" s="187" t="str">
        <f>"Hörmətli *"&amp;Tablo7[[#This Row],[Müştəri]]&amp;"* , sizin *"&amp;G311&amp;"* tarixli  sifarişiniz hazırdır . Bizi seçdiyiniz üçün minnətdarıq. Hörmətlə  *AlumPro*."</f>
        <v>Hörmətli *Perviz Ezimov* , sizin *23,12,2024* tarixli  sifarişiniz hazırdır . Bizi seçdiyiniz üçün minnətdarıq. Hörmətlə  *AlumPro*.</v>
      </c>
      <c r="AW311" s="188" t="str">
        <f t="shared" si="84"/>
        <v>Perviz</v>
      </c>
      <c r="AX311" s="189" t="str">
        <f t="shared" si="83"/>
        <v xml:space="preserve">Perviz </v>
      </c>
    </row>
    <row r="312" spans="4:50">
      <c r="D312" s="178">
        <v>17</v>
      </c>
      <c r="E312" s="179" t="s">
        <v>810</v>
      </c>
      <c r="F312" s="179" t="s">
        <v>339</v>
      </c>
      <c r="G312" s="212" t="s">
        <v>6</v>
      </c>
      <c r="H312" s="179" t="s">
        <v>808</v>
      </c>
      <c r="I312" s="179" t="s">
        <v>809</v>
      </c>
      <c r="J312" s="179">
        <v>0</v>
      </c>
      <c r="K312" s="179" t="s">
        <v>183</v>
      </c>
      <c r="L312" s="179"/>
      <c r="M312" s="179" t="str">
        <f>_xlfn.XLOOKUP(Tablo7[[#This Row],[Yan Profili]],Anbar!$J$3:$J$1000,Anbar!$H$3:$H$1000,"Tapilmadi")</f>
        <v>Tapilmadi</v>
      </c>
      <c r="N312" s="179">
        <v>7</v>
      </c>
      <c r="O312" s="179">
        <v>161</v>
      </c>
      <c r="P312" s="179" t="s">
        <v>184</v>
      </c>
      <c r="Q312" s="179" t="str">
        <f>_xlfn.XLOOKUP(Tablo7[[#This Row],[Qulp növü]],Anbar!$J$3:$J$1000,Anbar!$H$3:$H$1000,"Tapilmadi")</f>
        <v>Tapilmadi</v>
      </c>
      <c r="R312" s="179">
        <v>3</v>
      </c>
      <c r="S312" s="180">
        <v>78</v>
      </c>
      <c r="T312" s="181"/>
      <c r="U312" s="179" t="str">
        <f>_xlfn.XLOOKUP(Tablo7[[#This Row],[Petlə]],Anbar!$J$3:$J$1000,Anbar!$H$3:$H$1000,"Tapilmadi")</f>
        <v>Tapilmadi</v>
      </c>
      <c r="V312" s="181">
        <v>0</v>
      </c>
      <c r="W312" s="180">
        <v>0</v>
      </c>
      <c r="X312" s="269">
        <v>30</v>
      </c>
      <c r="Y312" s="179" t="s">
        <v>199</v>
      </c>
      <c r="Z312" s="182">
        <v>4.32</v>
      </c>
      <c r="AA312" s="180">
        <v>108</v>
      </c>
      <c r="AB312" s="180"/>
      <c r="AC312" s="179" t="str">
        <f>_xlfn.XLOOKUP(Tablo7[[#This Row],[Bağlantı]],Anbar!$J$3:$J$1000,Anbar!$H$3:$H$1000,"Tapilmadi")</f>
        <v>Tapilmadi</v>
      </c>
      <c r="AD312" s="179"/>
      <c r="AE312" s="180">
        <v>40</v>
      </c>
      <c r="AF312" s="180"/>
      <c r="AG312" s="179" t="str">
        <f>_xlfn.XLOOKUP(Tablo7[[#This Row],[Mexanizm]],Anbar!$J$3:$J$1000,Anbar!$H$3:$H$1000,"Tapilmadi")</f>
        <v>Tapilmadi</v>
      </c>
      <c r="AH312" s="179">
        <v>1</v>
      </c>
      <c r="AI312" s="180">
        <v>0</v>
      </c>
      <c r="AJ312" s="180">
        <v>23</v>
      </c>
      <c r="AK312" s="180">
        <v>110</v>
      </c>
      <c r="AL312" s="180">
        <v>0</v>
      </c>
      <c r="AM312" s="180">
        <v>550</v>
      </c>
      <c r="AN312" s="180"/>
      <c r="AO312" s="180">
        <v>550</v>
      </c>
      <c r="AP312" s="194">
        <f>Tablo7[[#This Row],[Ümumi məbləğ]]-Tablo7[[#This Row],[Ödəniş]]-Tablo7[[#This Row],[Endirim]]</f>
        <v>0</v>
      </c>
      <c r="AQ312" s="183" t="str">
        <f t="shared" si="81"/>
        <v>Mesaj</v>
      </c>
      <c r="AR312" s="183" t="str">
        <f t="shared" si="82"/>
        <v>Mesaj</v>
      </c>
      <c r="AS312" s="184" t="str">
        <f>IF(ISNA(VLOOKUP(Tablo7[[#This Row],[Sifariş kodu]],'Kəsim ve təhvil'!$E$5:$E1310,1,0)),"Qəbul edilməyib","Qəbul edilib")</f>
        <v>Qəbul edilməyib</v>
      </c>
      <c r="AT312" s="185" t="str">
        <f>IF(ISNA(VLOOKUP(Tablo7[[#This Row],[Sifariş kodu]],'Kəsim ve təhvil'!$H$5:$H1310,1,0)),"Anbardadır","Təhvil verilib")</f>
        <v>Anbardadır</v>
      </c>
      <c r="AU312" s="186" t="str">
        <f>"Hörmətli *"&amp;Tablo7[[#This Row],[Müştəri]]&amp;"*  ,Sizin *"&amp;G312&amp;"* tarixli sifarişiniz qeydə alındı. Sifariş Məbləğı *"&amp;AM312&amp;" AZN* , Qalıq *"&amp;AP312&amp;" AZN* . Hörmətlə  *AlumPro*"</f>
        <v>Hörmətli *Perviz Ezimov*  ,Sizin *23,12,2024* tarixli sifarişiniz qeydə alındı. Sifariş Məbləğı *550 AZN* , Qalıq *0 AZN* . Hörmətlə  *AlumPro*</v>
      </c>
      <c r="AV312" s="187" t="str">
        <f>"Hörmətli *"&amp;Tablo7[[#This Row],[Müştəri]]&amp;"* , sizin *"&amp;G312&amp;"* tarixli  sifarişiniz hazırdır . Bizi seçdiyiniz üçün minnətdarıq. Hörmətlə  *AlumPro*."</f>
        <v>Hörmətli *Perviz Ezimov* , sizin *23,12,2024* tarixli  sifarişiniz hazırdır . Bizi seçdiyiniz üçün minnətdarıq. Hörmətlə  *AlumPro*.</v>
      </c>
      <c r="AW312" s="188" t="str">
        <f t="shared" si="84"/>
        <v>Perviz</v>
      </c>
      <c r="AX312" s="189" t="str">
        <f t="shared" si="83"/>
        <v xml:space="preserve">Perviz </v>
      </c>
    </row>
    <row r="313" spans="4:50">
      <c r="D313" s="178">
        <v>16</v>
      </c>
      <c r="E313" s="179" t="s">
        <v>811</v>
      </c>
      <c r="F313" s="179" t="s">
        <v>339</v>
      </c>
      <c r="G313" s="212" t="s">
        <v>6</v>
      </c>
      <c r="H313" s="179" t="s">
        <v>345</v>
      </c>
      <c r="I313" s="179" t="s">
        <v>346</v>
      </c>
      <c r="J313" s="179">
        <v>0</v>
      </c>
      <c r="K313" s="179" t="s">
        <v>226</v>
      </c>
      <c r="L313" s="179"/>
      <c r="M313" s="179" t="str">
        <f>_xlfn.XLOOKUP(Tablo7[[#This Row],[Yan Profili]],Anbar!$J$3:$J$1000,Anbar!$H$3:$H$1000,"Tapilmadi")</f>
        <v>Tapilmadi</v>
      </c>
      <c r="N313" s="179">
        <v>6</v>
      </c>
      <c r="O313" s="179">
        <v>138</v>
      </c>
      <c r="P313" s="179" t="s">
        <v>184</v>
      </c>
      <c r="Q313" s="179" t="str">
        <f>_xlfn.XLOOKUP(Tablo7[[#This Row],[Qulp növü]],Anbar!$J$3:$J$1000,Anbar!$H$3:$H$1000,"Tapilmadi")</f>
        <v>Tapilmadi</v>
      </c>
      <c r="R313" s="179">
        <v>4</v>
      </c>
      <c r="S313" s="180">
        <v>104</v>
      </c>
      <c r="T313" s="181" t="s">
        <v>196</v>
      </c>
      <c r="U313" s="179" t="str">
        <f>_xlfn.XLOOKUP(Tablo7[[#This Row],[Petlə]],Anbar!$J$3:$J$1000,Anbar!$H$3:$H$1000,"Tapilmadi")</f>
        <v>Tapilmadi</v>
      </c>
      <c r="V313" s="181">
        <v>20</v>
      </c>
      <c r="W313" s="180">
        <v>80</v>
      </c>
      <c r="X313" s="269">
        <v>0</v>
      </c>
      <c r="Y313" s="179" t="s">
        <v>36</v>
      </c>
      <c r="Z313" s="182">
        <v>0</v>
      </c>
      <c r="AA313" s="180">
        <v>176</v>
      </c>
      <c r="AB313" s="180"/>
      <c r="AC313" s="179" t="str">
        <f>_xlfn.XLOOKUP(Tablo7[[#This Row],[Bağlantı]],Anbar!$J$3:$J$1000,Anbar!$H$3:$H$1000,"Tapilmadi")</f>
        <v>Tapilmadi</v>
      </c>
      <c r="AD313" s="179"/>
      <c r="AE313" s="180">
        <v>32</v>
      </c>
      <c r="AF313" s="180"/>
      <c r="AG313" s="179" t="str">
        <f>_xlfn.XLOOKUP(Tablo7[[#This Row],[Mexanizm]],Anbar!$J$3:$J$1000,Anbar!$H$3:$H$1000,"Tapilmadi")</f>
        <v>Tapilmadi</v>
      </c>
      <c r="AH313" s="179">
        <v>1</v>
      </c>
      <c r="AI313" s="180">
        <v>0</v>
      </c>
      <c r="AJ313" s="180">
        <v>50</v>
      </c>
      <c r="AK313" s="180">
        <v>60</v>
      </c>
      <c r="AL313" s="180">
        <v>0</v>
      </c>
      <c r="AM313" s="180">
        <v>640</v>
      </c>
      <c r="AN313" s="180"/>
      <c r="AO313" s="180">
        <v>640</v>
      </c>
      <c r="AP313" s="194">
        <f>Tablo7[[#This Row],[Ümumi məbləğ]]-Tablo7[[#This Row],[Ödəniş]]-Tablo7[[#This Row],[Endirim]]</f>
        <v>0</v>
      </c>
      <c r="AQ313" s="183" t="str">
        <f t="shared" si="81"/>
        <v>Mesaj</v>
      </c>
      <c r="AR313" s="183" t="str">
        <f t="shared" si="82"/>
        <v>Mesaj</v>
      </c>
      <c r="AS313" s="184" t="str">
        <f>IF(ISNA(VLOOKUP(Tablo7[[#This Row],[Sifariş kodu]],'Kəsim ve təhvil'!$E$5:$E1311,1,0)),"Qəbul edilməyib","Qəbul edilib")</f>
        <v>Qəbul edilməyib</v>
      </c>
      <c r="AT313" s="185" t="str">
        <f>IF(ISNA(VLOOKUP(Tablo7[[#This Row],[Sifariş kodu]],'Kəsim ve təhvil'!$H$5:$H1311,1,0)),"Anbardadır","Təhvil verilib")</f>
        <v>Anbardadır</v>
      </c>
      <c r="AU313" s="186" t="str">
        <f>"Hörmətli *"&amp;Tablo7[[#This Row],[Müştəri]]&amp;"*  ,Sizin *"&amp;G313&amp;"* tarixli sifarişiniz qeydə alındı. Sifariş Məbləğı *"&amp;AM313&amp;" AZN* , Qalıq *"&amp;AP313&amp;" AZN* . Hörmətlə  *AlumPro*"</f>
        <v>Hörmətli *Vusal Nusalov*  ,Sizin *23,12,2024* tarixli sifarişiniz qeydə alındı. Sifariş Məbləğı *640 AZN* , Qalıq *0 AZN* . Hörmətlə  *AlumPro*</v>
      </c>
      <c r="AV313" s="187" t="str">
        <f>"Hörmətli *"&amp;Tablo7[[#This Row],[Müştəri]]&amp;"* , sizin *"&amp;G313&amp;"* tarixli  sifarişiniz hazırdır . Bizi seçdiyiniz üçün minnətdarıq. Hörmətlə  *AlumPro*."</f>
        <v>Hörmətli *Vusal Nusalov* , sizin *23,12,2024* tarixli  sifarişiniz hazırdır . Bizi seçdiyiniz üçün minnətdarıq. Hörmətlə  *AlumPro*.</v>
      </c>
      <c r="AW313" s="188" t="str">
        <f t="shared" si="84"/>
        <v>Vusal</v>
      </c>
      <c r="AX313" s="189" t="str">
        <f t="shared" si="83"/>
        <v xml:space="preserve">Vusal </v>
      </c>
    </row>
    <row r="314" spans="4:50">
      <c r="D314" s="178">
        <v>15</v>
      </c>
      <c r="E314" s="179" t="s">
        <v>812</v>
      </c>
      <c r="F314" s="179" t="s">
        <v>339</v>
      </c>
      <c r="G314" s="212" t="s">
        <v>6</v>
      </c>
      <c r="H314" s="179" t="s">
        <v>158</v>
      </c>
      <c r="I314" s="179" t="s">
        <v>159</v>
      </c>
      <c r="J314" s="179">
        <v>0</v>
      </c>
      <c r="K314" s="179" t="s">
        <v>183</v>
      </c>
      <c r="L314" s="179"/>
      <c r="M314" s="179">
        <f>_xlfn.XLOOKUP(Tablo7[[#This Row],[Yan Profili]],Anbar!$J$3:$J$1000,Anbar!$H$3:$H$1000,"Tapilmadi")</f>
        <v>0</v>
      </c>
      <c r="N314" s="179">
        <v>2</v>
      </c>
      <c r="O314" s="179">
        <v>46</v>
      </c>
      <c r="P314" s="179" t="s">
        <v>195</v>
      </c>
      <c r="Q314" s="179" t="str">
        <f>_xlfn.XLOOKUP(Tablo7[[#This Row],[Qulp növü]],Anbar!$J$3:$J$1000,Anbar!$H$3:$H$1000,"Tapilmadi")</f>
        <v>Tapilmadi</v>
      </c>
      <c r="R314" s="179">
        <v>0</v>
      </c>
      <c r="S314" s="180">
        <v>0</v>
      </c>
      <c r="T314" s="181"/>
      <c r="U314" s="179" t="str">
        <f>_xlfn.XLOOKUP(Tablo7[[#This Row],[Petlə]],Anbar!$J$3:$J$1000,Anbar!$H$3:$H$1000,"Tapilmadi")</f>
        <v>Tapilmadi</v>
      </c>
      <c r="V314" s="181">
        <v>0</v>
      </c>
      <c r="W314" s="180">
        <v>5</v>
      </c>
      <c r="X314" s="269">
        <v>0</v>
      </c>
      <c r="Y314" s="179" t="s">
        <v>36</v>
      </c>
      <c r="Z314" s="182">
        <v>0</v>
      </c>
      <c r="AA314" s="180">
        <v>24</v>
      </c>
      <c r="AB314" s="180"/>
      <c r="AC314" s="179" t="str">
        <f>_xlfn.XLOOKUP(Tablo7[[#This Row],[Bağlantı]],Anbar!$J$3:$J$1000,Anbar!$H$3:$H$1000,"Tapilmadi")</f>
        <v>Tapilmadi</v>
      </c>
      <c r="AD314" s="179"/>
      <c r="AE314" s="180">
        <v>8</v>
      </c>
      <c r="AF314" s="180"/>
      <c r="AG314" s="179" t="str">
        <f>_xlfn.XLOOKUP(Tablo7[[#This Row],[Mexanizm]],Anbar!$J$3:$J$1000,Anbar!$H$3:$H$1000,"Tapilmadi")</f>
        <v>Tapilmadi</v>
      </c>
      <c r="AH314" s="179">
        <v>1</v>
      </c>
      <c r="AI314" s="180">
        <v>0</v>
      </c>
      <c r="AJ314" s="180">
        <v>0</v>
      </c>
      <c r="AK314" s="180">
        <v>25</v>
      </c>
      <c r="AL314" s="180">
        <v>0</v>
      </c>
      <c r="AM314" s="180">
        <v>108</v>
      </c>
      <c r="AN314" s="180"/>
      <c r="AO314" s="180">
        <v>0</v>
      </c>
      <c r="AP314" s="194">
        <f>Tablo7[[#This Row],[Ümumi məbləğ]]-Tablo7[[#This Row],[Ödəniş]]-Tablo7[[#This Row],[Endirim]]</f>
        <v>108</v>
      </c>
      <c r="AQ314" s="183" t="str">
        <f t="shared" si="81"/>
        <v>Mesaj</v>
      </c>
      <c r="AR314" s="183" t="str">
        <f t="shared" si="82"/>
        <v>Mesaj</v>
      </c>
      <c r="AS314" s="184" t="str">
        <f>IF(ISNA(VLOOKUP(Tablo7[[#This Row],[Sifariş kodu]],'Kəsim ve təhvil'!$E$5:$E1312,1,0)),"Qəbul edilməyib","Qəbul edilib")</f>
        <v>Qəbul edilməyib</v>
      </c>
      <c r="AT314" s="185" t="str">
        <f>IF(ISNA(VLOOKUP(Tablo7[[#This Row],[Sifariş kodu]],'Kəsim ve təhvil'!$H$5:$H1312,1,0)),"Anbardadır","Təhvil verilib")</f>
        <v>Anbardadır</v>
      </c>
      <c r="AU314" s="186" t="str">
        <f>"Hörmətli *"&amp;Tablo7[[#This Row],[Müştəri]]&amp;"*  ,Sizin *"&amp;G314&amp;"* tarixli sifarişiniz qeydə alındı. Sifariş Məbləğı *"&amp;AM314&amp;" AZN* , Qalıq *"&amp;AP314&amp;" AZN* . Hörmətlə  *AlumPro*"</f>
        <v>Hörmətli *My Concept*  ,Sizin *23,12,2024* tarixli sifarişiniz qeydə alındı. Sifariş Məbləğı *108 AZN* , Qalıq *108 AZN* . Hörmətlə  *AlumPro*</v>
      </c>
      <c r="AV314" s="187" t="str">
        <f>"Hörmətli *"&amp;Tablo7[[#This Row],[Müştəri]]&amp;"* , sizin *"&amp;G314&amp;"* tarixli  sifarişiniz hazırdır . Bizi seçdiyiniz üçün minnətdarıq. Hörmətlə  *AlumPro*."</f>
        <v>Hörmətli *My Concept* , sizin *23,12,2024* tarixli  sifarişiniz hazırdır . Bizi seçdiyiniz üçün minnətdarıq. Hörmətlə  *AlumPro*.</v>
      </c>
      <c r="AW314" s="188" t="str">
        <f t="shared" si="84"/>
        <v>My</v>
      </c>
      <c r="AX314" s="189" t="str">
        <f t="shared" si="83"/>
        <v xml:space="preserve">My </v>
      </c>
    </row>
    <row r="315" spans="4:50">
      <c r="D315" s="178">
        <v>14</v>
      </c>
      <c r="E315" s="179" t="s">
        <v>813</v>
      </c>
      <c r="F315" s="179" t="s">
        <v>339</v>
      </c>
      <c r="G315" s="212" t="s">
        <v>6</v>
      </c>
      <c r="H315" s="179" t="s">
        <v>814</v>
      </c>
      <c r="I315" s="179" t="s">
        <v>815</v>
      </c>
      <c r="J315" s="179">
        <v>0</v>
      </c>
      <c r="K315" s="179" t="s">
        <v>816</v>
      </c>
      <c r="L315" s="179"/>
      <c r="M315" s="179" t="str">
        <f>_xlfn.XLOOKUP(Tablo7[[#This Row],[Yan Profili]],Anbar!$J$3:$J$1000,Anbar!$H$3:$H$1000,"Tapilmadi")</f>
        <v>Tapilmadi</v>
      </c>
      <c r="N315" s="179">
        <v>6</v>
      </c>
      <c r="O315" s="179">
        <v>300</v>
      </c>
      <c r="P315" s="179" t="s">
        <v>195</v>
      </c>
      <c r="Q315" s="179" t="str">
        <f>_xlfn.XLOOKUP(Tablo7[[#This Row],[Qulp növü]],Anbar!$J$3:$J$1000,Anbar!$H$3:$H$1000,"Tapilmadi")</f>
        <v>Tapilmadi</v>
      </c>
      <c r="R315" s="179">
        <v>0</v>
      </c>
      <c r="S315" s="180">
        <v>0</v>
      </c>
      <c r="T315" s="181"/>
      <c r="U315" s="179" t="str">
        <f>_xlfn.XLOOKUP(Tablo7[[#This Row],[Petlə]],Anbar!$J$3:$J$1000,Anbar!$H$3:$H$1000,"Tapilmadi")</f>
        <v>Tapilmadi</v>
      </c>
      <c r="V315" s="181">
        <v>4</v>
      </c>
      <c r="W315" s="180">
        <v>480</v>
      </c>
      <c r="X315" s="269">
        <v>0</v>
      </c>
      <c r="Y315" s="179" t="s">
        <v>36</v>
      </c>
      <c r="Z315" s="182">
        <v>0</v>
      </c>
      <c r="AA315" s="180">
        <v>0</v>
      </c>
      <c r="AB315" s="180"/>
      <c r="AC315" s="179" t="str">
        <f>_xlfn.XLOOKUP(Tablo7[[#This Row],[Bağlantı]],Anbar!$J$3:$J$1000,Anbar!$H$3:$H$1000,"Tapilmadi")</f>
        <v>Tapilmadi</v>
      </c>
      <c r="AD315" s="179"/>
      <c r="AE315" s="180">
        <v>80</v>
      </c>
      <c r="AF315" s="180"/>
      <c r="AG315" s="179" t="str">
        <f>_xlfn.XLOOKUP(Tablo7[[#This Row],[Mexanizm]],Anbar!$J$3:$J$1000,Anbar!$H$3:$H$1000,"Tapilmadi")</f>
        <v>Tapilmadi</v>
      </c>
      <c r="AH315" s="179">
        <v>1</v>
      </c>
      <c r="AI315" s="180">
        <v>0</v>
      </c>
      <c r="AJ315" s="180">
        <v>0</v>
      </c>
      <c r="AK315" s="180">
        <v>200</v>
      </c>
      <c r="AL315" s="180">
        <v>0</v>
      </c>
      <c r="AM315" s="180">
        <v>1060</v>
      </c>
      <c r="AN315" s="180"/>
      <c r="AO315" s="180">
        <v>1060</v>
      </c>
      <c r="AP315" s="194">
        <f>Tablo7[[#This Row],[Ümumi məbləğ]]-Tablo7[[#This Row],[Ödəniş]]-Tablo7[[#This Row],[Endirim]]</f>
        <v>0</v>
      </c>
      <c r="AQ315" s="183" t="str">
        <f t="shared" si="81"/>
        <v>Mesaj</v>
      </c>
      <c r="AR315" s="183" t="str">
        <f t="shared" si="82"/>
        <v>Mesaj</v>
      </c>
      <c r="AS315" s="184" t="str">
        <f>IF(ISNA(VLOOKUP(Tablo7[[#This Row],[Sifariş kodu]],'Kəsim ve təhvil'!$E$5:$E1313,1,0)),"Qəbul edilməyib","Qəbul edilib")</f>
        <v>Qəbul edilməyib</v>
      </c>
      <c r="AT315" s="185" t="str">
        <f>IF(ISNA(VLOOKUP(Tablo7[[#This Row],[Sifariş kodu]],'Kəsim ve təhvil'!$H$5:$H1313,1,0)),"Anbardadır","Təhvil verilib")</f>
        <v>Anbardadır</v>
      </c>
      <c r="AU315" s="186" t="str">
        <f>"Hörmətli *"&amp;Tablo7[[#This Row],[Müştəri]]&amp;"*  ,Sizin *"&amp;G315&amp;"* tarixli sifarişiniz qeydə alındı. Sifariş Məbləğı *"&amp;AM315&amp;" AZN* , Qalıq *"&amp;AP315&amp;" AZN* . Hörmətlə  *AlumPro*"</f>
        <v>Hörmətli *Fexreddin Bey*  ,Sizin *23,12,2024* tarixli sifarişiniz qeydə alındı. Sifariş Məbləğı *1060 AZN* , Qalıq *0 AZN* . Hörmətlə  *AlumPro*</v>
      </c>
      <c r="AV315" s="187" t="str">
        <f>"Hörmətli *"&amp;Tablo7[[#This Row],[Müştəri]]&amp;"* , sizin *"&amp;G315&amp;"* tarixli  sifarişiniz hazırdır . Bizi seçdiyiniz üçün minnətdarıq. Hörmətlə  *AlumPro*."</f>
        <v>Hörmətli *Fexreddin Bey* , sizin *23,12,2024* tarixli  sifarişiniz hazırdır . Bizi seçdiyiniz üçün minnətdarıq. Hörmətlə  *AlumPro*.</v>
      </c>
      <c r="AW315" s="188" t="str">
        <f t="shared" si="84"/>
        <v>Fexreddin</v>
      </c>
      <c r="AX315" s="189" t="str">
        <f t="shared" si="83"/>
        <v xml:space="preserve">Fexreddin </v>
      </c>
    </row>
    <row r="316" spans="4:50">
      <c r="D316" s="178">
        <v>13</v>
      </c>
      <c r="E316" s="179" t="s">
        <v>817</v>
      </c>
      <c r="F316" s="179" t="s">
        <v>339</v>
      </c>
      <c r="G316" s="212" t="s">
        <v>6</v>
      </c>
      <c r="H316" s="179" t="s">
        <v>679</v>
      </c>
      <c r="I316" s="179" t="s">
        <v>680</v>
      </c>
      <c r="J316" s="179">
        <v>0</v>
      </c>
      <c r="K316" s="179" t="s">
        <v>183</v>
      </c>
      <c r="L316" s="179"/>
      <c r="M316" s="179" t="str">
        <f>_xlfn.XLOOKUP(Tablo7[[#This Row],[Yan Profili]],Anbar!$J$3:$J$1000,Anbar!$H$3:$H$1000,"Tapilmadi")</f>
        <v>Tapilmadi</v>
      </c>
      <c r="N316" s="179">
        <v>23</v>
      </c>
      <c r="O316" s="179">
        <v>529</v>
      </c>
      <c r="P316" s="179" t="s">
        <v>184</v>
      </c>
      <c r="Q316" s="179" t="str">
        <f>_xlfn.XLOOKUP(Tablo7[[#This Row],[Qulp növü]],Anbar!$J$3:$J$1000,Anbar!$H$3:$H$1000,"Tapilmadi")</f>
        <v>Tapilmadi</v>
      </c>
      <c r="R316" s="179">
        <v>17</v>
      </c>
      <c r="S316" s="180">
        <v>442</v>
      </c>
      <c r="T316" s="181"/>
      <c r="U316" s="179" t="str">
        <f>_xlfn.XLOOKUP(Tablo7[[#This Row],[Petlə]],Anbar!$J$3:$J$1000,Anbar!$H$3:$H$1000,"Tapilmadi")</f>
        <v>Tapilmadi</v>
      </c>
      <c r="V316" s="181">
        <v>0</v>
      </c>
      <c r="W316" s="180">
        <v>0</v>
      </c>
      <c r="X316" s="269">
        <v>120</v>
      </c>
      <c r="Y316" s="179" t="s">
        <v>36</v>
      </c>
      <c r="Z316" s="182">
        <v>26.88</v>
      </c>
      <c r="AA316" s="180">
        <v>672</v>
      </c>
      <c r="AB316" s="180"/>
      <c r="AC316" s="179" t="str">
        <f>_xlfn.XLOOKUP(Tablo7[[#This Row],[Bağlantı]],Anbar!$J$3:$J$1000,Anbar!$H$3:$H$1000,"Tapilmadi")</f>
        <v>Tapilmadi</v>
      </c>
      <c r="AD316" s="179"/>
      <c r="AE316" s="180">
        <v>68</v>
      </c>
      <c r="AF316" s="180"/>
      <c r="AG316" s="179" t="str">
        <f>_xlfn.XLOOKUP(Tablo7[[#This Row],[Mexanizm]],Anbar!$J$3:$J$1000,Anbar!$H$3:$H$1000,"Tapilmadi")</f>
        <v>Tapilmadi</v>
      </c>
      <c r="AH316" s="179">
        <v>1</v>
      </c>
      <c r="AI316" s="180">
        <v>0</v>
      </c>
      <c r="AJ316" s="180">
        <v>84</v>
      </c>
      <c r="AK316" s="180">
        <v>255</v>
      </c>
      <c r="AL316" s="180">
        <v>0</v>
      </c>
      <c r="AM316" s="180">
        <v>2170</v>
      </c>
      <c r="AN316" s="180"/>
      <c r="AO316" s="180">
        <v>2170</v>
      </c>
      <c r="AP316" s="194">
        <f>Tablo7[[#This Row],[Ümumi məbləğ]]-Tablo7[[#This Row],[Ödəniş]]-Tablo7[[#This Row],[Endirim]]</f>
        <v>0</v>
      </c>
      <c r="AQ316" s="183" t="str">
        <f t="shared" si="81"/>
        <v>Mesaj</v>
      </c>
      <c r="AR316" s="183" t="str">
        <f t="shared" si="82"/>
        <v>Mesaj</v>
      </c>
      <c r="AS316" s="184" t="str">
        <f>IF(ISNA(VLOOKUP(Tablo7[[#This Row],[Sifariş kodu]],'Kəsim ve təhvil'!$E$5:$E1314,1,0)),"Qəbul edilməyib","Qəbul edilib")</f>
        <v>Qəbul edilməyib</v>
      </c>
      <c r="AT316" s="185" t="str">
        <f>IF(ISNA(VLOOKUP(Tablo7[[#This Row],[Sifariş kodu]],'Kəsim ve təhvil'!$H$5:$H1314,1,0)),"Anbardadır","Təhvil verilib")</f>
        <v>Anbardadır</v>
      </c>
      <c r="AU316" s="186" t="str">
        <f>"Hörmətli *"&amp;Tablo7[[#This Row],[Müştəri]]&amp;"*  ,Sizin *"&amp;G316&amp;"* tarixli sifarişiniz qeydə alındı. Sifariş Məbləğı *"&amp;AM316&amp;" AZN* , Qalıq *"&amp;AP316&amp;" AZN* . Hörmətlə  *AlumPro*"</f>
        <v>Hörmətli *Elsen Qarazavod*  ,Sizin *23,12,2024* tarixli sifarişiniz qeydə alındı. Sifariş Məbləğı *2170 AZN* , Qalıq *0 AZN* . Hörmətlə  *AlumPro*</v>
      </c>
      <c r="AV316" s="187" t="str">
        <f>"Hörmətli *"&amp;Tablo7[[#This Row],[Müştəri]]&amp;"* , sizin *"&amp;G316&amp;"* tarixli  sifarişiniz hazırdır . Bizi seçdiyiniz üçün minnətdarıq. Hörmətlə  *AlumPro*."</f>
        <v>Hörmətli *Elsen Qarazavod* , sizin *23,12,2024* tarixli  sifarişiniz hazırdır . Bizi seçdiyiniz üçün minnətdarıq. Hörmətlə  *AlumPro*.</v>
      </c>
      <c r="AW316" s="188" t="str">
        <f t="shared" si="84"/>
        <v>Elsen</v>
      </c>
      <c r="AX316" s="189" t="str">
        <f t="shared" si="83"/>
        <v xml:space="preserve">Elsen </v>
      </c>
    </row>
    <row r="317" spans="4:50">
      <c r="D317" s="178">
        <v>12</v>
      </c>
      <c r="E317" s="179" t="s">
        <v>818</v>
      </c>
      <c r="F317" s="179" t="s">
        <v>339</v>
      </c>
      <c r="G317" s="212" t="s">
        <v>6</v>
      </c>
      <c r="H317" s="179" t="s">
        <v>771</v>
      </c>
      <c r="I317" s="179" t="s">
        <v>772</v>
      </c>
      <c r="J317" s="179">
        <v>0</v>
      </c>
      <c r="K317" s="179" t="s">
        <v>183</v>
      </c>
      <c r="L317" s="179"/>
      <c r="M317" s="179" t="str">
        <f>_xlfn.XLOOKUP(Tablo7[[#This Row],[Yan Profili]],Anbar!$J$3:$J$1000,Anbar!$H$3:$H$1000,"Tapilmadi")</f>
        <v>Tapilmadi</v>
      </c>
      <c r="N317" s="179">
        <v>1</v>
      </c>
      <c r="O317" s="179">
        <v>23</v>
      </c>
      <c r="P317" s="179" t="s">
        <v>184</v>
      </c>
      <c r="Q317" s="179" t="str">
        <f>_xlfn.XLOOKUP(Tablo7[[#This Row],[Qulp növü]],Anbar!$J$3:$J$1000,Anbar!$H$3:$H$1000,"Tapilmadi")</f>
        <v>Tapilmadi</v>
      </c>
      <c r="R317" s="179">
        <v>1</v>
      </c>
      <c r="S317" s="180">
        <v>26</v>
      </c>
      <c r="T317" s="181"/>
      <c r="U317" s="179" t="str">
        <f>_xlfn.XLOOKUP(Tablo7[[#This Row],[Petlə]],Anbar!$J$3:$J$1000,Anbar!$H$3:$H$1000,"Tapilmadi")</f>
        <v>Tapilmadi</v>
      </c>
      <c r="V317" s="181">
        <v>0</v>
      </c>
      <c r="W317" s="180">
        <v>0</v>
      </c>
      <c r="X317" s="269">
        <v>6</v>
      </c>
      <c r="Y317" s="179" t="s">
        <v>36</v>
      </c>
      <c r="Z317" s="182">
        <v>0.68</v>
      </c>
      <c r="AA317" s="180">
        <v>17</v>
      </c>
      <c r="AB317" s="180"/>
      <c r="AC317" s="179" t="str">
        <f>_xlfn.XLOOKUP(Tablo7[[#This Row],[Bağlantı]],Anbar!$J$3:$J$1000,Anbar!$H$3:$H$1000,"Tapilmadi")</f>
        <v>Tapilmadi</v>
      </c>
      <c r="AD317" s="179"/>
      <c r="AE317" s="180">
        <v>4</v>
      </c>
      <c r="AF317" s="180"/>
      <c r="AG317" s="179" t="str">
        <f>_xlfn.XLOOKUP(Tablo7[[#This Row],[Mexanizm]],Anbar!$J$3:$J$1000,Anbar!$H$3:$H$1000,"Tapilmadi")</f>
        <v>Tapilmadi</v>
      </c>
      <c r="AH317" s="179">
        <v>1</v>
      </c>
      <c r="AI317" s="180">
        <v>0</v>
      </c>
      <c r="AJ317" s="180">
        <v>4</v>
      </c>
      <c r="AK317" s="180">
        <v>15</v>
      </c>
      <c r="AL317" s="180">
        <v>0</v>
      </c>
      <c r="AM317" s="180">
        <v>95</v>
      </c>
      <c r="AN317" s="180"/>
      <c r="AO317" s="180">
        <v>95</v>
      </c>
      <c r="AP317" s="194">
        <f>Tablo7[[#This Row],[Ümumi məbləğ]]-Tablo7[[#This Row],[Ödəniş]]-Tablo7[[#This Row],[Endirim]]</f>
        <v>0</v>
      </c>
      <c r="AQ317" s="183" t="str">
        <f t="shared" si="81"/>
        <v>Mesaj</v>
      </c>
      <c r="AR317" s="183" t="str">
        <f t="shared" si="82"/>
        <v>Mesaj</v>
      </c>
      <c r="AS317" s="184" t="str">
        <f>IF(ISNA(VLOOKUP(Tablo7[[#This Row],[Sifariş kodu]],'Kəsim ve təhvil'!$E$5:$E1315,1,0)),"Qəbul edilməyib","Qəbul edilib")</f>
        <v>Qəbul edilməyib</v>
      </c>
      <c r="AT317" s="185" t="str">
        <f>IF(ISNA(VLOOKUP(Tablo7[[#This Row],[Sifariş kodu]],'Kəsim ve təhvil'!$H$5:$H1315,1,0)),"Anbardadır","Təhvil verilib")</f>
        <v>Anbardadır</v>
      </c>
      <c r="AU317" s="186" t="str">
        <f>"Hörmətli *"&amp;Tablo7[[#This Row],[Müştəri]]&amp;"*  ,Sizin *"&amp;G317&amp;"* tarixli sifarişiniz qeydə alındı. Sifariş Məbləğı *"&amp;AM317&amp;" AZN* , Qalıq *"&amp;AP317&amp;" AZN* . Hörmətlə  *AlumPro*"</f>
        <v>Hörmətli *Orxan Omer*  ,Sizin *23,12,2024* tarixli sifarişiniz qeydə alındı. Sifariş Məbləğı *95 AZN* , Qalıq *0 AZN* . Hörmətlə  *AlumPro*</v>
      </c>
      <c r="AV317" s="187" t="str">
        <f>"Hörmətli *"&amp;Tablo7[[#This Row],[Müştəri]]&amp;"* , sizin *"&amp;G317&amp;"* tarixli  sifarişiniz hazırdır . Bizi seçdiyiniz üçün minnətdarıq. Hörmətlə  *AlumPro*."</f>
        <v>Hörmətli *Orxan Omer* , sizin *23,12,2024* tarixli  sifarişiniz hazırdır . Bizi seçdiyiniz üçün minnətdarıq. Hörmətlə  *AlumPro*.</v>
      </c>
      <c r="AW317" s="188" t="str">
        <f t="shared" si="84"/>
        <v>Orxan</v>
      </c>
      <c r="AX317" s="189" t="str">
        <f t="shared" si="83"/>
        <v xml:space="preserve">Orxan </v>
      </c>
    </row>
    <row r="318" spans="4:50">
      <c r="D318" s="178">
        <v>11</v>
      </c>
      <c r="E318" s="179" t="s">
        <v>819</v>
      </c>
      <c r="F318" s="179" t="s">
        <v>339</v>
      </c>
      <c r="G318" s="212" t="s">
        <v>6</v>
      </c>
      <c r="H318" s="179" t="s">
        <v>479</v>
      </c>
      <c r="I318" s="179" t="s">
        <v>480</v>
      </c>
      <c r="J318" s="179">
        <v>0</v>
      </c>
      <c r="K318" s="179" t="s">
        <v>194</v>
      </c>
      <c r="L318" s="179"/>
      <c r="M318" s="179" t="str">
        <f>_xlfn.XLOOKUP(Tablo7[[#This Row],[Yan Profili]],Anbar!$J$3:$J$1000,Anbar!$H$3:$H$1000,"Tapilmadi")</f>
        <v>Tapilmadi</v>
      </c>
      <c r="N318" s="179">
        <v>4</v>
      </c>
      <c r="O318" s="179">
        <v>92</v>
      </c>
      <c r="P318" s="179" t="s">
        <v>184</v>
      </c>
      <c r="Q318" s="179" t="str">
        <f>_xlfn.XLOOKUP(Tablo7[[#This Row],[Qulp növü]],Anbar!$J$3:$J$1000,Anbar!$H$3:$H$1000,"Tapilmadi")</f>
        <v>Tapilmadi</v>
      </c>
      <c r="R318" s="179">
        <v>3</v>
      </c>
      <c r="S318" s="180">
        <v>78</v>
      </c>
      <c r="T318" s="181" t="s">
        <v>196</v>
      </c>
      <c r="U318" s="179" t="str">
        <f>_xlfn.XLOOKUP(Tablo7[[#This Row],[Petlə]],Anbar!$J$3:$J$1000,Anbar!$H$3:$H$1000,"Tapilmadi")</f>
        <v>Tapilmadi</v>
      </c>
      <c r="V318" s="181">
        <v>15</v>
      </c>
      <c r="W318" s="180">
        <v>23</v>
      </c>
      <c r="X318" s="269">
        <v>0</v>
      </c>
      <c r="Y318" s="179" t="s">
        <v>36</v>
      </c>
      <c r="Z318" s="182">
        <v>3.32</v>
      </c>
      <c r="AA318" s="180">
        <v>74</v>
      </c>
      <c r="AB318" s="180"/>
      <c r="AC318" s="179" t="str">
        <f>_xlfn.XLOOKUP(Tablo7[[#This Row],[Bağlantı]],Anbar!$J$3:$J$1000,Anbar!$H$3:$H$1000,"Tapilmadi")</f>
        <v>Tapilmadi</v>
      </c>
      <c r="AD318" s="179"/>
      <c r="AE318" s="180">
        <v>12</v>
      </c>
      <c r="AF318" s="180"/>
      <c r="AG318" s="179" t="str">
        <f>_xlfn.XLOOKUP(Tablo7[[#This Row],[Mexanizm]],Anbar!$J$3:$J$1000,Anbar!$H$3:$H$1000,"Tapilmadi")</f>
        <v>Tapilmadi</v>
      </c>
      <c r="AH318" s="179">
        <v>1</v>
      </c>
      <c r="AI318" s="180">
        <v>0</v>
      </c>
      <c r="AJ318" s="180">
        <v>15</v>
      </c>
      <c r="AK318" s="180">
        <v>45</v>
      </c>
      <c r="AL318" s="180">
        <v>0</v>
      </c>
      <c r="AM318" s="180">
        <v>339</v>
      </c>
      <c r="AN318" s="180"/>
      <c r="AO318" s="180">
        <v>339</v>
      </c>
      <c r="AP318" s="194">
        <f>Tablo7[[#This Row],[Ümumi məbləğ]]-Tablo7[[#This Row],[Ödəniş]]-Tablo7[[#This Row],[Endirim]]</f>
        <v>0</v>
      </c>
      <c r="AQ318" s="183" t="str">
        <f t="shared" si="81"/>
        <v>Mesaj</v>
      </c>
      <c r="AR318" s="183" t="str">
        <f t="shared" si="82"/>
        <v>Mesaj</v>
      </c>
      <c r="AS318" s="184" t="str">
        <f>IF(ISNA(VLOOKUP(Tablo7[[#This Row],[Sifariş kodu]],'Kəsim ve təhvil'!$E$5:$E1316,1,0)),"Qəbul edilməyib","Qəbul edilib")</f>
        <v>Qəbul edilməyib</v>
      </c>
      <c r="AT318" s="185" t="str">
        <f>IF(ISNA(VLOOKUP(Tablo7[[#This Row],[Sifariş kodu]],'Kəsim ve təhvil'!$H$5:$H1316,1,0)),"Anbardadır","Təhvil verilib")</f>
        <v>Anbardadır</v>
      </c>
      <c r="AU318" s="186" t="str">
        <f>"Hörmətli *"&amp;Tablo7[[#This Row],[Müştəri]]&amp;"*  ,Sizin *"&amp;G318&amp;"* tarixli sifarişiniz qeydə alındı. Sifariş Məbləğı *"&amp;AM318&amp;" AZN* , Qalıq *"&amp;AP318&amp;" AZN* . Hörmətlə  *AlumPro*"</f>
        <v>Hörmətli *Zakir Bmw Servis*  ,Sizin *23,12,2024* tarixli sifarişiniz qeydə alındı. Sifariş Məbləğı *339 AZN* , Qalıq *0 AZN* . Hörmətlə  *AlumPro*</v>
      </c>
      <c r="AV318" s="187" t="str">
        <f>"Hörmətli *"&amp;Tablo7[[#This Row],[Müştəri]]&amp;"* , sizin *"&amp;G318&amp;"* tarixli  sifarişiniz hazırdır . Bizi seçdiyiniz üçün minnətdarıq. Hörmətlə  *AlumPro*."</f>
        <v>Hörmətli *Zakir Bmw Servis* , sizin *23,12,2024* tarixli  sifarişiniz hazırdır . Bizi seçdiyiniz üçün minnətdarıq. Hörmətlə  *AlumPro*.</v>
      </c>
      <c r="AW318" s="188" t="str">
        <f t="shared" si="84"/>
        <v>Zakir</v>
      </c>
      <c r="AX318" s="189" t="str">
        <f t="shared" si="83"/>
        <v xml:space="preserve">Zakir </v>
      </c>
    </row>
    <row r="319" spans="4:50">
      <c r="D319" s="178">
        <v>10</v>
      </c>
      <c r="E319" s="179" t="s">
        <v>820</v>
      </c>
      <c r="F319" s="179" t="s">
        <v>339</v>
      </c>
      <c r="G319" s="212" t="s">
        <v>6</v>
      </c>
      <c r="H319" s="179" t="s">
        <v>821</v>
      </c>
      <c r="I319" s="179" t="s">
        <v>822</v>
      </c>
      <c r="J319" s="179">
        <v>0</v>
      </c>
      <c r="K319" s="179" t="s">
        <v>189</v>
      </c>
      <c r="L319" s="179"/>
      <c r="M319" s="179" t="str">
        <f>_xlfn.XLOOKUP(Tablo7[[#This Row],[Yan Profili]],Anbar!$J$3:$J$1000,Anbar!$H$3:$H$1000,"Tapilmadi")</f>
        <v>Tapilmadi</v>
      </c>
      <c r="N319" s="179">
        <v>30</v>
      </c>
      <c r="O319" s="179">
        <v>690</v>
      </c>
      <c r="P319" s="179" t="s">
        <v>184</v>
      </c>
      <c r="Q319" s="179" t="str">
        <f>_xlfn.XLOOKUP(Tablo7[[#This Row],[Qulp növü]],Anbar!$J$3:$J$1000,Anbar!$H$3:$H$1000,"Tapilmadi")</f>
        <v>Tapilmadi</v>
      </c>
      <c r="R319" s="179">
        <v>24</v>
      </c>
      <c r="S319" s="180">
        <v>624</v>
      </c>
      <c r="T319" s="181"/>
      <c r="U319" s="179" t="str">
        <f>_xlfn.XLOOKUP(Tablo7[[#This Row],[Petlə]],Anbar!$J$3:$J$1000,Anbar!$H$3:$H$1000,"Tapilmadi")</f>
        <v>Tapilmadi</v>
      </c>
      <c r="V319" s="181">
        <v>0</v>
      </c>
      <c r="W319" s="180">
        <v>0</v>
      </c>
      <c r="X319" s="269">
        <v>0</v>
      </c>
      <c r="Y319" s="179" t="s">
        <v>199</v>
      </c>
      <c r="Z319" s="182">
        <v>25.6</v>
      </c>
      <c r="AA319" s="180">
        <v>674</v>
      </c>
      <c r="AB319" s="180"/>
      <c r="AC319" s="179" t="str">
        <f>_xlfn.XLOOKUP(Tablo7[[#This Row],[Bağlantı]],Anbar!$J$3:$J$1000,Anbar!$H$3:$H$1000,"Tapilmadi")</f>
        <v>Tapilmadi</v>
      </c>
      <c r="AD319" s="179"/>
      <c r="AE319" s="180">
        <v>100</v>
      </c>
      <c r="AF319" s="180"/>
      <c r="AG319" s="179" t="str">
        <f>_xlfn.XLOOKUP(Tablo7[[#This Row],[Mexanizm]],Anbar!$J$3:$J$1000,Anbar!$H$3:$H$1000,"Tapilmadi")</f>
        <v>Tapilmadi</v>
      </c>
      <c r="AH319" s="179">
        <v>1</v>
      </c>
      <c r="AI319" s="180">
        <v>0</v>
      </c>
      <c r="AJ319" s="180">
        <v>107</v>
      </c>
      <c r="AK319" s="180">
        <v>405</v>
      </c>
      <c r="AL319" s="180">
        <v>0</v>
      </c>
      <c r="AM319" s="180">
        <v>2600</v>
      </c>
      <c r="AN319" s="180"/>
      <c r="AO319" s="180">
        <v>2600</v>
      </c>
      <c r="AP319" s="194">
        <f>Tablo7[[#This Row],[Ümumi məbləğ]]-Tablo7[[#This Row],[Ödəniş]]-Tablo7[[#This Row],[Endirim]]</f>
        <v>0</v>
      </c>
      <c r="AQ319" s="183" t="str">
        <f t="shared" si="81"/>
        <v>Mesaj</v>
      </c>
      <c r="AR319" s="183" t="str">
        <f t="shared" si="82"/>
        <v>Mesaj</v>
      </c>
      <c r="AS319" s="184" t="str">
        <f>IF(ISNA(VLOOKUP(Tablo7[[#This Row],[Sifariş kodu]],'Kəsim ve təhvil'!$E$5:$E1317,1,0)),"Qəbul edilməyib","Qəbul edilib")</f>
        <v>Qəbul edilməyib</v>
      </c>
      <c r="AT319" s="185" t="str">
        <f>IF(ISNA(VLOOKUP(Tablo7[[#This Row],[Sifariş kodu]],'Kəsim ve təhvil'!$H$5:$H1317,1,0)),"Anbardadır","Təhvil verilib")</f>
        <v>Təhvil verilib</v>
      </c>
      <c r="AU319" s="186" t="str">
        <f>"Hörmətli *"&amp;Tablo7[[#This Row],[Müştəri]]&amp;"*  ,Sizin *"&amp;G319&amp;"* tarixli sifarişiniz qeydə alındı. Sifariş Məbləğı *"&amp;AM319&amp;" AZN* , Qalıq *"&amp;AP319&amp;" AZN* . Hörmətlə  *AlumPro*"</f>
        <v>Hörmətli *Cefer Mirzeyv*  ,Sizin *23,12,2024* tarixli sifarişiniz qeydə alındı. Sifariş Məbləğı *2600 AZN* , Qalıq *0 AZN* . Hörmətlə  *AlumPro*</v>
      </c>
      <c r="AV319" s="187" t="str">
        <f>"Hörmətli *"&amp;Tablo7[[#This Row],[Müştəri]]&amp;"* , sizin *"&amp;G319&amp;"* tarixli  sifarişiniz hazırdır . Bizi seçdiyiniz üçün minnətdarıq. Hörmətlə  *AlumPro*."</f>
        <v>Hörmətli *Cefer Mirzeyv* , sizin *23,12,2024* tarixli  sifarişiniz hazırdır . Bizi seçdiyiniz üçün minnətdarıq. Hörmətlə  *AlumPro*.</v>
      </c>
      <c r="AW319" s="188" t="str">
        <f t="shared" si="84"/>
        <v>Cefer</v>
      </c>
      <c r="AX319" s="189" t="str">
        <f t="shared" si="83"/>
        <v xml:space="preserve">Cefer </v>
      </c>
    </row>
    <row r="320" spans="4:50">
      <c r="D320" s="178">
        <v>9</v>
      </c>
      <c r="E320" s="179" t="s">
        <v>823</v>
      </c>
      <c r="F320" s="179" t="s">
        <v>339</v>
      </c>
      <c r="G320" s="212" t="s">
        <v>6</v>
      </c>
      <c r="H320" s="179" t="s">
        <v>824</v>
      </c>
      <c r="I320" s="179" t="s">
        <v>825</v>
      </c>
      <c r="J320" s="179">
        <v>0</v>
      </c>
      <c r="K320" s="179" t="s">
        <v>826</v>
      </c>
      <c r="L320" s="179"/>
      <c r="M320" s="179" t="str">
        <f>_xlfn.XLOOKUP(Tablo7[[#This Row],[Yan Profili]],Anbar!$J$3:$J$1000,Anbar!$H$3:$H$1000,"Tapilmadi")</f>
        <v>Tapilmadi</v>
      </c>
      <c r="N320" s="179">
        <v>4</v>
      </c>
      <c r="O320" s="179">
        <v>92</v>
      </c>
      <c r="P320" s="179" t="s">
        <v>827</v>
      </c>
      <c r="Q320" s="179" t="str">
        <f>_xlfn.XLOOKUP(Tablo7[[#This Row],[Qulp növü]],Anbar!$J$3:$J$1000,Anbar!$H$3:$H$1000,"Tapilmadi")</f>
        <v>Tapilmadi</v>
      </c>
      <c r="R320" s="179">
        <v>3</v>
      </c>
      <c r="S320" s="180">
        <v>160</v>
      </c>
      <c r="T320" s="181"/>
      <c r="U320" s="179" t="str">
        <f>_xlfn.XLOOKUP(Tablo7[[#This Row],[Petlə]],Anbar!$J$3:$J$1000,Anbar!$H$3:$H$1000,"Tapilmadi")</f>
        <v>Tapilmadi</v>
      </c>
      <c r="V320" s="181">
        <v>13</v>
      </c>
      <c r="W320" s="180">
        <v>52</v>
      </c>
      <c r="X320" s="269">
        <v>0</v>
      </c>
      <c r="Y320" s="179" t="s">
        <v>505</v>
      </c>
      <c r="Z320" s="182">
        <v>3.05</v>
      </c>
      <c r="AA320" s="180">
        <v>107</v>
      </c>
      <c r="AB320" s="180"/>
      <c r="AC320" s="179" t="str">
        <f>_xlfn.XLOOKUP(Tablo7[[#This Row],[Bağlantı]],Anbar!$J$3:$J$1000,Anbar!$H$3:$H$1000,"Tapilmadi")</f>
        <v>Tapilmadi</v>
      </c>
      <c r="AD320" s="179"/>
      <c r="AE320" s="180">
        <v>24</v>
      </c>
      <c r="AF320" s="180"/>
      <c r="AG320" s="179" t="str">
        <f>_xlfn.XLOOKUP(Tablo7[[#This Row],[Mexanizm]],Anbar!$J$3:$J$1000,Anbar!$H$3:$H$1000,"Tapilmadi")</f>
        <v>Tapilmadi</v>
      </c>
      <c r="AH320" s="179">
        <v>1</v>
      </c>
      <c r="AI320" s="180">
        <v>0</v>
      </c>
      <c r="AJ320" s="180">
        <v>26</v>
      </c>
      <c r="AK320" s="180">
        <v>40</v>
      </c>
      <c r="AL320" s="180">
        <v>0</v>
      </c>
      <c r="AM320" s="180">
        <v>501</v>
      </c>
      <c r="AN320" s="180"/>
      <c r="AO320" s="180">
        <v>183</v>
      </c>
      <c r="AP320" s="194">
        <f>Tablo7[[#This Row],[Ümumi məbləğ]]-Tablo7[[#This Row],[Ödəniş]]-Tablo7[[#This Row],[Endirim]]</f>
        <v>318</v>
      </c>
      <c r="AQ320" s="183" t="str">
        <f t="shared" si="81"/>
        <v>Mesaj</v>
      </c>
      <c r="AR320" s="183" t="str">
        <f t="shared" si="82"/>
        <v>Mesaj</v>
      </c>
      <c r="AS320" s="184" t="str">
        <f>IF(ISNA(VLOOKUP(Tablo7[[#This Row],[Sifariş kodu]],'Kəsim ve təhvil'!$E$5:$E1318,1,0)),"Qəbul edilməyib","Qəbul edilib")</f>
        <v>Qəbul edilməyib</v>
      </c>
      <c r="AT320" s="185" t="str">
        <f>IF(ISNA(VLOOKUP(Tablo7[[#This Row],[Sifariş kodu]],'Kəsim ve təhvil'!$H$5:$H1318,1,0)),"Anbardadır","Təhvil verilib")</f>
        <v>Anbardadır</v>
      </c>
      <c r="AU320" s="186" t="str">
        <f>"Hörmətli *"&amp;Tablo7[[#This Row],[Müştəri]]&amp;"*  ,Sizin *"&amp;G320&amp;"* tarixli sifarişiniz qeydə alındı. Sifariş Məbləğı *"&amp;AM320&amp;" AZN* , Qalıq *"&amp;AP320&amp;" AZN* . Hörmətlə  *AlumPro*"</f>
        <v>Hörmətli *Surxay Bey*  ,Sizin *23,12,2024* tarixli sifarişiniz qeydə alındı. Sifariş Məbləğı *501 AZN* , Qalıq *318 AZN* . Hörmətlə  *AlumPro*</v>
      </c>
      <c r="AV320" s="187" t="str">
        <f>"Hörmətli *"&amp;Tablo7[[#This Row],[Müştəri]]&amp;"* , sizin *"&amp;G320&amp;"* tarixli  sifarişiniz hazırdır . Bizi seçdiyiniz üçün minnətdarıq. Hörmətlə  *AlumPro*."</f>
        <v>Hörmətli *Surxay Bey* , sizin *23,12,2024* tarixli  sifarişiniz hazırdır . Bizi seçdiyiniz üçün minnətdarıq. Hörmətlə  *AlumPro*.</v>
      </c>
      <c r="AW320" s="188" t="str">
        <f t="shared" si="84"/>
        <v>Surxay</v>
      </c>
      <c r="AX320" s="189" t="str">
        <f t="shared" si="83"/>
        <v xml:space="preserve">Surxay </v>
      </c>
    </row>
    <row r="321" spans="4:50">
      <c r="D321" s="178">
        <v>8</v>
      </c>
      <c r="E321" s="179" t="s">
        <v>828</v>
      </c>
      <c r="F321" s="179" t="s">
        <v>339</v>
      </c>
      <c r="G321" s="212" t="s">
        <v>6</v>
      </c>
      <c r="H321" s="179" t="s">
        <v>771</v>
      </c>
      <c r="I321" s="179" t="s">
        <v>772</v>
      </c>
      <c r="J321" s="179">
        <v>0</v>
      </c>
      <c r="K321" s="179" t="s">
        <v>183</v>
      </c>
      <c r="L321" s="179"/>
      <c r="M321" s="179" t="str">
        <f>_xlfn.XLOOKUP(Tablo7[[#This Row],[Yan Profili]],Anbar!$J$3:$J$1000,Anbar!$H$3:$H$1000,"Tapilmadi")</f>
        <v>Tapilmadi</v>
      </c>
      <c r="N321" s="179">
        <v>8</v>
      </c>
      <c r="O321" s="179">
        <v>184</v>
      </c>
      <c r="P321" s="179" t="s">
        <v>184</v>
      </c>
      <c r="Q321" s="179" t="str">
        <f>_xlfn.XLOOKUP(Tablo7[[#This Row],[Qulp növü]],Anbar!$J$3:$J$1000,Anbar!$H$3:$H$1000,"Tapilmadi")</f>
        <v>Tapilmadi</v>
      </c>
      <c r="R321" s="179">
        <v>7</v>
      </c>
      <c r="S321" s="180">
        <v>182</v>
      </c>
      <c r="T321" s="181"/>
      <c r="U321" s="179" t="str">
        <f>_xlfn.XLOOKUP(Tablo7[[#This Row],[Petlə]],Anbar!$J$3:$J$1000,Anbar!$H$3:$H$1000,"Tapilmadi")</f>
        <v>Tapilmadi</v>
      </c>
      <c r="V321" s="181">
        <v>0</v>
      </c>
      <c r="W321" s="180"/>
      <c r="X321" s="269">
        <v>45</v>
      </c>
      <c r="Y321" s="179" t="s">
        <v>36</v>
      </c>
      <c r="Z321" s="182">
        <v>7.2</v>
      </c>
      <c r="AA321" s="180">
        <v>180</v>
      </c>
      <c r="AB321" s="180"/>
      <c r="AC321" s="179" t="str">
        <f>_xlfn.XLOOKUP(Tablo7[[#This Row],[Bağlantı]],Anbar!$J$3:$J$1000,Anbar!$H$3:$H$1000,"Tapilmadi")</f>
        <v>Tapilmadi</v>
      </c>
      <c r="AD321" s="179"/>
      <c r="AE321" s="180">
        <v>28</v>
      </c>
      <c r="AF321" s="180"/>
      <c r="AG321" s="179" t="str">
        <f>_xlfn.XLOOKUP(Tablo7[[#This Row],[Mexanizm]],Anbar!$J$3:$J$1000,Anbar!$H$3:$H$1000,"Tapilmadi")</f>
        <v>Tapilmadi</v>
      </c>
      <c r="AH321" s="179">
        <v>1</v>
      </c>
      <c r="AI321" s="180">
        <v>0</v>
      </c>
      <c r="AJ321" s="180">
        <v>14</v>
      </c>
      <c r="AK321" s="180">
        <v>107</v>
      </c>
      <c r="AL321" s="180">
        <v>0</v>
      </c>
      <c r="AM321" s="180">
        <v>740</v>
      </c>
      <c r="AN321" s="180"/>
      <c r="AO321" s="180">
        <v>740</v>
      </c>
      <c r="AP321" s="194">
        <f>Tablo7[[#This Row],[Ümumi məbləğ]]-Tablo7[[#This Row],[Ödəniş]]-Tablo7[[#This Row],[Endirim]]</f>
        <v>0</v>
      </c>
      <c r="AQ321" s="183" t="str">
        <f t="shared" si="81"/>
        <v>Mesaj</v>
      </c>
      <c r="AR321" s="183" t="str">
        <f t="shared" si="82"/>
        <v>Mesaj</v>
      </c>
      <c r="AS321" s="184" t="str">
        <f>IF(ISNA(VLOOKUP(Tablo7[[#This Row],[Sifariş kodu]],'Kəsim ve təhvil'!$E$5:$E1319,1,0)),"Qəbul edilməyib","Qəbul edilib")</f>
        <v>Qəbul edilməyib</v>
      </c>
      <c r="AT321" s="185" t="str">
        <f>IF(ISNA(VLOOKUP(Tablo7[[#This Row],[Sifariş kodu]],'Kəsim ve təhvil'!$H$5:$H1319,1,0)),"Anbardadır","Təhvil verilib")</f>
        <v>Anbardadır</v>
      </c>
      <c r="AU321" s="186" t="str">
        <f>"Hörmətli *"&amp;Tablo7[[#This Row],[Müştəri]]&amp;"*  ,Sizin *"&amp;G321&amp;"* tarixli sifarişiniz qeydə alındı. Sifariş Məbləğı *"&amp;AM321&amp;" AZN* , Qalıq *"&amp;AP321&amp;" AZN* . Hörmətlə  *AlumPro*"</f>
        <v>Hörmətli *Orxan Omer*  ,Sizin *23,12,2024* tarixli sifarişiniz qeydə alındı. Sifariş Məbləğı *740 AZN* , Qalıq *0 AZN* . Hörmətlə  *AlumPro*</v>
      </c>
      <c r="AV321" s="187" t="str">
        <f>"Hörmətli *"&amp;Tablo7[[#This Row],[Müştəri]]&amp;"* , sizin *"&amp;G321&amp;"* tarixli  sifarişiniz hazırdır . Bizi seçdiyiniz üçün minnətdarıq. Hörmətlə  *AlumPro*."</f>
        <v>Hörmətli *Orxan Omer* , sizin *23,12,2024* tarixli  sifarişiniz hazırdır . Bizi seçdiyiniz üçün minnətdarıq. Hörmətlə  *AlumPro*.</v>
      </c>
      <c r="AW321" s="188" t="str">
        <f t="shared" si="84"/>
        <v>Orxan</v>
      </c>
      <c r="AX321" s="189" t="str">
        <f t="shared" si="83"/>
        <v xml:space="preserve">Orxan </v>
      </c>
    </row>
    <row r="322" spans="4:50">
      <c r="D322" s="178">
        <v>7</v>
      </c>
      <c r="E322" s="179" t="s">
        <v>829</v>
      </c>
      <c r="F322" s="179" t="s">
        <v>339</v>
      </c>
      <c r="G322" s="212" t="s">
        <v>6</v>
      </c>
      <c r="H322" s="179" t="s">
        <v>642</v>
      </c>
      <c r="I322" s="179" t="s">
        <v>643</v>
      </c>
      <c r="J322" s="179">
        <v>0</v>
      </c>
      <c r="K322" s="179" t="s">
        <v>405</v>
      </c>
      <c r="L322" s="179"/>
      <c r="M322" s="179">
        <f>_xlfn.XLOOKUP(Tablo7[[#This Row],[Yan Profili]],Anbar!$J$3:$J$1000,Anbar!$H$3:$H$1000,"Tapilmadi")</f>
        <v>0</v>
      </c>
      <c r="N322" s="179">
        <v>29</v>
      </c>
      <c r="O322" s="179">
        <v>667</v>
      </c>
      <c r="P322" s="179" t="s">
        <v>184</v>
      </c>
      <c r="Q322" s="179" t="str">
        <f>_xlfn.XLOOKUP(Tablo7[[#This Row],[Qulp növü]],Anbar!$J$3:$J$1000,Anbar!$H$3:$H$1000,"Tapilmadi")</f>
        <v>Tapilmadi</v>
      </c>
      <c r="R322" s="179">
        <v>18</v>
      </c>
      <c r="S322" s="180">
        <v>468</v>
      </c>
      <c r="T322" s="181"/>
      <c r="U322" s="179" t="str">
        <f>_xlfn.XLOOKUP(Tablo7[[#This Row],[Petlə]],Anbar!$J$3:$J$1000,Anbar!$H$3:$H$1000,"Tapilmadi")</f>
        <v>Tapilmadi</v>
      </c>
      <c r="V322" s="181">
        <v>0</v>
      </c>
      <c r="W322" s="180"/>
      <c r="X322" s="269">
        <v>0</v>
      </c>
      <c r="Y322" s="179" t="s">
        <v>406</v>
      </c>
      <c r="Z322" s="182">
        <v>22.14</v>
      </c>
      <c r="AA322" s="180">
        <v>775</v>
      </c>
      <c r="AB322" s="180"/>
      <c r="AC322" s="179" t="str">
        <f>_xlfn.XLOOKUP(Tablo7[[#This Row],[Bağlantı]],Anbar!$J$3:$J$1000,Anbar!$H$3:$H$1000,"Tapilmadi")</f>
        <v>Tapilmadi</v>
      </c>
      <c r="AD322" s="179"/>
      <c r="AE322" s="180">
        <v>120</v>
      </c>
      <c r="AF322" s="180"/>
      <c r="AG322" s="179" t="str">
        <f>_xlfn.XLOOKUP(Tablo7[[#This Row],[Mexanizm]],Anbar!$J$3:$J$1000,Anbar!$H$3:$H$1000,"Tapilmadi")</f>
        <v>Tapilmadi</v>
      </c>
      <c r="AH322" s="179">
        <v>1</v>
      </c>
      <c r="AI322" s="180">
        <v>0</v>
      </c>
      <c r="AJ322" s="180">
        <v>105</v>
      </c>
      <c r="AK322" s="180">
        <v>375</v>
      </c>
      <c r="AL322" s="180">
        <v>0</v>
      </c>
      <c r="AM322" s="180">
        <v>2510</v>
      </c>
      <c r="AN322" s="180"/>
      <c r="AO322" s="180">
        <v>0</v>
      </c>
      <c r="AP322" s="194">
        <f>Tablo7[[#This Row],[Ümumi məbləğ]]-Tablo7[[#This Row],[Ödəniş]]-Tablo7[[#This Row],[Endirim]]</f>
        <v>2510</v>
      </c>
      <c r="AQ322" s="183" t="str">
        <f t="shared" si="81"/>
        <v>Mesaj</v>
      </c>
      <c r="AR322" s="183" t="str">
        <f t="shared" si="82"/>
        <v>Mesaj</v>
      </c>
      <c r="AS322" s="184" t="str">
        <f>IF(ISNA(VLOOKUP(Tablo7[[#This Row],[Sifariş kodu]],'Kəsim ve təhvil'!$E$5:$E1320,1,0)),"Qəbul edilməyib","Qəbul edilib")</f>
        <v>Qəbul edilməyib</v>
      </c>
      <c r="AT322" s="185" t="str">
        <f>IF(ISNA(VLOOKUP(Tablo7[[#This Row],[Sifariş kodu]],'Kəsim ve təhvil'!$H$5:$H1320,1,0)),"Anbardadır","Təhvil verilib")</f>
        <v>Anbardadır</v>
      </c>
      <c r="AU322" s="186" t="str">
        <f>"Hörmətli *"&amp;Tablo7[[#This Row],[Müştəri]]&amp;"*  ,Sizin *"&amp;G322&amp;"* tarixli sifarişiniz qeydə alındı. Sifariş Məbləğı *"&amp;AM322&amp;" AZN* , Qalıq *"&amp;AP322&amp;" AZN* . Hörmətlə  *AlumPro*"</f>
        <v>Hörmətli *Natiq Emrahov*  ,Sizin *23,12,2024* tarixli sifarişiniz qeydə alındı. Sifariş Məbləğı *2510 AZN* , Qalıq *2510 AZN* . Hörmətlə  *AlumPro*</v>
      </c>
      <c r="AV322" s="187" t="str">
        <f>"Hörmətli *"&amp;Tablo7[[#This Row],[Müştəri]]&amp;"* , sizin *"&amp;G322&amp;"* tarixli  sifarişiniz hazırdır . Bizi seçdiyiniz üçün minnətdarıq. Hörmətlə  *AlumPro*."</f>
        <v>Hörmətli *Natiq Emrahov* , sizin *23,12,2024* tarixli  sifarişiniz hazırdır . Bizi seçdiyiniz üçün minnətdarıq. Hörmətlə  *AlumPro*.</v>
      </c>
      <c r="AW322" s="188" t="str">
        <f t="shared" si="84"/>
        <v>Natiq</v>
      </c>
      <c r="AX322" s="189" t="str">
        <f t="shared" si="83"/>
        <v xml:space="preserve">Natiq </v>
      </c>
    </row>
    <row r="323" spans="4:50">
      <c r="D323" s="178">
        <v>6</v>
      </c>
      <c r="E323" s="179" t="s">
        <v>830</v>
      </c>
      <c r="F323" s="179" t="s">
        <v>339</v>
      </c>
      <c r="G323" s="212" t="s">
        <v>6</v>
      </c>
      <c r="H323" s="179" t="s">
        <v>642</v>
      </c>
      <c r="I323" s="179" t="s">
        <v>643</v>
      </c>
      <c r="J323" s="179">
        <v>0</v>
      </c>
      <c r="K323" s="179" t="s">
        <v>183</v>
      </c>
      <c r="L323" s="179"/>
      <c r="M323" s="179" t="str">
        <f>_xlfn.XLOOKUP(Tablo7[[#This Row],[Yan Profili]],Anbar!$J$3:$J$1000,Anbar!$H$3:$H$1000,"Tapilmadi")</f>
        <v>Tapilmadi</v>
      </c>
      <c r="N323" s="179">
        <v>14</v>
      </c>
      <c r="O323" s="179">
        <v>322</v>
      </c>
      <c r="P323" s="179" t="s">
        <v>184</v>
      </c>
      <c r="Q323" s="179" t="str">
        <f>_xlfn.XLOOKUP(Tablo7[[#This Row],[Qulp növü]],Anbar!$J$3:$J$1000,Anbar!$H$3:$H$1000,"Tapilmadi")</f>
        <v>Tapilmadi</v>
      </c>
      <c r="R323" s="179">
        <v>2</v>
      </c>
      <c r="S323" s="180">
        <v>52</v>
      </c>
      <c r="T323" s="181"/>
      <c r="U323" s="179" t="str">
        <f>_xlfn.XLOOKUP(Tablo7[[#This Row],[Petlə]],Anbar!$J$3:$J$1000,Anbar!$H$3:$H$1000,"Tapilmadi")</f>
        <v>Tapilmadi</v>
      </c>
      <c r="V323" s="181">
        <v>0</v>
      </c>
      <c r="W323" s="180"/>
      <c r="X323" s="269">
        <v>39</v>
      </c>
      <c r="Y323" s="179" t="s">
        <v>505</v>
      </c>
      <c r="Z323" s="182">
        <v>4.4000000000000004</v>
      </c>
      <c r="AA323" s="180">
        <v>154</v>
      </c>
      <c r="AB323" s="180"/>
      <c r="AC323" s="179" t="str">
        <f>_xlfn.XLOOKUP(Tablo7[[#This Row],[Bağlantı]],Anbar!$J$3:$J$1000,Anbar!$H$3:$H$1000,"Tapilmadi")</f>
        <v>Tapilmadi</v>
      </c>
      <c r="AD323" s="179"/>
      <c r="AE323" s="180">
        <v>52</v>
      </c>
      <c r="AF323" s="180"/>
      <c r="AG323" s="179" t="str">
        <f>_xlfn.XLOOKUP(Tablo7[[#This Row],[Mexanizm]],Anbar!$J$3:$J$1000,Anbar!$H$3:$H$1000,"Tapilmadi")</f>
        <v>Tapilmadi</v>
      </c>
      <c r="AH323" s="179">
        <v>1</v>
      </c>
      <c r="AI323" s="180">
        <v>0</v>
      </c>
      <c r="AJ323" s="180">
        <v>30</v>
      </c>
      <c r="AK323" s="180">
        <v>70</v>
      </c>
      <c r="AL323" s="180">
        <v>0</v>
      </c>
      <c r="AM323" s="180">
        <v>719</v>
      </c>
      <c r="AN323" s="180"/>
      <c r="AO323" s="180">
        <v>719</v>
      </c>
      <c r="AP323" s="194">
        <f>Tablo7[[#This Row],[Ümumi məbləğ]]-Tablo7[[#This Row],[Ödəniş]]-Tablo7[[#This Row],[Endirim]]</f>
        <v>0</v>
      </c>
      <c r="AQ323" s="183" t="str">
        <f t="shared" ref="AQ323:AQ333" si="85">HYPERLINK("https://web.whatsapp.com/send?phone="&amp;I323&amp;"&amp;text="&amp;AU323,"Mesaj")</f>
        <v>Mesaj</v>
      </c>
      <c r="AR323" s="183" t="str">
        <f t="shared" ref="AR323:AR333" si="86">HYPERLINK("https://web.whatsapp.com/send?phone="&amp;I323&amp;"&amp;text="&amp;AV323,"Mesaj")</f>
        <v>Mesaj</v>
      </c>
      <c r="AS323" s="184" t="str">
        <f>IF(ISNA(VLOOKUP(Tablo7[[#This Row],[Sifariş kodu]],'Kəsim ve təhvil'!$E$5:$E1321,1,0)),"Qəbul edilməyib","Qəbul edilib")</f>
        <v>Qəbul edilməyib</v>
      </c>
      <c r="AT323" s="185" t="str">
        <f>IF(ISNA(VLOOKUP(Tablo7[[#This Row],[Sifariş kodu]],'Kəsim ve təhvil'!$H$5:$H1321,1,0)),"Anbardadır","Təhvil verilib")</f>
        <v>Anbardadır</v>
      </c>
      <c r="AU323" s="186" t="str">
        <f>"Hörmətli *"&amp;Tablo7[[#This Row],[Müştəri]]&amp;"*  ,Sizin *"&amp;G323&amp;"* tarixli sifarişiniz qeydə alındı. Sifariş Məbləğı *"&amp;AM323&amp;" AZN* , Qalıq *"&amp;AP323&amp;" AZN* . Hörmətlə  *AlumPro*"</f>
        <v>Hörmətli *Natiq Emrahov*  ,Sizin *23,12,2024* tarixli sifarişiniz qeydə alındı. Sifariş Məbləğı *719 AZN* , Qalıq *0 AZN* . Hörmətlə  *AlumPro*</v>
      </c>
      <c r="AV323" s="187" t="str">
        <f>"Hörmətli *"&amp;Tablo7[[#This Row],[Müştəri]]&amp;"* , sizin *"&amp;G323&amp;"* tarixli  sifarişiniz hazırdır . Bizi seçdiyiniz üçün minnətdarıq. Hörmətlə  *AlumPro*."</f>
        <v>Hörmətli *Natiq Emrahov* , sizin *23,12,2024* tarixli  sifarişiniz hazırdır . Bizi seçdiyiniz üçün minnətdarıq. Hörmətlə  *AlumPro*.</v>
      </c>
      <c r="AW323" s="188" t="str">
        <f t="shared" si="84"/>
        <v>Natiq</v>
      </c>
      <c r="AX323" s="189" t="str">
        <f t="shared" si="83"/>
        <v xml:space="preserve">Natiq </v>
      </c>
    </row>
    <row r="324" spans="4:50">
      <c r="D324" s="178">
        <v>5</v>
      </c>
      <c r="E324" s="179" t="s">
        <v>831</v>
      </c>
      <c r="F324" s="179" t="s">
        <v>339</v>
      </c>
      <c r="G324" s="212" t="s">
        <v>6</v>
      </c>
      <c r="H324" s="179" t="s">
        <v>389</v>
      </c>
      <c r="I324" s="179" t="s">
        <v>390</v>
      </c>
      <c r="J324" s="179">
        <v>0</v>
      </c>
      <c r="K324" s="179" t="s">
        <v>183</v>
      </c>
      <c r="L324" s="179"/>
      <c r="M324" s="179" t="str">
        <f>_xlfn.XLOOKUP(Tablo7[[#This Row],[Yan Profili]],Anbar!$J$3:$J$1000,Anbar!$H$3:$H$1000,"Tapilmadi")</f>
        <v>Tapilmadi</v>
      </c>
      <c r="N324" s="179">
        <v>14</v>
      </c>
      <c r="O324" s="179">
        <v>322</v>
      </c>
      <c r="P324" s="179">
        <v>10</v>
      </c>
      <c r="Q324" s="179" t="str">
        <f>_xlfn.XLOOKUP(Tablo7[[#This Row],[Qulp növü]],Anbar!$J$3:$J$1000,Anbar!$H$3:$H$1000,"Tapilmadi")</f>
        <v>Tapilmadi</v>
      </c>
      <c r="R324" s="179">
        <v>26</v>
      </c>
      <c r="S324" s="180">
        <v>260</v>
      </c>
      <c r="T324" s="181"/>
      <c r="U324" s="179" t="str">
        <f>_xlfn.XLOOKUP(Tablo7[[#This Row],[Petlə]],Anbar!$J$3:$J$1000,Anbar!$H$3:$H$1000,"Tapilmadi")</f>
        <v>Tapilmadi</v>
      </c>
      <c r="V324" s="181">
        <v>0</v>
      </c>
      <c r="W324" s="180"/>
      <c r="X324" s="269">
        <v>72</v>
      </c>
      <c r="Y324" s="179" t="s">
        <v>199</v>
      </c>
      <c r="Z324" s="182">
        <v>17.8</v>
      </c>
      <c r="AA324" s="180">
        <v>446</v>
      </c>
      <c r="AB324" s="180"/>
      <c r="AC324" s="179" t="str">
        <f>_xlfn.XLOOKUP(Tablo7[[#This Row],[Bağlantı]],Anbar!$J$3:$J$1000,Anbar!$H$3:$H$1000,"Tapilmadi")</f>
        <v>Tapilmadi</v>
      </c>
      <c r="AD324" s="179"/>
      <c r="AE324" s="180">
        <v>40</v>
      </c>
      <c r="AF324" s="180"/>
      <c r="AG324" s="179" t="str">
        <f>_xlfn.XLOOKUP(Tablo7[[#This Row],[Mexanizm]],Anbar!$J$3:$J$1000,Anbar!$H$3:$H$1000,"Tapilmadi")</f>
        <v>Tapilmadi</v>
      </c>
      <c r="AH324" s="179">
        <v>1</v>
      </c>
      <c r="AI324" s="180">
        <v>0</v>
      </c>
      <c r="AJ324" s="180">
        <v>50</v>
      </c>
      <c r="AK324" s="180">
        <v>150</v>
      </c>
      <c r="AL324" s="180">
        <v>0</v>
      </c>
      <c r="AM324" s="180">
        <v>1340</v>
      </c>
      <c r="AN324" s="180"/>
      <c r="AO324" s="180">
        <v>1340</v>
      </c>
      <c r="AP324" s="194">
        <f>Tablo7[[#This Row],[Ümumi məbləğ]]-Tablo7[[#This Row],[Ödəniş]]-Tablo7[[#This Row],[Endirim]]</f>
        <v>0</v>
      </c>
      <c r="AQ324" s="183" t="str">
        <f t="shared" si="85"/>
        <v>Mesaj</v>
      </c>
      <c r="AR324" s="183" t="str">
        <f t="shared" si="86"/>
        <v>Mesaj</v>
      </c>
      <c r="AS324" s="184" t="str">
        <f>IF(ISNA(VLOOKUP(Tablo7[[#This Row],[Sifariş kodu]],'Kəsim ve təhvil'!$E$5:$E1322,1,0)),"Qəbul edilməyib","Qəbul edilib")</f>
        <v>Qəbul edilib</v>
      </c>
      <c r="AT324" s="185" t="str">
        <f>IF(ISNA(VLOOKUP(Tablo7[[#This Row],[Sifariş kodu]],'Kəsim ve təhvil'!$H$5:$H1322,1,0)),"Anbardadır","Təhvil verilib")</f>
        <v>Anbardadır</v>
      </c>
      <c r="AU324" s="186" t="str">
        <f>"Hörmətli *"&amp;Tablo7[[#This Row],[Müştəri]]&amp;"*  ,Sizin *"&amp;G324&amp;"* tarixli sifarişiniz qeydə alındı. Sifariş Məbləğı *"&amp;AM324&amp;" AZN* , Qalıq *"&amp;AP324&amp;" AZN* . Hörmətlə  *AlumPro*"</f>
        <v>Hörmətli *Samir Ayla Mebel*  ,Sizin *23,12,2024* tarixli sifarişiniz qeydə alındı. Sifariş Məbləğı *1340 AZN* , Qalıq *0 AZN* . Hörmətlə  *AlumPro*</v>
      </c>
      <c r="AV324" s="187" t="str">
        <f>"Hörmətli *"&amp;Tablo7[[#This Row],[Müştəri]]&amp;"* , sizin *"&amp;G324&amp;"* tarixli  sifarişiniz hazırdır . Bizi seçdiyiniz üçün minnətdarıq. Hörmətlə  *AlumPro*."</f>
        <v>Hörmətli *Samir Ayla Mebel* , sizin *23,12,2024* tarixli  sifarişiniz hazırdır . Bizi seçdiyiniz üçün minnətdarıq. Hörmətlə  *AlumPro*.</v>
      </c>
      <c r="AW324" s="188" t="str">
        <f t="shared" ref="AW324:AW333" si="87">SUBSTITUTE(AX324," ","")</f>
        <v>Samir</v>
      </c>
      <c r="AX324" s="189" t="str">
        <f t="shared" ref="AX324:AX333" si="88">LEFT(H324,FIND("*",SUBSTITUTE(H324," ","*",1)))</f>
        <v xml:space="preserve">Samir </v>
      </c>
    </row>
    <row r="325" spans="4:50">
      <c r="D325" s="178">
        <v>4</v>
      </c>
      <c r="E325" s="179" t="s">
        <v>832</v>
      </c>
      <c r="F325" s="179" t="s">
        <v>339</v>
      </c>
      <c r="G325" s="212" t="s">
        <v>6</v>
      </c>
      <c r="H325" s="179" t="s">
        <v>310</v>
      </c>
      <c r="I325" s="179" t="s">
        <v>390</v>
      </c>
      <c r="J325" s="179">
        <v>0</v>
      </c>
      <c r="K325" s="179" t="s">
        <v>183</v>
      </c>
      <c r="L325" s="179"/>
      <c r="M325" s="179" t="str">
        <f>_xlfn.XLOOKUP(Tablo7[[#This Row],[Yan Profili]],Anbar!$J$3:$J$1000,Anbar!$H$3:$H$1000,"Tapilmadi")</f>
        <v>Tapilmadi</v>
      </c>
      <c r="N325" s="179">
        <v>4</v>
      </c>
      <c r="O325" s="179">
        <v>92</v>
      </c>
      <c r="P325" s="179" t="s">
        <v>833</v>
      </c>
      <c r="Q325" s="179" t="str">
        <f>_xlfn.XLOOKUP(Tablo7[[#This Row],[Qulp növü]],Anbar!$J$3:$J$1000,Anbar!$H$3:$H$1000,"Tapilmadi")</f>
        <v>Tapilmadi</v>
      </c>
      <c r="R325" s="179">
        <v>1</v>
      </c>
      <c r="S325" s="180">
        <v>26</v>
      </c>
      <c r="T325" s="181"/>
      <c r="U325" s="179" t="str">
        <f>_xlfn.XLOOKUP(Tablo7[[#This Row],[Petlə]],Anbar!$J$3:$J$1000,Anbar!$H$3:$H$1000,"Tapilmadi")</f>
        <v>Tapilmadi</v>
      </c>
      <c r="V325" s="181">
        <v>0</v>
      </c>
      <c r="W325" s="180">
        <v>15</v>
      </c>
      <c r="X325" s="269"/>
      <c r="Y325" s="179" t="s">
        <v>36</v>
      </c>
      <c r="Z325" s="182">
        <v>2.88</v>
      </c>
      <c r="AA325" s="180">
        <v>72</v>
      </c>
      <c r="AB325" s="180"/>
      <c r="AC325" s="179" t="str">
        <f>_xlfn.XLOOKUP(Tablo7[[#This Row],[Bağlantı]],Anbar!$J$3:$J$1000,Anbar!$H$3:$H$1000,"Tapilmadi")</f>
        <v>Tapilmadi</v>
      </c>
      <c r="AD325" s="179"/>
      <c r="AE325" s="180">
        <v>8</v>
      </c>
      <c r="AF325" s="180"/>
      <c r="AG325" s="179" t="str">
        <f>_xlfn.XLOOKUP(Tablo7[[#This Row],[Mexanizm]],Anbar!$J$3:$J$1000,Anbar!$H$3:$H$1000,"Tapilmadi")</f>
        <v>Tapilmadi</v>
      </c>
      <c r="AH325" s="179">
        <v>1</v>
      </c>
      <c r="AI325" s="180">
        <v>0</v>
      </c>
      <c r="AJ325" s="180">
        <v>10</v>
      </c>
      <c r="AK325" s="180">
        <v>30</v>
      </c>
      <c r="AL325" s="180">
        <v>0</v>
      </c>
      <c r="AM325" s="180">
        <v>253</v>
      </c>
      <c r="AN325" s="180"/>
      <c r="AO325" s="180">
        <v>0</v>
      </c>
      <c r="AP325" s="194">
        <f>Tablo7[[#This Row],[Ümumi məbləğ]]-Tablo7[[#This Row],[Ödəniş]]-Tablo7[[#This Row],[Endirim]]</f>
        <v>253</v>
      </c>
      <c r="AQ325" s="183" t="str">
        <f t="shared" si="85"/>
        <v>Mesaj</v>
      </c>
      <c r="AR325" s="183" t="str">
        <f t="shared" si="86"/>
        <v>Mesaj</v>
      </c>
      <c r="AS325" s="184" t="str">
        <f>IF(ISNA(VLOOKUP(Tablo7[[#This Row],[Sifariş kodu]],'Kəsim ve təhvil'!$E$5:$E1323,1,0)),"Qəbul edilməyib","Qəbul edilib")</f>
        <v>Qəbul edilib</v>
      </c>
      <c r="AT325" s="185" t="str">
        <f>IF(ISNA(VLOOKUP(Tablo7[[#This Row],[Sifariş kodu]],'Kəsim ve təhvil'!$H$5:$H1323,1,0)),"Anbardadır","Təhvil verilib")</f>
        <v>Anbardadır</v>
      </c>
      <c r="AU325" s="186" t="str">
        <f>"Hörmətli *"&amp;Tablo7[[#This Row],[Müştəri]]&amp;"*  ,Sizin *"&amp;G325&amp;"* tarixli sifarişiniz qeydə alındı. Sifariş Məbləğı *"&amp;AM325&amp;" AZN* , Qalıq *"&amp;AP325&amp;" AZN* . Hörmətlə  *AlumPro*"</f>
        <v>Hörmətli *Mecnun Sahmurov*  ,Sizin *23,12,2024* tarixli sifarişiniz qeydə alındı. Sifariş Məbləğı *253 AZN* , Qalıq *253 AZN* . Hörmətlə  *AlumPro*</v>
      </c>
      <c r="AV325" s="187" t="str">
        <f>"Hörmətli *"&amp;Tablo7[[#This Row],[Müştəri]]&amp;"* , sizin *"&amp;G325&amp;"* tarixli  sifarişiniz hazırdır . Bizi seçdiyiniz üçün minnətdarıq. Hörmətlə  *AlumPro*."</f>
        <v>Hörmətli *Mecnun Sahmurov* , sizin *23,12,2024* tarixli  sifarişiniz hazırdır . Bizi seçdiyiniz üçün minnətdarıq. Hörmətlə  *AlumPro*.</v>
      </c>
      <c r="AW325" s="188" t="str">
        <f t="shared" si="87"/>
        <v>Mecnun</v>
      </c>
      <c r="AX325" s="189" t="str">
        <f t="shared" si="88"/>
        <v xml:space="preserve">Mecnun </v>
      </c>
    </row>
    <row r="326" spans="4:50">
      <c r="D326" s="178">
        <v>3</v>
      </c>
      <c r="E326" s="179" t="s">
        <v>834</v>
      </c>
      <c r="F326" s="179" t="s">
        <v>339</v>
      </c>
      <c r="G326" s="212" t="s">
        <v>174</v>
      </c>
      <c r="H326" s="179" t="s">
        <v>532</v>
      </c>
      <c r="I326" s="179" t="s">
        <v>533</v>
      </c>
      <c r="J326" s="179">
        <v>0</v>
      </c>
      <c r="K326" s="179" t="s">
        <v>194</v>
      </c>
      <c r="L326" s="179"/>
      <c r="M326" s="179" t="str">
        <f>_xlfn.XLOOKUP(Tablo7[[#This Row],[Yan Profili]],Anbar!$J$3:$J$1000,Anbar!$H$3:$H$1000,"Tapilmadi")</f>
        <v>Tapilmadi</v>
      </c>
      <c r="N326" s="179"/>
      <c r="O326" s="179">
        <v>515</v>
      </c>
      <c r="P326" s="179"/>
      <c r="Q326" s="179" t="str">
        <f>_xlfn.XLOOKUP(Tablo7[[#This Row],[Qulp növü]],Anbar!$J$3:$J$1000,Anbar!$H$3:$H$1000,"Tapilmadi")</f>
        <v>Tapilmadi</v>
      </c>
      <c r="R326" s="179"/>
      <c r="S326" s="180">
        <v>15</v>
      </c>
      <c r="T326" s="181" t="s">
        <v>196</v>
      </c>
      <c r="U326" s="179" t="str">
        <f>_xlfn.XLOOKUP(Tablo7[[#This Row],[Petlə]],Anbar!$J$3:$J$1000,Anbar!$H$3:$H$1000,"Tapilmadi")</f>
        <v>Tapilmadi</v>
      </c>
      <c r="V326" s="181">
        <v>3</v>
      </c>
      <c r="W326" s="180">
        <v>75</v>
      </c>
      <c r="X326" s="23"/>
      <c r="Y326" s="179" t="s">
        <v>36</v>
      </c>
      <c r="Z326" s="182">
        <v>30</v>
      </c>
      <c r="AA326" s="180">
        <v>750</v>
      </c>
      <c r="AB326" s="180"/>
      <c r="AC326" s="179" t="str">
        <f>_xlfn.XLOOKUP(Tablo7[[#This Row],[Bağlantı]],Anbar!$J$3:$J$1000,Anbar!$H$3:$H$1000,"Tapilmadi")</f>
        <v>Tapilmadi</v>
      </c>
      <c r="AD326" s="179"/>
      <c r="AE326" s="180">
        <v>125</v>
      </c>
      <c r="AF326" s="180"/>
      <c r="AG326" s="179" t="str">
        <f>_xlfn.XLOOKUP(Tablo7[[#This Row],[Mexanizm]],Anbar!$J$3:$J$1000,Anbar!$H$3:$H$1000,"Tapilmadi")</f>
        <v>Tapilmadi</v>
      </c>
      <c r="AH326" s="179">
        <v>1</v>
      </c>
      <c r="AI326" s="180">
        <v>65</v>
      </c>
      <c r="AJ326" s="180">
        <v>120</v>
      </c>
      <c r="AK326" s="180">
        <v>120</v>
      </c>
      <c r="AL326" s="180">
        <v>0</v>
      </c>
      <c r="AM326" s="180">
        <v>1785</v>
      </c>
      <c r="AN326" s="180"/>
      <c r="AO326" s="180">
        <v>1785</v>
      </c>
      <c r="AP326" s="194">
        <f>Tablo7[[#This Row],[Ümumi məbləğ]]-Tablo7[[#This Row],[Ödəniş]]-Tablo7[[#This Row],[Endirim]]</f>
        <v>0</v>
      </c>
      <c r="AQ326" s="183" t="str">
        <f t="shared" si="85"/>
        <v>Mesaj</v>
      </c>
      <c r="AR326" s="183" t="str">
        <f t="shared" si="86"/>
        <v>Mesaj</v>
      </c>
      <c r="AS326" s="184" t="str">
        <f>IF(ISNA(VLOOKUP(Tablo7[[#This Row],[Sifariş kodu]],'Kəsim ve təhvil'!$E$5:$E1324,1,0)),"Qəbul edilməyib","Qəbul edilib")</f>
        <v>Qəbul edilib</v>
      </c>
      <c r="AT326" s="185" t="str">
        <f>IF(ISNA(VLOOKUP(Tablo7[[#This Row],[Sifariş kodu]],'Kəsim ve təhvil'!$H$5:$H1324,1,0)),"Anbardadır","Təhvil verilib")</f>
        <v>Anbardadır</v>
      </c>
      <c r="AU326" s="186" t="str">
        <f>"Hörmətli *"&amp;Tablo7[[#This Row],[Müştəri]]&amp;"*  ,Sizin *"&amp;G326&amp;"* tarixli sifarişiniz qeydə alındı. Sifariş Məbləğı *"&amp;AM326&amp;" AZN* , Qalıq *"&amp;AP326&amp;" AZN* . Hörmətlə  *AlumPro*"</f>
        <v>Hörmətli *Natiq Nesirov*  ,Sizin *18,12,2024* tarixli sifarişiniz qeydə alındı. Sifariş Məbləğı *1785 AZN* , Qalıq *0 AZN* . Hörmətlə  *AlumPro*</v>
      </c>
      <c r="AV326" s="187" t="str">
        <f>"Hörmətli *"&amp;Tablo7[[#This Row],[Müştəri]]&amp;"* , sizin *"&amp;G326&amp;"* tarixli  sifarişiniz hazırdır . Bizi seçdiyiniz üçün minnətdarıq. Hörmətlə  *AlumPro*."</f>
        <v>Hörmətli *Natiq Nesirov* , sizin *18,12,2024* tarixli  sifarişiniz hazırdır . Bizi seçdiyiniz üçün minnətdarıq. Hörmətlə  *AlumPro*.</v>
      </c>
      <c r="AW326" s="188" t="str">
        <f t="shared" si="87"/>
        <v>Natiq</v>
      </c>
      <c r="AX326" s="189" t="str">
        <f t="shared" si="88"/>
        <v xml:space="preserve">Natiq </v>
      </c>
    </row>
    <row r="327" spans="4:50">
      <c r="D327" s="178">
        <v>3</v>
      </c>
      <c r="E327" s="179" t="s">
        <v>834</v>
      </c>
      <c r="F327" s="179" t="s">
        <v>114</v>
      </c>
      <c r="G327" s="212" t="s">
        <v>557</v>
      </c>
      <c r="H327" s="179" t="s">
        <v>242</v>
      </c>
      <c r="I327" s="179" t="s">
        <v>243</v>
      </c>
      <c r="J327" s="179">
        <v>0</v>
      </c>
      <c r="K327" s="179" t="s">
        <v>835</v>
      </c>
      <c r="L327" s="179"/>
      <c r="M327" s="179" t="str">
        <f>_xlfn.XLOOKUP(Tablo7[[#This Row],[Yan Profili]],Anbar!$J$3:$J$1000,Anbar!$H$3:$H$1000,"Tapilmadi")</f>
        <v>Tapilmadi</v>
      </c>
      <c r="N327" s="179"/>
      <c r="O327" s="179"/>
      <c r="P327" s="179"/>
      <c r="Q327" s="179" t="str">
        <f>_xlfn.XLOOKUP(Tablo7[[#This Row],[Qulp növü]],Anbar!$J$3:$J$1000,Anbar!$H$3:$H$1000,"Tapilmadi")</f>
        <v>Tapilmadi</v>
      </c>
      <c r="R327" s="179"/>
      <c r="S327" s="180">
        <v>15</v>
      </c>
      <c r="T327" s="181" t="s">
        <v>196</v>
      </c>
      <c r="U327" s="179" t="str">
        <f>_xlfn.XLOOKUP(Tablo7[[#This Row],[Petlə]],Anbar!$J$3:$J$1000,Anbar!$H$3:$H$1000,"Tapilmadi")</f>
        <v>Tapilmadi</v>
      </c>
      <c r="V327" s="181">
        <v>3</v>
      </c>
      <c r="W327" s="180">
        <v>75</v>
      </c>
      <c r="X327" s="23"/>
      <c r="Y327" s="179" t="s">
        <v>36</v>
      </c>
      <c r="Z327" s="182">
        <v>30</v>
      </c>
      <c r="AA327" s="180">
        <v>750</v>
      </c>
      <c r="AB327" s="180"/>
      <c r="AC327" s="179" t="str">
        <f>_xlfn.XLOOKUP(Tablo7[[#This Row],[Bağlantı]],Anbar!$J$3:$J$1000,Anbar!$H$3:$H$1000,"Tapilmadi")</f>
        <v>Tapilmadi</v>
      </c>
      <c r="AD327" s="179"/>
      <c r="AE327" s="180">
        <v>125</v>
      </c>
      <c r="AF327" s="180"/>
      <c r="AG327" s="179" t="str">
        <f>_xlfn.XLOOKUP(Tablo7[[#This Row],[Mexanizm]],Anbar!$J$3:$J$1000,Anbar!$H$3:$H$1000,"Tapilmadi")</f>
        <v>Tapilmadi</v>
      </c>
      <c r="AH327" s="179">
        <v>1</v>
      </c>
      <c r="AI327" s="180">
        <v>65</v>
      </c>
      <c r="AJ327" s="180">
        <v>120</v>
      </c>
      <c r="AK327" s="180">
        <v>120</v>
      </c>
      <c r="AL327" s="180">
        <v>0</v>
      </c>
      <c r="AM327" s="180">
        <v>1255</v>
      </c>
      <c r="AN327" s="180"/>
      <c r="AO327" s="180">
        <v>1255</v>
      </c>
      <c r="AP327" s="194">
        <f>Tablo7[[#This Row],[Ümumi məbləğ]]-Tablo7[[#This Row],[Ödəniş]]-Tablo7[[#This Row],[Endirim]]</f>
        <v>0</v>
      </c>
      <c r="AQ327" s="183" t="str">
        <f t="shared" si="85"/>
        <v>Mesaj</v>
      </c>
      <c r="AR327" s="183" t="str">
        <f t="shared" si="86"/>
        <v>Mesaj</v>
      </c>
      <c r="AS327" s="184" t="str">
        <f>IF(ISNA(VLOOKUP(Tablo7[[#This Row],[Sifariş kodu]],'Kəsim ve təhvil'!$E$5:$E1325,1,0)),"Qəbul edilməyib","Qəbul edilib")</f>
        <v>Qəbul edilib</v>
      </c>
      <c r="AT327" s="185" t="str">
        <f>IF(ISNA(VLOOKUP(Tablo7[[#This Row],[Sifariş kodu]],'Kəsim ve təhvil'!$H$5:$H1325,1,0)),"Anbardadır","Təhvil verilib")</f>
        <v>Anbardadır</v>
      </c>
      <c r="AU327" s="186" t="str">
        <f>"Hörmətli *"&amp;Tablo7[[#This Row],[Müştəri]]&amp;"*  ,Sizin *"&amp;G327&amp;"* tarixli sifarişiniz qeydə alındı. Sifariş Məbləğı *"&amp;AM327&amp;" AZN* , Qalıq *"&amp;AP327&amp;" AZN* . Hörmətlə  *AlumPro*"</f>
        <v>Hörmətli *Mutfakci Maliyye*  ,Sizin *11,12,2024* tarixli sifarişiniz qeydə alındı. Sifariş Məbləğı *1255 AZN* , Qalıq *0 AZN* . Hörmətlə  *AlumPro*</v>
      </c>
      <c r="AV327" s="187" t="str">
        <f>"Hörmətli *"&amp;Tablo7[[#This Row],[Müştəri]]&amp;"* , sizin *"&amp;G327&amp;"* tarixli  sifarişiniz hazırdır . Bizi seçdiyiniz üçün minnətdarıq. Hörmətlə  *AlumPro*."</f>
        <v>Hörmətli *Mutfakci Maliyye* , sizin *11,12,2024* tarixli  sifarişiniz hazırdır . Bizi seçdiyiniz üçün minnətdarıq. Hörmətlə  *AlumPro*.</v>
      </c>
      <c r="AW327" s="188" t="str">
        <f t="shared" si="87"/>
        <v>Mutfakci</v>
      </c>
      <c r="AX327" s="189" t="str">
        <f t="shared" si="88"/>
        <v xml:space="preserve">Mutfakci </v>
      </c>
    </row>
    <row r="328" spans="4:50">
      <c r="D328" s="178">
        <v>7</v>
      </c>
      <c r="E328" s="179" t="s">
        <v>829</v>
      </c>
      <c r="F328" s="179" t="s">
        <v>339</v>
      </c>
      <c r="G328" s="212"/>
      <c r="H328" s="179"/>
      <c r="I328" s="179"/>
      <c r="J328" s="179"/>
      <c r="K328" s="179"/>
      <c r="L328" s="179"/>
      <c r="M328" s="179" t="str">
        <f>_xlfn.XLOOKUP(Tablo7[[#This Row],[Yan Profili]],Anbar!$J$3:$J$1000,Anbar!$H$3:$H$1000,"Tapilmadi")</f>
        <v>Tapilmadi</v>
      </c>
      <c r="N328" s="179"/>
      <c r="O328" s="179"/>
      <c r="P328" s="179"/>
      <c r="Q328" s="179" t="str">
        <f>_xlfn.XLOOKUP(Tablo7[[#This Row],[Qulp növü]],Anbar!$J$3:$J$1000,Anbar!$H$3:$H$1000,"Tapilmadi")</f>
        <v>Tapilmadi</v>
      </c>
      <c r="R328" s="179"/>
      <c r="S328" s="180">
        <v>15</v>
      </c>
      <c r="T328" s="181" t="s">
        <v>196</v>
      </c>
      <c r="U328" s="179" t="str">
        <f>_xlfn.XLOOKUP(Tablo7[[#This Row],[Petlə]],Anbar!$J$3:$J$1000,Anbar!$H$3:$H$1000,"Tapilmadi")</f>
        <v>Tapilmadi</v>
      </c>
      <c r="V328" s="181">
        <v>3</v>
      </c>
      <c r="W328" s="180">
        <v>75</v>
      </c>
      <c r="X328" s="23"/>
      <c r="Y328" s="179" t="s">
        <v>36</v>
      </c>
      <c r="Z328" s="182">
        <v>30</v>
      </c>
      <c r="AA328" s="180">
        <v>750</v>
      </c>
      <c r="AB328" s="180"/>
      <c r="AC328" s="179" t="str">
        <f>_xlfn.XLOOKUP(Tablo7[[#This Row],[Bağlantı]],Anbar!$J$3:$J$1000,Anbar!$H$3:$H$1000,"Tapilmadi")</f>
        <v>Tapilmadi</v>
      </c>
      <c r="AD328" s="179"/>
      <c r="AE328" s="180">
        <v>125</v>
      </c>
      <c r="AF328" s="180"/>
      <c r="AG328" s="179" t="str">
        <f>_xlfn.XLOOKUP(Tablo7[[#This Row],[Mexanizm]],Anbar!$J$3:$J$1000,Anbar!$H$3:$H$1000,"Tapilmadi")</f>
        <v>Tapilmadi</v>
      </c>
      <c r="AH328" s="179">
        <v>1</v>
      </c>
      <c r="AI328" s="180">
        <v>65</v>
      </c>
      <c r="AJ328" s="180">
        <v>120</v>
      </c>
      <c r="AK328" s="180">
        <v>120</v>
      </c>
      <c r="AL328" s="180">
        <v>0</v>
      </c>
      <c r="AM328" s="180">
        <v>1255</v>
      </c>
      <c r="AN328" s="180"/>
      <c r="AO328" s="180">
        <v>325</v>
      </c>
      <c r="AP328" s="194">
        <f>Tablo7[[#This Row],[Ümumi məbləğ]]-Tablo7[[#This Row],[Ödəniş]]-Tablo7[[#This Row],[Endirim]]</f>
        <v>930</v>
      </c>
      <c r="AQ328" s="183" t="str">
        <f t="shared" si="85"/>
        <v>Mesaj</v>
      </c>
      <c r="AR328" s="183" t="str">
        <f t="shared" si="86"/>
        <v>Mesaj</v>
      </c>
      <c r="AS328" s="184" t="str">
        <f>IF(ISNA(VLOOKUP(Tablo7[[#This Row],[Sifariş kodu]],'Kəsim ve təhvil'!$E$5:$E1326,1,0)),"Qəbul edilməyib","Qəbul edilib")</f>
        <v>Qəbul edilməyib</v>
      </c>
      <c r="AT328" s="185" t="str">
        <f>IF(ISNA(VLOOKUP(Tablo7[[#This Row],[Sifariş kodu]],'Kəsim ve təhvil'!$H$5:$H1326,1,0)),"Anbardadır","Təhvil verilib")</f>
        <v>Anbardadır</v>
      </c>
      <c r="AU328" s="186" t="str">
        <f>"Hörmətli *"&amp;Tablo7[[#This Row],[Müştəri]]&amp;"*  ,Sizin *"&amp;G328&amp;"* tarixli sifarişiniz qeydə alındı. Sifariş Məbləğı *"&amp;AM328&amp;" AZN* , Qalıq *"&amp;AP328&amp;" AZN* . Hörmətlə  *AlumPro*"</f>
        <v>Hörmətli **  ,Sizin ** tarixli sifarişiniz qeydə alındı. Sifariş Məbləğı *1255 AZN* , Qalıq *930 AZN* . Hörmətlə  *AlumPro*</v>
      </c>
      <c r="AV328" s="187" t="str">
        <f>"Hörmətli *"&amp;Tablo7[[#This Row],[Müştəri]]&amp;"* , sizin *"&amp;G328&amp;"* tarixli  sifarişiniz hazırdır . Bizi seçdiyiniz üçün minnətdarıq. Hörmətlə  *AlumPro*."</f>
        <v>Hörmətli ** , sizin ** tarixli  sifarişiniz hazırdır . Bizi seçdiyiniz üçün minnətdarıq. Hörmətlə  *AlumPro*.</v>
      </c>
      <c r="AW328" s="188" t="e">
        <f t="shared" si="87"/>
        <v>#VALUE!</v>
      </c>
      <c r="AX328" s="189" t="e">
        <f t="shared" si="88"/>
        <v>#VALUE!</v>
      </c>
    </row>
    <row r="329" spans="4:50">
      <c r="D329" s="178">
        <v>6</v>
      </c>
      <c r="E329" s="179" t="s">
        <v>830</v>
      </c>
      <c r="F329" s="179" t="s">
        <v>339</v>
      </c>
      <c r="G329" s="212"/>
      <c r="H329" s="179"/>
      <c r="I329" s="179"/>
      <c r="J329" s="179"/>
      <c r="K329" s="179"/>
      <c r="L329" s="179"/>
      <c r="M329" s="179" t="str">
        <f>_xlfn.XLOOKUP(Tablo7[[#This Row],[Yan Profili]],Anbar!$J$3:$J$1000,Anbar!$H$3:$H$1000,"Tapilmadi")</f>
        <v>Tapilmadi</v>
      </c>
      <c r="N329" s="179"/>
      <c r="O329" s="179"/>
      <c r="P329" s="179"/>
      <c r="Q329" s="179" t="str">
        <f>_xlfn.XLOOKUP(Tablo7[[#This Row],[Qulp növü]],Anbar!$J$3:$J$1000,Anbar!$H$3:$H$1000,"Tapilmadi")</f>
        <v>Tapilmadi</v>
      </c>
      <c r="R329" s="179"/>
      <c r="S329" s="180">
        <v>15</v>
      </c>
      <c r="T329" s="181" t="s">
        <v>196</v>
      </c>
      <c r="U329" s="179" t="str">
        <f>_xlfn.XLOOKUP(Tablo7[[#This Row],[Petlə]],Anbar!$J$3:$J$1000,Anbar!$H$3:$H$1000,"Tapilmadi")</f>
        <v>Tapilmadi</v>
      </c>
      <c r="V329" s="181">
        <v>3</v>
      </c>
      <c r="W329" s="180">
        <v>75</v>
      </c>
      <c r="X329" s="23"/>
      <c r="Y329" s="179" t="s">
        <v>36</v>
      </c>
      <c r="Z329" s="182">
        <v>30</v>
      </c>
      <c r="AA329" s="180">
        <v>750</v>
      </c>
      <c r="AB329" s="180"/>
      <c r="AC329" s="179" t="str">
        <f>_xlfn.XLOOKUP(Tablo7[[#This Row],[Bağlantı]],Anbar!$J$3:$J$1000,Anbar!$H$3:$H$1000,"Tapilmadi")</f>
        <v>Tapilmadi</v>
      </c>
      <c r="AD329" s="179"/>
      <c r="AE329" s="180">
        <v>125</v>
      </c>
      <c r="AF329" s="180"/>
      <c r="AG329" s="179" t="str">
        <f>_xlfn.XLOOKUP(Tablo7[[#This Row],[Mexanizm]],Anbar!$J$3:$J$1000,Anbar!$H$3:$H$1000,"Tapilmadi")</f>
        <v>Tapilmadi</v>
      </c>
      <c r="AH329" s="179">
        <v>1</v>
      </c>
      <c r="AI329" s="180">
        <v>65</v>
      </c>
      <c r="AJ329" s="180">
        <v>120</v>
      </c>
      <c r="AK329" s="180">
        <v>120</v>
      </c>
      <c r="AL329" s="180">
        <v>0</v>
      </c>
      <c r="AM329" s="180">
        <v>1255</v>
      </c>
      <c r="AN329" s="180"/>
      <c r="AO329" s="180">
        <v>325</v>
      </c>
      <c r="AP329" s="194">
        <f>Tablo7[[#This Row],[Ümumi məbləğ]]-Tablo7[[#This Row],[Ödəniş]]-Tablo7[[#This Row],[Endirim]]</f>
        <v>930</v>
      </c>
      <c r="AQ329" s="183" t="str">
        <f t="shared" si="85"/>
        <v>Mesaj</v>
      </c>
      <c r="AR329" s="183" t="str">
        <f t="shared" si="86"/>
        <v>Mesaj</v>
      </c>
      <c r="AS329" s="184" t="str">
        <f>IF(ISNA(VLOOKUP(Tablo7[[#This Row],[Sifariş kodu]],'Kəsim ve təhvil'!$E$5:$E1327,1,0)),"Qəbul edilməyib","Qəbul edilib")</f>
        <v>Qəbul edilməyib</v>
      </c>
      <c r="AT329" s="185" t="str">
        <f>IF(ISNA(VLOOKUP(Tablo7[[#This Row],[Sifariş kodu]],'Kəsim ve təhvil'!$H$5:$H1327,1,0)),"Anbardadır","Təhvil verilib")</f>
        <v>Anbardadır</v>
      </c>
      <c r="AU329" s="186" t="str">
        <f>"Hörmətli *"&amp;Tablo7[[#This Row],[Müştəri]]&amp;"*  ,Sizin *"&amp;G329&amp;"* tarixli sifarişiniz qeydə alındı. Sifariş Məbləğı *"&amp;AM329&amp;" AZN* , Qalıq *"&amp;AP329&amp;" AZN* . Hörmətlə  *AlumPro*"</f>
        <v>Hörmətli **  ,Sizin ** tarixli sifarişiniz qeydə alındı. Sifariş Məbləğı *1255 AZN* , Qalıq *930 AZN* . Hörmətlə  *AlumPro*</v>
      </c>
      <c r="AV329" s="187" t="str">
        <f>"Hörmətli *"&amp;Tablo7[[#This Row],[Müştəri]]&amp;"* , sizin *"&amp;G329&amp;"* tarixli  sifarişiniz hazırdır . Bizi seçdiyiniz üçün minnətdarıq. Hörmətlə  *AlumPro*."</f>
        <v>Hörmətli ** , sizin ** tarixli  sifarişiniz hazırdır . Bizi seçdiyiniz üçün minnətdarıq. Hörmətlə  *AlumPro*.</v>
      </c>
      <c r="AW329" s="188" t="e">
        <f t="shared" si="87"/>
        <v>#VALUE!</v>
      </c>
      <c r="AX329" s="189" t="e">
        <f t="shared" si="88"/>
        <v>#VALUE!</v>
      </c>
    </row>
    <row r="330" spans="4:50">
      <c r="D330" s="178">
        <v>5</v>
      </c>
      <c r="E330" s="179" t="s">
        <v>831</v>
      </c>
      <c r="F330" s="179" t="s">
        <v>339</v>
      </c>
      <c r="G330" s="212"/>
      <c r="H330" s="179"/>
      <c r="I330" s="179"/>
      <c r="J330" s="179"/>
      <c r="K330" s="179"/>
      <c r="L330" s="179"/>
      <c r="M330" s="179">
        <f>_xlfn.XLOOKUP(Tablo7[[#This Row],[Yan Profili]],Anbar!$J$3:$J$1000,Anbar!$H$3:$H$1000,"Tapilmadi")</f>
        <v>0</v>
      </c>
      <c r="N330" s="179"/>
      <c r="O330" s="179"/>
      <c r="P330" s="179"/>
      <c r="Q330" s="179" t="str">
        <f>_xlfn.XLOOKUP(Tablo7[[#This Row],[Qulp növü]],Anbar!$J$3:$J$1000,Anbar!$H$3:$H$1000,"Tapilmadi")</f>
        <v>Tapilmadi</v>
      </c>
      <c r="R330" s="179"/>
      <c r="S330" s="180">
        <v>15</v>
      </c>
      <c r="T330" s="181" t="s">
        <v>196</v>
      </c>
      <c r="U330" s="179" t="str">
        <f>_xlfn.XLOOKUP(Tablo7[[#This Row],[Petlə]],Anbar!$J$3:$J$1000,Anbar!$H$3:$H$1000,"Tapilmadi")</f>
        <v>Tapilmadi</v>
      </c>
      <c r="V330" s="181">
        <v>3</v>
      </c>
      <c r="W330" s="180">
        <v>75</v>
      </c>
      <c r="X330" s="23"/>
      <c r="Y330" s="179" t="s">
        <v>36</v>
      </c>
      <c r="Z330" s="182">
        <v>30</v>
      </c>
      <c r="AA330" s="180">
        <v>750</v>
      </c>
      <c r="AB330" s="180"/>
      <c r="AC330" s="179" t="str">
        <f>_xlfn.XLOOKUP(Tablo7[[#This Row],[Bağlantı]],Anbar!$J$3:$J$1000,Anbar!$H$3:$H$1000,"Tapilmadi")</f>
        <v>Tapilmadi</v>
      </c>
      <c r="AD330" s="179"/>
      <c r="AE330" s="180">
        <v>125</v>
      </c>
      <c r="AF330" s="180"/>
      <c r="AG330" s="179" t="str">
        <f>_xlfn.XLOOKUP(Tablo7[[#This Row],[Mexanizm]],Anbar!$J$3:$J$1000,Anbar!$H$3:$H$1000,"Tapilmadi")</f>
        <v>Tapilmadi</v>
      </c>
      <c r="AH330" s="179">
        <v>1</v>
      </c>
      <c r="AI330" s="180">
        <v>65</v>
      </c>
      <c r="AJ330" s="180">
        <v>120</v>
      </c>
      <c r="AK330" s="180">
        <v>120</v>
      </c>
      <c r="AL330" s="180">
        <v>0</v>
      </c>
      <c r="AM330" s="180">
        <v>1255</v>
      </c>
      <c r="AN330" s="180"/>
      <c r="AO330" s="180">
        <v>325</v>
      </c>
      <c r="AP330" s="194">
        <f>Tablo7[[#This Row],[Ümumi məbləğ]]-Tablo7[[#This Row],[Ödəniş]]-Tablo7[[#This Row],[Endirim]]</f>
        <v>930</v>
      </c>
      <c r="AQ330" s="183" t="str">
        <f t="shared" si="85"/>
        <v>Mesaj</v>
      </c>
      <c r="AR330" s="183" t="str">
        <f t="shared" si="86"/>
        <v>Mesaj</v>
      </c>
      <c r="AS330" s="184" t="str">
        <f>IF(ISNA(VLOOKUP(Tablo7[[#This Row],[Sifariş kodu]],'Kəsim ve təhvil'!$E$5:$E1328,1,0)),"Qəbul edilməyib","Qəbul edilib")</f>
        <v>Qəbul edilib</v>
      </c>
      <c r="AT330" s="185" t="str">
        <f>IF(ISNA(VLOOKUP(Tablo7[[#This Row],[Sifariş kodu]],'Kəsim ve təhvil'!$H$5:$H1328,1,0)),"Anbardadır","Təhvil verilib")</f>
        <v>Anbardadır</v>
      </c>
      <c r="AU330" s="186" t="str">
        <f>"Hörmətli *"&amp;Tablo7[[#This Row],[Müştəri]]&amp;"*  ,Sizin *"&amp;G330&amp;"* tarixli sifarişiniz qeydə alındı. Sifariş Məbləğı *"&amp;AM330&amp;" AZN* , Qalıq *"&amp;AP330&amp;" AZN* . Hörmətlə  *AlumPro*"</f>
        <v>Hörmətli **  ,Sizin ** tarixli sifarişiniz qeydə alındı. Sifariş Məbləğı *1255 AZN* , Qalıq *930 AZN* . Hörmətlə  *AlumPro*</v>
      </c>
      <c r="AV330" s="187" t="str">
        <f>"Hörmətli *"&amp;Tablo7[[#This Row],[Müştəri]]&amp;"* , sizin *"&amp;G330&amp;"* tarixli  sifarişiniz hazırdır . Bizi seçdiyiniz üçün minnətdarıq. Hörmətlə  *AlumPro*."</f>
        <v>Hörmətli ** , sizin ** tarixli  sifarişiniz hazırdır . Bizi seçdiyiniz üçün minnətdarıq. Hörmətlə  *AlumPro*.</v>
      </c>
      <c r="AW330" s="188" t="e">
        <f t="shared" si="87"/>
        <v>#VALUE!</v>
      </c>
      <c r="AX330" s="189" t="e">
        <f t="shared" si="88"/>
        <v>#VALUE!</v>
      </c>
    </row>
    <row r="331" spans="4:50">
      <c r="D331" s="178">
        <v>4</v>
      </c>
      <c r="E331" s="179" t="s">
        <v>832</v>
      </c>
      <c r="F331" s="179" t="s">
        <v>339</v>
      </c>
      <c r="G331" s="212"/>
      <c r="H331" s="179"/>
      <c r="I331" s="179"/>
      <c r="J331" s="179"/>
      <c r="K331" s="179"/>
      <c r="L331" s="179"/>
      <c r="M331" s="179" t="str">
        <f>_xlfn.XLOOKUP(Tablo7[[#This Row],[Yan Profili]],Anbar!$J$3:$J$1000,Anbar!$H$3:$H$1000,"Tapilmadi")</f>
        <v>Tapilmadi</v>
      </c>
      <c r="N331" s="179"/>
      <c r="O331" s="179"/>
      <c r="P331" s="179"/>
      <c r="Q331" s="179" t="str">
        <f>_xlfn.XLOOKUP(Tablo7[[#This Row],[Qulp növü]],Anbar!$J$3:$J$1000,Anbar!$H$3:$H$1000,"Tapilmadi")</f>
        <v>Tapilmadi</v>
      </c>
      <c r="R331" s="179"/>
      <c r="S331" s="180">
        <v>15</v>
      </c>
      <c r="T331" s="181" t="s">
        <v>196</v>
      </c>
      <c r="U331" s="179" t="str">
        <f>_xlfn.XLOOKUP(Tablo7[[#This Row],[Petlə]],Anbar!$J$3:$J$1000,Anbar!$H$3:$H$1000,"Tapilmadi")</f>
        <v>Tapilmadi</v>
      </c>
      <c r="V331" s="181">
        <v>3</v>
      </c>
      <c r="W331" s="180">
        <v>75</v>
      </c>
      <c r="X331" s="23"/>
      <c r="Y331" s="179" t="s">
        <v>36</v>
      </c>
      <c r="Z331" s="182">
        <v>30</v>
      </c>
      <c r="AA331" s="180">
        <v>750</v>
      </c>
      <c r="AB331" s="180"/>
      <c r="AC331" s="179" t="str">
        <f>_xlfn.XLOOKUP(Tablo7[[#This Row],[Bağlantı]],Anbar!$J$3:$J$1000,Anbar!$H$3:$H$1000,"Tapilmadi")</f>
        <v>Tapilmadi</v>
      </c>
      <c r="AD331" s="179"/>
      <c r="AE331" s="180">
        <v>125</v>
      </c>
      <c r="AF331" s="180"/>
      <c r="AG331" s="179" t="str">
        <f>_xlfn.XLOOKUP(Tablo7[[#This Row],[Mexanizm]],Anbar!$J$3:$J$1000,Anbar!$H$3:$H$1000,"Tapilmadi")</f>
        <v>Tapilmadi</v>
      </c>
      <c r="AH331" s="179">
        <v>1</v>
      </c>
      <c r="AI331" s="180">
        <v>65</v>
      </c>
      <c r="AJ331" s="180">
        <v>120</v>
      </c>
      <c r="AK331" s="180">
        <v>120</v>
      </c>
      <c r="AL331" s="180">
        <v>0</v>
      </c>
      <c r="AM331" s="180">
        <v>1255</v>
      </c>
      <c r="AN331" s="180"/>
      <c r="AO331" s="180">
        <v>325</v>
      </c>
      <c r="AP331" s="194">
        <f>Tablo7[[#This Row],[Ümumi məbləğ]]-Tablo7[[#This Row],[Ödəniş]]-Tablo7[[#This Row],[Endirim]]</f>
        <v>930</v>
      </c>
      <c r="AQ331" s="183" t="str">
        <f t="shared" si="85"/>
        <v>Mesaj</v>
      </c>
      <c r="AR331" s="183" t="str">
        <f t="shared" si="86"/>
        <v>Mesaj</v>
      </c>
      <c r="AS331" s="184" t="str">
        <f>IF(ISNA(VLOOKUP(Tablo7[[#This Row],[Sifariş kodu]],'Kəsim ve təhvil'!$E$5:$E1329,1,0)),"Qəbul edilməyib","Qəbul edilib")</f>
        <v>Qəbul edilib</v>
      </c>
      <c r="AT331" s="185" t="str">
        <f>IF(ISNA(VLOOKUP(Tablo7[[#This Row],[Sifariş kodu]],'Kəsim ve təhvil'!$H$5:$H1329,1,0)),"Anbardadır","Təhvil verilib")</f>
        <v>Anbardadır</v>
      </c>
      <c r="AU331" s="186" t="str">
        <f>"Hörmətli *"&amp;Tablo7[[#This Row],[Müştəri]]&amp;"*  ,Sizin *"&amp;G331&amp;"* tarixli sifarişiniz qeydə alındı. Sifariş Məbləğı *"&amp;AM331&amp;" AZN* , Qalıq *"&amp;AP331&amp;" AZN* . Hörmətlə  *AlumPro*"</f>
        <v>Hörmətli **  ,Sizin ** tarixli sifarişiniz qeydə alındı. Sifariş Məbləğı *1255 AZN* , Qalıq *930 AZN* . Hörmətlə  *AlumPro*</v>
      </c>
      <c r="AV331" s="187" t="str">
        <f>"Hörmətli *"&amp;Tablo7[[#This Row],[Müştəri]]&amp;"* , sizin *"&amp;G331&amp;"* tarixli  sifarişiniz hazırdır . Bizi seçdiyiniz üçün minnətdarıq. Hörmətlə  *AlumPro*."</f>
        <v>Hörmətli ** , sizin ** tarixli  sifarişiniz hazırdır . Bizi seçdiyiniz üçün minnətdarıq. Hörmətlə  *AlumPro*.</v>
      </c>
      <c r="AW331" s="188" t="e">
        <f t="shared" si="87"/>
        <v>#VALUE!</v>
      </c>
      <c r="AX331" s="189" t="e">
        <f t="shared" si="88"/>
        <v>#VALUE!</v>
      </c>
    </row>
    <row r="332" spans="4:50">
      <c r="D332" s="178">
        <v>3</v>
      </c>
      <c r="E332" s="179" t="s">
        <v>834</v>
      </c>
      <c r="F332" s="179" t="s">
        <v>339</v>
      </c>
      <c r="G332" s="212"/>
      <c r="H332" s="179"/>
      <c r="I332" s="179"/>
      <c r="J332" s="179"/>
      <c r="K332" s="179"/>
      <c r="L332" s="179"/>
      <c r="M332" s="179" t="str">
        <f>_xlfn.XLOOKUP(Tablo7[[#This Row],[Yan Profili]],Anbar!$J$3:$J$1000,Anbar!$H$3:$H$1000,"Tapilmadi")</f>
        <v>Tapilmadi</v>
      </c>
      <c r="N332" s="179"/>
      <c r="O332" s="179"/>
      <c r="P332" s="179"/>
      <c r="Q332" s="179" t="str">
        <f>_xlfn.XLOOKUP(Tablo7[[#This Row],[Qulp növü]],Anbar!$J$3:$J$1000,Anbar!$H$3:$H$1000,"Tapilmadi")</f>
        <v>Tapilmadi</v>
      </c>
      <c r="R332" s="179"/>
      <c r="S332" s="180">
        <v>16</v>
      </c>
      <c r="T332" s="181" t="s">
        <v>196</v>
      </c>
      <c r="U332" s="179" t="str">
        <f>_xlfn.XLOOKUP(Tablo7[[#This Row],[Petlə]],Anbar!$J$3:$J$1000,Anbar!$H$3:$H$1000,"Tapilmadi")</f>
        <v>Tapilmadi</v>
      </c>
      <c r="V332" s="181">
        <v>4</v>
      </c>
      <c r="W332" s="180">
        <v>76</v>
      </c>
      <c r="X332" s="23"/>
      <c r="Y332" s="179" t="s">
        <v>36</v>
      </c>
      <c r="Z332" s="182">
        <v>31</v>
      </c>
      <c r="AA332" s="180">
        <v>751</v>
      </c>
      <c r="AB332" s="180"/>
      <c r="AC332" s="179" t="str">
        <f>_xlfn.XLOOKUP(Tablo7[[#This Row],[Bağlantı]],Anbar!$J$3:$J$1000,Anbar!$H$3:$H$1000,"Tapilmadi")</f>
        <v>Tapilmadi</v>
      </c>
      <c r="AD332" s="179"/>
      <c r="AE332" s="180">
        <v>126</v>
      </c>
      <c r="AF332" s="180"/>
      <c r="AG332" s="179" t="str">
        <f>_xlfn.XLOOKUP(Tablo7[[#This Row],[Mexanizm]],Anbar!$J$3:$J$1000,Anbar!$H$3:$H$1000,"Tapilmadi")</f>
        <v>Tapilmadi</v>
      </c>
      <c r="AH332" s="179">
        <v>1</v>
      </c>
      <c r="AI332" s="180">
        <v>66</v>
      </c>
      <c r="AJ332" s="180">
        <v>121</v>
      </c>
      <c r="AK332" s="180">
        <v>121</v>
      </c>
      <c r="AL332" s="180">
        <v>1</v>
      </c>
      <c r="AM332" s="180">
        <v>1256</v>
      </c>
      <c r="AN332" s="180"/>
      <c r="AO332" s="180">
        <v>326</v>
      </c>
      <c r="AP332" s="194">
        <f>Tablo7[[#This Row],[Ümumi məbləğ]]-Tablo7[[#This Row],[Ödəniş]]-Tablo7[[#This Row],[Endirim]]</f>
        <v>930</v>
      </c>
      <c r="AQ332" s="183" t="str">
        <f t="shared" si="85"/>
        <v>Mesaj</v>
      </c>
      <c r="AR332" s="183" t="str">
        <f t="shared" si="86"/>
        <v>Mesaj</v>
      </c>
      <c r="AS332" s="184" t="str">
        <f>IF(ISNA(VLOOKUP(Tablo7[[#This Row],[Sifariş kodu]],'Kəsim ve təhvil'!$E$5:$E1330,1,0)),"Qəbul edilməyib","Qəbul edilib")</f>
        <v>Qəbul edilib</v>
      </c>
      <c r="AT332" s="185" t="str">
        <f>IF(ISNA(VLOOKUP(Tablo7[[#This Row],[Sifariş kodu]],'Kəsim ve təhvil'!$H$5:$H1330,1,0)),"Anbardadır","Təhvil verilib")</f>
        <v>Anbardadır</v>
      </c>
      <c r="AU332" s="186" t="str">
        <f>"Hörmətli *"&amp;Tablo7[[#This Row],[Müştəri]]&amp;"*  ,Sizin *"&amp;G332&amp;"* tarixli sifarişiniz qeydə alındı. Sifariş Məbləğı *"&amp;AM332&amp;" AZN* , Qalıq *"&amp;AP332&amp;" AZN* . Hörmətlə  *AlumPro*"</f>
        <v>Hörmətli **  ,Sizin ** tarixli sifarişiniz qeydə alındı. Sifariş Məbləğı *1256 AZN* , Qalıq *930 AZN* . Hörmətlə  *AlumPro*</v>
      </c>
      <c r="AV332" s="187" t="str">
        <f>"Hörmətli *"&amp;Tablo7[[#This Row],[Müştəri]]&amp;"* , sizin *"&amp;G332&amp;"* tarixli  sifarişiniz hazırdır . Bizi seçdiyiniz üçün minnətdarıq. Hörmətlə  *AlumPro*."</f>
        <v>Hörmətli ** , sizin ** tarixli  sifarişiniz hazırdır . Bizi seçdiyiniz üçün minnətdarıq. Hörmətlə  *AlumPro*.</v>
      </c>
      <c r="AW332" s="188" t="e">
        <f t="shared" si="87"/>
        <v>#VALUE!</v>
      </c>
      <c r="AX332" s="189" t="e">
        <f t="shared" si="88"/>
        <v>#VALUE!</v>
      </c>
    </row>
    <row r="333" spans="4:50">
      <c r="D333" s="178">
        <v>2</v>
      </c>
      <c r="E333" s="179" t="s">
        <v>836</v>
      </c>
      <c r="F333" s="179" t="s">
        <v>339</v>
      </c>
      <c r="G333" s="212"/>
      <c r="H333" s="179"/>
      <c r="I333" s="179"/>
      <c r="J333" s="179"/>
      <c r="K333" s="179"/>
      <c r="L333" s="179"/>
      <c r="M333" s="179" t="str">
        <f>_xlfn.XLOOKUP(Tablo7[[#This Row],[Yan Profili]],Anbar!$J$3:$J$1000,Anbar!$H$3:$H$1000,"Tapilmadi")</f>
        <v>Tapilmadi</v>
      </c>
      <c r="N333" s="179"/>
      <c r="O333" s="179"/>
      <c r="P333" s="179"/>
      <c r="Q333" s="179" t="str">
        <f>_xlfn.XLOOKUP(Tablo7[[#This Row],[Qulp növü]],Anbar!$J$3:$J$1000,Anbar!$H$3:$H$1000,"Tapilmadi")</f>
        <v>Tapilmadi</v>
      </c>
      <c r="R333" s="179"/>
      <c r="S333" s="180">
        <v>15</v>
      </c>
      <c r="T333" s="181" t="s">
        <v>196</v>
      </c>
      <c r="U333" s="179" t="str">
        <f>_xlfn.XLOOKUP(Tablo7[[#This Row],[Petlə]],Anbar!$J$3:$J$1000,Anbar!$H$3:$H$1000,"Tapilmadi")</f>
        <v>Tapilmadi</v>
      </c>
      <c r="V333" s="181">
        <v>3</v>
      </c>
      <c r="W333" s="180">
        <v>75</v>
      </c>
      <c r="X333" s="23"/>
      <c r="Y333" s="179" t="s">
        <v>36</v>
      </c>
      <c r="Z333" s="182">
        <v>30</v>
      </c>
      <c r="AA333" s="180">
        <v>750</v>
      </c>
      <c r="AB333" s="180"/>
      <c r="AC333" s="179" t="str">
        <f>_xlfn.XLOOKUP(Tablo7[[#This Row],[Bağlantı]],Anbar!$J$3:$J$1000,Anbar!$H$3:$H$1000,"Tapilmadi")</f>
        <v>Tapilmadi</v>
      </c>
      <c r="AD333" s="179"/>
      <c r="AE333" s="180">
        <v>125</v>
      </c>
      <c r="AF333" s="180"/>
      <c r="AG333" s="179" t="str">
        <f>_xlfn.XLOOKUP(Tablo7[[#This Row],[Mexanizm]],Anbar!$J$3:$J$1000,Anbar!$H$3:$H$1000,"Tapilmadi")</f>
        <v>Tapilmadi</v>
      </c>
      <c r="AH333" s="179">
        <v>1</v>
      </c>
      <c r="AI333" s="180">
        <v>65</v>
      </c>
      <c r="AJ333" s="180">
        <v>120</v>
      </c>
      <c r="AK333" s="180">
        <v>120</v>
      </c>
      <c r="AL333" s="180">
        <v>0</v>
      </c>
      <c r="AM333" s="180">
        <v>1255</v>
      </c>
      <c r="AN333" s="180"/>
      <c r="AO333" s="180">
        <v>325</v>
      </c>
      <c r="AP333" s="194">
        <f>Tablo7[[#This Row],[Ümumi məbləğ]]-Tablo7[[#This Row],[Ödəniş]]-Tablo7[[#This Row],[Endirim]]</f>
        <v>930</v>
      </c>
      <c r="AQ333" s="183" t="str">
        <f t="shared" si="85"/>
        <v>Mesaj</v>
      </c>
      <c r="AR333" s="183" t="str">
        <f t="shared" si="86"/>
        <v>Mesaj</v>
      </c>
      <c r="AS333" s="184" t="str">
        <f>IF(ISNA(VLOOKUP(Tablo7[[#This Row],[Sifariş kodu]],'Kəsim ve təhvil'!$E$5:$E1331,1,0)),"Qəbul edilməyib","Qəbul edilib")</f>
        <v>Qəbul edilib</v>
      </c>
      <c r="AT333" s="185" t="str">
        <f>IF(ISNA(VLOOKUP(Tablo7[[#This Row],[Sifariş kodu]],'Kəsim ve təhvil'!$H$5:$H1331,1,0)),"Anbardadır","Təhvil verilib")</f>
        <v>Anbardadır</v>
      </c>
      <c r="AU333" s="186" t="str">
        <f>"Hörmətli *"&amp;Tablo7[[#This Row],[Müştəri]]&amp;"*  ,Sizin *"&amp;G333&amp;"* tarixli sifarişiniz qeydə alındı. Sifariş Məbləğı *"&amp;AM333&amp;" AZN* , Qalıq *"&amp;AP333&amp;" AZN* . Hörmətlə  *AlumPro*"</f>
        <v>Hörmətli **  ,Sizin ** tarixli sifarişiniz qeydə alındı. Sifariş Məbləğı *1255 AZN* , Qalıq *930 AZN* . Hörmətlə  *AlumPro*</v>
      </c>
      <c r="AV333" s="187" t="str">
        <f>"Hörmətli *"&amp;Tablo7[[#This Row],[Müştəri]]&amp;"* , sizin *"&amp;G333&amp;"* tarixli  sifarişiniz hazırdır . Bizi seçdiyiniz üçün minnətdarıq. Hörmətlə  *AlumPro*."</f>
        <v>Hörmətli ** , sizin ** tarixli  sifarişiniz hazırdır . Bizi seçdiyiniz üçün minnətdarıq. Hörmətlə  *AlumPro*.</v>
      </c>
      <c r="AW333" s="188" t="e">
        <f t="shared" si="87"/>
        <v>#VALUE!</v>
      </c>
      <c r="AX333" s="189" t="e">
        <f t="shared" si="88"/>
        <v>#VALUE!</v>
      </c>
    </row>
    <row r="334" spans="4:50">
      <c r="D334"/>
      <c r="E334"/>
      <c r="F334"/>
      <c r="AI334" t="s">
        <v>837</v>
      </c>
    </row>
    <row r="335" spans="4:50">
      <c r="D335"/>
      <c r="E335"/>
      <c r="F335"/>
    </row>
    <row r="336" spans="4:50">
      <c r="D336"/>
      <c r="E336"/>
      <c r="F336"/>
    </row>
    <row r="337" spans="4:6">
      <c r="D337"/>
      <c r="E337"/>
      <c r="F337"/>
    </row>
    <row r="338" spans="4:6">
      <c r="D338"/>
      <c r="E338"/>
      <c r="F338"/>
    </row>
    <row r="339" spans="4:6">
      <c r="D339"/>
      <c r="E339"/>
      <c r="F339"/>
    </row>
    <row r="340" spans="4:6">
      <c r="D340"/>
      <c r="E340"/>
      <c r="F340"/>
    </row>
    <row r="341" spans="4:6">
      <c r="D341"/>
      <c r="E341"/>
      <c r="F341"/>
    </row>
    <row r="342" spans="4:6">
      <c r="D342"/>
      <c r="E342"/>
      <c r="F342"/>
    </row>
    <row r="343" spans="4:6">
      <c r="D343"/>
      <c r="E343"/>
      <c r="F343"/>
    </row>
    <row r="344" spans="4:6">
      <c r="D344"/>
      <c r="E344"/>
      <c r="F344"/>
    </row>
    <row r="345" spans="4:6">
      <c r="D345"/>
      <c r="E345"/>
      <c r="F345"/>
    </row>
    <row r="346" spans="4:6">
      <c r="D346"/>
      <c r="E346"/>
      <c r="F346"/>
    </row>
    <row r="347" spans="4:6">
      <c r="D347"/>
      <c r="E347"/>
      <c r="F347"/>
    </row>
    <row r="348" spans="4:6">
      <c r="D348"/>
      <c r="E348"/>
      <c r="F348"/>
    </row>
    <row r="349" spans="4:6">
      <c r="D349"/>
      <c r="E349"/>
      <c r="F349"/>
    </row>
    <row r="350" spans="4:6">
      <c r="D350"/>
      <c r="E350"/>
      <c r="F350"/>
    </row>
    <row r="351" spans="4:6">
      <c r="D351"/>
      <c r="E351"/>
      <c r="F351"/>
    </row>
    <row r="352" spans="4:6">
      <c r="D352"/>
      <c r="E352"/>
      <c r="F352"/>
    </row>
    <row r="353" spans="4:44">
      <c r="D353"/>
      <c r="E353"/>
      <c r="F353"/>
    </row>
    <row r="354" spans="4:44">
      <c r="D354"/>
      <c r="E354"/>
      <c r="F354"/>
    </row>
    <row r="355" spans="4:44">
      <c r="D355"/>
      <c r="E355"/>
      <c r="F355"/>
    </row>
    <row r="356" spans="4:44">
      <c r="D356"/>
      <c r="E356"/>
      <c r="F356"/>
    </row>
    <row r="357" spans="4:44">
      <c r="D357"/>
      <c r="E357"/>
      <c r="F357"/>
    </row>
    <row r="358" spans="4:44">
      <c r="D358"/>
      <c r="E358"/>
      <c r="F358"/>
    </row>
    <row r="359" spans="4:44">
      <c r="D359"/>
      <c r="E359"/>
      <c r="F359"/>
    </row>
    <row r="360" spans="4:44">
      <c r="D360"/>
      <c r="E360"/>
      <c r="F360"/>
    </row>
    <row r="361" spans="4:44">
      <c r="D361"/>
      <c r="E361"/>
      <c r="F361"/>
    </row>
    <row r="362" spans="4:44">
      <c r="D362" s="58"/>
      <c r="E362"/>
      <c r="F362"/>
      <c r="G362" s="59"/>
    </row>
    <row r="363" spans="4:44">
      <c r="D363"/>
      <c r="E363"/>
      <c r="F363"/>
      <c r="S363" s="161"/>
    </row>
    <row r="364" spans="4:44">
      <c r="D364"/>
      <c r="E364"/>
      <c r="F364"/>
      <c r="T364" s="162"/>
      <c r="U364" s="162"/>
      <c r="V364" s="161"/>
      <c r="Y364" s="163"/>
      <c r="Z364" s="161"/>
      <c r="AA364" s="161"/>
      <c r="AB364" s="162"/>
      <c r="AC364" s="161"/>
      <c r="AD364" s="161"/>
      <c r="AE364" s="161"/>
      <c r="AF364" s="161"/>
      <c r="AG364" s="161"/>
      <c r="AH364" s="161"/>
      <c r="AI364" s="161"/>
      <c r="AJ364" s="161"/>
      <c r="AK364" s="165"/>
      <c r="AL364" s="165"/>
      <c r="AM364" s="166"/>
      <c r="AN364" s="167"/>
      <c r="AO364" s="168"/>
      <c r="AP364" s="169"/>
      <c r="AQ364" s="170"/>
      <c r="AR364" s="171"/>
    </row>
    <row r="365" spans="4:44">
      <c r="D365"/>
      <c r="E365"/>
      <c r="F365"/>
    </row>
    <row r="366" spans="4:44">
      <c r="D366"/>
      <c r="E366"/>
      <c r="F366"/>
    </row>
    <row r="367" spans="4:44">
      <c r="D367"/>
      <c r="E367"/>
      <c r="F367"/>
    </row>
    <row r="368" spans="4:44" ht="16.5">
      <c r="D368"/>
      <c r="E368"/>
      <c r="F368"/>
      <c r="AK368" s="164"/>
      <c r="AL368" s="164"/>
    </row>
    <row r="369" spans="4:6">
      <c r="D369"/>
      <c r="E369"/>
      <c r="F369"/>
    </row>
    <row r="370" spans="4:6">
      <c r="D370"/>
      <c r="E370"/>
      <c r="F370"/>
    </row>
    <row r="371" spans="4:6">
      <c r="D371"/>
      <c r="E371"/>
      <c r="F371"/>
    </row>
    <row r="372" spans="4:6">
      <c r="D372"/>
      <c r="E372"/>
      <c r="F372"/>
    </row>
    <row r="373" spans="4:6">
      <c r="D373"/>
      <c r="E373"/>
      <c r="F373"/>
    </row>
    <row r="374" spans="4:6">
      <c r="D374"/>
      <c r="E374"/>
      <c r="F374"/>
    </row>
    <row r="375" spans="4:6">
      <c r="D375"/>
      <c r="E375"/>
      <c r="F375"/>
    </row>
    <row r="376" spans="4:6">
      <c r="D376"/>
      <c r="E376"/>
      <c r="F376"/>
    </row>
    <row r="377" spans="4:6">
      <c r="D377"/>
      <c r="E377"/>
      <c r="F377"/>
    </row>
    <row r="378" spans="4:6">
      <c r="D378"/>
      <c r="E378"/>
      <c r="F378"/>
    </row>
    <row r="379" spans="4:6">
      <c r="D379"/>
      <c r="E379"/>
      <c r="F379"/>
    </row>
    <row r="380" spans="4:6">
      <c r="D380"/>
      <c r="E380"/>
      <c r="F380"/>
    </row>
    <row r="381" spans="4:6">
      <c r="D381"/>
      <c r="E381"/>
      <c r="F381"/>
    </row>
    <row r="382" spans="4:6">
      <c r="D382"/>
      <c r="E382"/>
      <c r="F382"/>
    </row>
    <row r="383" spans="4:6">
      <c r="D383"/>
      <c r="E383"/>
      <c r="F383"/>
    </row>
    <row r="384" spans="4:6">
      <c r="D384"/>
      <c r="E384"/>
      <c r="F384"/>
    </row>
    <row r="385" spans="4:6">
      <c r="D385"/>
      <c r="E385"/>
      <c r="F385"/>
    </row>
    <row r="386" spans="4:6">
      <c r="D386"/>
      <c r="E386"/>
      <c r="F386"/>
    </row>
    <row r="387" spans="4:6">
      <c r="D387"/>
      <c r="E387"/>
      <c r="F387"/>
    </row>
    <row r="388" spans="4:6">
      <c r="D388"/>
      <c r="E388"/>
      <c r="F388"/>
    </row>
    <row r="389" spans="4:6">
      <c r="D389"/>
      <c r="E389"/>
      <c r="F389"/>
    </row>
    <row r="390" spans="4:6">
      <c r="D390"/>
      <c r="E390"/>
      <c r="F390"/>
    </row>
    <row r="391" spans="4:6">
      <c r="D391"/>
      <c r="E391"/>
      <c r="F391"/>
    </row>
    <row r="392" spans="4:6">
      <c r="D392"/>
      <c r="E392"/>
      <c r="F392"/>
    </row>
    <row r="393" spans="4:6">
      <c r="D393"/>
      <c r="E393"/>
      <c r="F393"/>
    </row>
    <row r="394" spans="4:6">
      <c r="D394"/>
      <c r="E394"/>
      <c r="F394"/>
    </row>
    <row r="395" spans="4:6">
      <c r="D395"/>
      <c r="E395"/>
      <c r="F395"/>
    </row>
    <row r="396" spans="4:6">
      <c r="D396"/>
      <c r="E396"/>
      <c r="F396"/>
    </row>
    <row r="397" spans="4:6">
      <c r="D397"/>
      <c r="E397"/>
      <c r="F397"/>
    </row>
    <row r="398" spans="4:6">
      <c r="D398"/>
      <c r="E398"/>
      <c r="F398"/>
    </row>
    <row r="399" spans="4:6">
      <c r="D399"/>
      <c r="E399"/>
      <c r="F399"/>
    </row>
    <row r="400" spans="4:6">
      <c r="D400"/>
      <c r="E400"/>
      <c r="F400"/>
    </row>
    <row r="401" spans="4:6">
      <c r="D401"/>
      <c r="E401"/>
      <c r="F401"/>
    </row>
    <row r="402" spans="4:6">
      <c r="D402"/>
      <c r="E402"/>
      <c r="F402"/>
    </row>
    <row r="403" spans="4:6">
      <c r="D403"/>
      <c r="E403"/>
      <c r="F403"/>
    </row>
    <row r="404" spans="4:6">
      <c r="D404"/>
      <c r="E404"/>
      <c r="F404"/>
    </row>
    <row r="405" spans="4:6">
      <c r="D405"/>
      <c r="E405"/>
      <c r="F405"/>
    </row>
    <row r="406" spans="4:6">
      <c r="D406"/>
      <c r="E406"/>
      <c r="F406"/>
    </row>
    <row r="407" spans="4:6">
      <c r="D407"/>
      <c r="E407"/>
      <c r="F407"/>
    </row>
    <row r="408" spans="4:6">
      <c r="D408"/>
      <c r="E408"/>
      <c r="F408"/>
    </row>
    <row r="409" spans="4:6">
      <c r="D409"/>
      <c r="E409"/>
      <c r="F409"/>
    </row>
    <row r="410" spans="4:6">
      <c r="D410"/>
      <c r="E410"/>
      <c r="F410"/>
    </row>
    <row r="411" spans="4:6">
      <c r="D411"/>
      <c r="E411"/>
      <c r="F411"/>
    </row>
    <row r="412" spans="4:6">
      <c r="D412"/>
      <c r="E412"/>
      <c r="F412"/>
    </row>
    <row r="413" spans="4:6">
      <c r="D413"/>
      <c r="E413"/>
      <c r="F413"/>
    </row>
    <row r="414" spans="4:6">
      <c r="D414"/>
      <c r="E414"/>
      <c r="F414"/>
    </row>
    <row r="415" spans="4:6">
      <c r="D415"/>
      <c r="E415"/>
      <c r="F415"/>
    </row>
    <row r="416" spans="4:6">
      <c r="D416"/>
      <c r="E416"/>
      <c r="F416"/>
    </row>
    <row r="417" spans="4:6">
      <c r="D417"/>
      <c r="E417"/>
      <c r="F417"/>
    </row>
    <row r="418" spans="4:6">
      <c r="D418"/>
      <c r="E418"/>
      <c r="F418"/>
    </row>
    <row r="419" spans="4:6">
      <c r="D419"/>
      <c r="E419"/>
      <c r="F419"/>
    </row>
    <row r="420" spans="4:6">
      <c r="D420"/>
      <c r="E420"/>
      <c r="F420"/>
    </row>
    <row r="421" spans="4:6">
      <c r="D421"/>
      <c r="E421"/>
      <c r="F421"/>
    </row>
    <row r="422" spans="4:6">
      <c r="D422"/>
      <c r="E422"/>
      <c r="F422"/>
    </row>
    <row r="423" spans="4:6">
      <c r="D423"/>
      <c r="E423"/>
      <c r="F423"/>
    </row>
    <row r="424" spans="4:6">
      <c r="D424"/>
      <c r="E424"/>
      <c r="F424"/>
    </row>
    <row r="425" spans="4:6">
      <c r="D425"/>
      <c r="E425"/>
      <c r="F425"/>
    </row>
    <row r="426" spans="4:6">
      <c r="D426"/>
      <c r="E426"/>
      <c r="F426"/>
    </row>
    <row r="427" spans="4:6">
      <c r="D427"/>
      <c r="E427"/>
      <c r="F427"/>
    </row>
    <row r="428" spans="4:6">
      <c r="D428"/>
      <c r="E428"/>
      <c r="F428"/>
    </row>
    <row r="429" spans="4:6">
      <c r="D429"/>
      <c r="E429"/>
      <c r="F429"/>
    </row>
    <row r="430" spans="4:6">
      <c r="D430"/>
      <c r="E430"/>
      <c r="F430"/>
    </row>
    <row r="431" spans="4:6">
      <c r="D431"/>
      <c r="E431"/>
      <c r="F431"/>
    </row>
    <row r="432" spans="4:6">
      <c r="D432"/>
      <c r="E432"/>
      <c r="F432"/>
    </row>
    <row r="433" spans="4:6">
      <c r="D433"/>
      <c r="E433"/>
      <c r="F433"/>
    </row>
    <row r="434" spans="4:6">
      <c r="D434"/>
      <c r="E434"/>
      <c r="F434"/>
    </row>
    <row r="435" spans="4:6">
      <c r="D435"/>
      <c r="E435"/>
      <c r="F435"/>
    </row>
    <row r="436" spans="4:6">
      <c r="D436"/>
      <c r="E436"/>
      <c r="F436"/>
    </row>
    <row r="437" spans="4:6">
      <c r="D437"/>
      <c r="E437"/>
      <c r="F437"/>
    </row>
    <row r="438" spans="4:6">
      <c r="D438"/>
      <c r="E438"/>
      <c r="F438"/>
    </row>
    <row r="439" spans="4:6">
      <c r="D439"/>
      <c r="E439"/>
      <c r="F439"/>
    </row>
    <row r="440" spans="4:6">
      <c r="D440"/>
      <c r="E440"/>
      <c r="F440"/>
    </row>
    <row r="441" spans="4:6">
      <c r="D441"/>
      <c r="E441"/>
      <c r="F441"/>
    </row>
    <row r="442" spans="4:6">
      <c r="D442"/>
      <c r="E442"/>
      <c r="F442"/>
    </row>
    <row r="443" spans="4:6">
      <c r="D443"/>
      <c r="E443"/>
      <c r="F443"/>
    </row>
    <row r="444" spans="4:6">
      <c r="D444"/>
      <c r="E444"/>
      <c r="F444"/>
    </row>
    <row r="445" spans="4:6">
      <c r="D445"/>
      <c r="E445"/>
      <c r="F445"/>
    </row>
    <row r="446" spans="4:6">
      <c r="D446"/>
      <c r="E446"/>
      <c r="F446"/>
    </row>
    <row r="447" spans="4:6">
      <c r="D447"/>
      <c r="E447"/>
      <c r="F447"/>
    </row>
    <row r="448" spans="4:6">
      <c r="D448"/>
      <c r="E448"/>
      <c r="F448"/>
    </row>
    <row r="449" spans="4:6">
      <c r="D449"/>
      <c r="E449"/>
      <c r="F449"/>
    </row>
    <row r="450" spans="4:6">
      <c r="D450"/>
      <c r="E450"/>
      <c r="F450"/>
    </row>
    <row r="451" spans="4:6">
      <c r="D451"/>
      <c r="E451"/>
      <c r="F451"/>
    </row>
  </sheetData>
  <phoneticPr fontId="34" type="noConversion"/>
  <conditionalFormatting sqref="AM364 AS3:AS333">
    <cfRule type="cellIs" dxfId="125" priority="3" operator="equal">
      <formula>"Qəbul edilməyib"</formula>
    </cfRule>
    <cfRule type="cellIs" dxfId="124" priority="4" operator="equal">
      <formula>"Qəbul edilib"</formula>
    </cfRule>
  </conditionalFormatting>
  <conditionalFormatting sqref="AN364 AT3:AT333">
    <cfRule type="cellIs" dxfId="123" priority="1" operator="equal">
      <formula>"Təhvil verilib"</formula>
    </cfRule>
    <cfRule type="cellIs" dxfId="122" priority="2" operator="equal">
      <formula>"Anbardadır"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TextBox1">
          <controlPr defaultSize="0" autoLine="0" autoPict="0" linkedCell="K1" r:id="rId5">
            <anchor moveWithCells="1">
              <from>
                <xdr:col>10</xdr:col>
                <xdr:colOff>228600</xdr:colOff>
                <xdr:row>0</xdr:row>
                <xdr:rowOff>190500</xdr:rowOff>
              </from>
              <to>
                <xdr:col>11</xdr:col>
                <xdr:colOff>1190625</xdr:colOff>
                <xdr:row>0</xdr:row>
                <xdr:rowOff>514350</xdr:rowOff>
              </to>
            </anchor>
          </controlPr>
        </control>
      </mc:Choice>
      <mc:Fallback>
        <control shapeId="2049" r:id="rId4" name="TextBox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2621B2-242F-475D-815F-184F46BC83FD}">
          <x14:formula1>
            <xm:f>Anbar!$I$3:$I$1000</xm:f>
          </x14:formula1>
          <xm:sqref>T3:T27 K3:K25 AB3:AB333 AF3:AF333</xm:sqref>
        </x14:dataValidation>
        <x14:dataValidation type="list" allowBlank="1" showInputMessage="1" showErrorMessage="1" xr:uid="{944CF12A-97B5-4A42-B061-FB7DDA3F419C}">
          <x14:formula1>
            <xm:f>Anbar!$J$3:$J$1000</xm:f>
          </x14:formula1>
          <xm:sqref>L3:L25 P3:P25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9F050-5A15-4FD7-A190-01F64CDD7769}">
  <sheetPr codeName="Sayfa11"/>
  <dimension ref="A1:N313"/>
  <sheetViews>
    <sheetView workbookViewId="0">
      <selection activeCell="G16" sqref="G16"/>
    </sheetView>
  </sheetViews>
  <sheetFormatPr defaultRowHeight="15"/>
  <cols>
    <col min="1" max="1" width="7.28515625" style="37" customWidth="1"/>
    <col min="2" max="2" width="23.28515625" style="33" hidden="1" customWidth="1"/>
    <col min="3" max="3" width="5.7109375" style="36" customWidth="1"/>
    <col min="4" max="4" width="27" customWidth="1"/>
    <col min="5" max="5" width="22.42578125" customWidth="1"/>
    <col min="6" max="6" width="15.7109375" customWidth="1"/>
    <col min="7" max="7" width="21.85546875" customWidth="1"/>
    <col min="8" max="8" width="23.42578125" customWidth="1"/>
    <col min="9" max="12" width="16" customWidth="1"/>
    <col min="13" max="14" width="20.5703125" customWidth="1"/>
  </cols>
  <sheetData>
    <row r="1" spans="2:14" ht="49.5" customHeight="1">
      <c r="B1" s="25"/>
      <c r="C1" s="34"/>
      <c r="D1" s="343"/>
      <c r="E1" s="344"/>
      <c r="F1" s="344"/>
      <c r="G1" s="344"/>
      <c r="H1" s="344"/>
      <c r="I1" s="344"/>
      <c r="J1" s="344"/>
      <c r="K1" s="344"/>
      <c r="L1" s="344"/>
      <c r="M1" s="344"/>
    </row>
    <row r="2" spans="2:14" ht="17.25">
      <c r="D2" s="243" t="s">
        <v>1</v>
      </c>
      <c r="E2" s="244" t="s">
        <v>42</v>
      </c>
      <c r="F2" s="244" t="s">
        <v>2</v>
      </c>
      <c r="G2" s="245" t="s">
        <v>94</v>
      </c>
      <c r="H2" s="245" t="s">
        <v>4</v>
      </c>
      <c r="I2" s="245" t="s">
        <v>5</v>
      </c>
      <c r="J2" s="244" t="s">
        <v>838</v>
      </c>
      <c r="K2" s="244" t="s">
        <v>111</v>
      </c>
      <c r="L2" s="244" t="s">
        <v>112</v>
      </c>
      <c r="M2" s="246" t="s">
        <v>839</v>
      </c>
      <c r="N2" s="244" t="s">
        <v>840</v>
      </c>
    </row>
    <row r="3" spans="2:14" ht="17.25">
      <c r="D3" s="214" t="s">
        <v>841</v>
      </c>
      <c r="E3" s="247" t="s">
        <v>842</v>
      </c>
      <c r="F3" s="15">
        <f>COUNTIF(Sifarisler!$H$3:$H$10346,D3)</f>
        <v>0</v>
      </c>
      <c r="G3" s="248">
        <f>SUMIF(Sifarisler!$H$3:$H$10346,D3,Sifarisler!$AM$3:$AM$10346)</f>
        <v>0</v>
      </c>
      <c r="H3" s="248">
        <f>SUMIF(Sifarisler!$H$3:$H$10346,D3,Sifarisler!$AO$3:$AO$10346)</f>
        <v>0</v>
      </c>
      <c r="I3" s="249">
        <f>SUMIF(Sifarisler!$H$3:$H$10346,D3,Sifarisler!$AP$3:$AP$10346)</f>
        <v>0</v>
      </c>
      <c r="J3" s="250" t="str">
        <f t="shared" ref="J3:J66" si="0">HYPERLINK("https://web.whatsapp.com/send?phone="&amp;E3&amp;"&amp;text="&amp;M3,"Mesaj")</f>
        <v>Mesaj</v>
      </c>
      <c r="K3" s="9" t="str">
        <f t="shared" ref="K3:K55" si="1">SUBSTITUTE(L3," ","")</f>
        <v>Vüsal</v>
      </c>
      <c r="L3" s="10" t="str">
        <f t="shared" ref="L3:L52" si="2">LEFT(D3,FIND("*",SUBSTITUTE(D3," ","*",1)))</f>
        <v xml:space="preserve">Vüsal </v>
      </c>
      <c r="M3" s="251" t="str">
        <f>"Hörmətli *"&amp;K3&amp;"*  , göstərilən xidmətə görə *"&amp;I3&amp;" AZN* borcunuz qalmışdır . Ödəniş etməyiniz xahiş olunur. Ödəniş kartı  *"&amp;Məlumatlar!$O$3&amp;"* . Hörmətlə  *AlumPro*"</f>
        <v>Hörmətli *Vüsal*  , göstərilən xidmətə görə *0 AZN* borcunuz qalmışdır . Ödəniş etməyiniz xahiş olunur. Ödəniş kartı  *4098584464110962* . Hörmətlə  *AlumPro*</v>
      </c>
      <c r="N3" s="2"/>
    </row>
    <row r="4" spans="2:14" ht="17.25">
      <c r="D4" s="214" t="s">
        <v>135</v>
      </c>
      <c r="E4" s="247" t="s">
        <v>136</v>
      </c>
      <c r="F4" s="15">
        <f>COUNTIF(Sifarisler!$H$3:$H$10346,D4)</f>
        <v>1</v>
      </c>
      <c r="G4" s="248">
        <f>SUMIF(Sifarisler!$H$3:$H$10346,D4,Sifarisler!$AM$3:$AM$10346)</f>
        <v>173</v>
      </c>
      <c r="H4" s="248">
        <v>0</v>
      </c>
      <c r="I4" s="249">
        <f>SUMIF(Sifarisler!$H$3:$H$10346,D4,Sifarisler!$AP$3:$AP$10346)</f>
        <v>0</v>
      </c>
      <c r="J4" s="250" t="str">
        <f t="shared" si="0"/>
        <v>Mesaj</v>
      </c>
      <c r="K4" s="9" t="str">
        <f t="shared" ref="K4" si="3">SUBSTITUTE(L4," ","")</f>
        <v>Ramal</v>
      </c>
      <c r="L4" s="10" t="str">
        <f t="shared" ref="L4" si="4">LEFT(D4,FIND("*",SUBSTITUTE(D4," ","*",1)))</f>
        <v xml:space="preserve">Ramal </v>
      </c>
      <c r="M4" s="251" t="str">
        <f>"Hörmətli *"&amp;K4&amp;"*  , göstərilən xidmətə görə *"&amp;I4&amp;" AZN* borcunuz qalmışdır . Ödəniş etməyiniz xahiş olunur. Ödəniş kartı  *"&amp;Məlumatlar!$O$3&amp;"* . Hörmətlə  *AlumPro*"</f>
        <v>Hörmətli *Ramal*  , göstərilən xidmətə görə *0 AZN* borcunuz qalmışdır . Ödəniş etməyiniz xahiş olunur. Ödəniş kartı  *4098584464110962* . Hörmətlə  *AlumPro*</v>
      </c>
      <c r="N4" s="46" t="s">
        <v>843</v>
      </c>
    </row>
    <row r="5" spans="2:14" ht="17.25">
      <c r="D5" s="214" t="s">
        <v>131</v>
      </c>
      <c r="E5" s="247" t="s">
        <v>132</v>
      </c>
      <c r="F5" s="15">
        <f>COUNTIF(Sifarisler!$H$3:$H$10346,D5)</f>
        <v>1</v>
      </c>
      <c r="G5" s="248">
        <f>SUMIF(Sifarisler!$H$3:$H$10346,D5,Sifarisler!$AM$3:$AM$10346)</f>
        <v>659</v>
      </c>
      <c r="H5" s="248">
        <f>SUMIF(Sifarisler!$H$3:$H$10346,D5,Sifarisler!$AO$3:$AO$10346)</f>
        <v>659</v>
      </c>
      <c r="I5" s="249">
        <f>SUMIF(Sifarisler!$H$3:$H$10346,D5,Sifarisler!$AP$3:$AP$10346)</f>
        <v>0</v>
      </c>
      <c r="J5" s="250" t="str">
        <f t="shared" si="0"/>
        <v>Mesaj</v>
      </c>
      <c r="K5" s="9" t="str">
        <f t="shared" ref="K5" si="5">SUBSTITUTE(L5," ","")</f>
        <v>Togrul</v>
      </c>
      <c r="L5" s="10" t="str">
        <f t="shared" ref="L5" si="6">LEFT(D5,FIND("*",SUBSTITUTE(D5," ","*",1)))</f>
        <v xml:space="preserve">Togrul </v>
      </c>
      <c r="M5" s="251" t="str">
        <f>"Hörmətli *"&amp;K5&amp;"*  , göstərilən xidmətə görə *"&amp;I5&amp;" AZN* borcunuz qalmışdır . Ödəniş etməyiniz xahiş olunur. Ödəniş kartı  *"&amp;Məlumatlar!$O$3&amp;"* . Hörmətlə  *AlumPro*"</f>
        <v>Hörmətli *Togrul*  , göstərilən xidmətə görə *0 AZN* borcunuz qalmışdır . Ödəniş etməyiniz xahiş olunur. Ödəniş kartı  *4098584464110962* . Hörmətlə  *AlumPro*</v>
      </c>
      <c r="N5" s="46"/>
    </row>
    <row r="6" spans="2:14" ht="17.25">
      <c r="D6" s="214" t="s">
        <v>144</v>
      </c>
      <c r="E6" s="247" t="s">
        <v>145</v>
      </c>
      <c r="F6" s="15">
        <f>COUNTIF(Sifarisler!$H$3:$H$10346,D6)</f>
        <v>1</v>
      </c>
      <c r="G6" s="248">
        <f>SUMIF(Sifarisler!$H$3:$H$10346,D6,Sifarisler!$AM$3:$AM$10346)</f>
        <v>259</v>
      </c>
      <c r="H6" s="248">
        <f>SUMIF(Sifarisler!$H$3:$H$10346,D6,Sifarisler!$AO$3:$AO$10346)</f>
        <v>259</v>
      </c>
      <c r="I6" s="249">
        <f>SUMIF(Sifarisler!$H$3:$H$10346,D6,Sifarisler!$AP$3:$AP$10346)</f>
        <v>0</v>
      </c>
      <c r="J6" s="250" t="str">
        <f t="shared" si="0"/>
        <v>Mesaj</v>
      </c>
      <c r="K6" s="9" t="str">
        <f t="shared" ref="K6" si="7">SUBSTITUTE(L6," ","")</f>
        <v>Emin</v>
      </c>
      <c r="L6" s="10" t="str">
        <f t="shared" ref="L6" si="8">LEFT(D6,FIND("*",SUBSTITUTE(D6," ","*",1)))</f>
        <v xml:space="preserve">Emin </v>
      </c>
      <c r="M6" s="251" t="str">
        <f>"Hörmətli *"&amp;K6&amp;"*  , göstərilən xidmətə görə *"&amp;I6&amp;" AZN* borcunuz qalmışdır . Ödəniş etməyiniz xahiş olunur. Ödəniş kartı  *"&amp;Məlumatlar!$O$3&amp;"* . Hörmətlə  *AlumPro*"</f>
        <v>Hörmətli *Emin*  , göstərilən xidmətə görə *0 AZN* borcunuz qalmışdır . Ödəniş etməyiniz xahiş olunur. Ödəniş kartı  *4098584464110962* . Hörmətlə  *AlumPro*</v>
      </c>
      <c r="N6" s="46"/>
    </row>
    <row r="7" spans="2:14" ht="17.25">
      <c r="D7" s="214" t="s">
        <v>181</v>
      </c>
      <c r="E7" s="247" t="s">
        <v>182</v>
      </c>
      <c r="F7" s="15">
        <f>COUNTIF(Sifarisler!$H$3:$H$10346,D7)</f>
        <v>1</v>
      </c>
      <c r="G7" s="248">
        <f>SUMIF(Sifarisler!$H$3:$H$10346,D7,Sifarisler!$AM$3:$AM$10346)</f>
        <v>440</v>
      </c>
      <c r="H7" s="248">
        <f>SUMIF(Sifarisler!$H$3:$H$10346,D7,Sifarisler!$AO$3:$AO$10346)</f>
        <v>100</v>
      </c>
      <c r="I7" s="249">
        <f>SUMIF(Sifarisler!$H$3:$H$10346,D7,Sifarisler!$AP$3:$AP$10346)</f>
        <v>340</v>
      </c>
      <c r="J7" s="250" t="str">
        <f t="shared" si="0"/>
        <v>Mesaj</v>
      </c>
      <c r="K7" s="9" t="str">
        <f t="shared" ref="K7" si="9">SUBSTITUTE(L7," ","")</f>
        <v>Fuad</v>
      </c>
      <c r="L7" s="10" t="str">
        <f t="shared" ref="L7" si="10">LEFT(D7,FIND("*",SUBSTITUTE(D7," ","*",1)))</f>
        <v xml:space="preserve">Fuad </v>
      </c>
      <c r="M7" s="251" t="str">
        <f>"Hörmətli *"&amp;K7&amp;"*  , göstərilən xidmətə görə *"&amp;I7&amp;" AZN* borcunuz qalmışdır . Ödəniş etməyiniz xahiş olunur. Ödəniş kartı  *"&amp;Məlumatlar!$O$3&amp;"* . Hörmətlə  *AlumPro*"</f>
        <v>Hörmətli *Fuad*  , göstərilən xidmətə görə *340 AZN* borcunuz qalmışdır . Ödəniş etməyiniz xahiş olunur. Ödəniş kartı  *4098584464110962* . Hörmətlə  *AlumPro*</v>
      </c>
      <c r="N7" s="46"/>
    </row>
    <row r="8" spans="2:14" ht="17.25">
      <c r="D8" s="214" t="s">
        <v>844</v>
      </c>
      <c r="E8" s="247" t="s">
        <v>198</v>
      </c>
      <c r="F8" s="15">
        <f>COUNTIF(Sifarisler!$H$3:$H$10346,D8)</f>
        <v>0</v>
      </c>
      <c r="G8" s="248">
        <f>SUMIF(Sifarisler!$H$3:$H$10346,D8,Sifarisler!$AM$3:$AM$10346)</f>
        <v>0</v>
      </c>
      <c r="H8" s="248">
        <f>SUMIF(Sifarisler!$H$3:$H$10346,D8,Sifarisler!$AO$3:$AO$10346)</f>
        <v>0</v>
      </c>
      <c r="I8" s="249">
        <f>SUMIF(Sifarisler!$H$3:$H$10346,D8,Sifarisler!$AP$3:$AP$10346)</f>
        <v>0</v>
      </c>
      <c r="J8" s="250" t="str">
        <f t="shared" si="0"/>
        <v>Mesaj</v>
      </c>
      <c r="K8" s="9" t="str">
        <f t="shared" ref="K8" si="11">SUBSTITUTE(L8," ","")</f>
        <v>Zeynalov</v>
      </c>
      <c r="L8" s="10" t="str">
        <f t="shared" ref="L8" si="12">LEFT(D8,FIND("*",SUBSTITUTE(D8," ","*",1)))</f>
        <v xml:space="preserve">Zeynalov </v>
      </c>
      <c r="M8" s="251" t="str">
        <f>"Hörmətli *"&amp;K8&amp;"*  , göstərilən xidmətə görə *"&amp;I8&amp;" AZN* borcunuz qalmışdır . Ödəniş etməyiniz xahiş olunur. Ödəniş kartı  *"&amp;Məlumatlar!$O$3&amp;"* . Hörmətlə  *AlumPro*"</f>
        <v>Hörmətli *Zeynalov*  , göstərilən xidmətə görə *0 AZN* borcunuz qalmışdır . Ödəniş etməyiniz xahiş olunur. Ödəniş kartı  *4098584464110962* . Hörmətlə  *AlumPro*</v>
      </c>
      <c r="N8" s="46"/>
    </row>
    <row r="9" spans="2:14" ht="17.25">
      <c r="D9" s="214" t="s">
        <v>205</v>
      </c>
      <c r="E9" s="247" t="s">
        <v>206</v>
      </c>
      <c r="F9" s="15">
        <f>COUNTIF(Sifarisler!$H$3:$H$10346,D9)</f>
        <v>1</v>
      </c>
      <c r="G9" s="248">
        <f>SUMIF(Sifarisler!$H$3:$H$10346,D9,Sifarisler!$AM$3:$AM$10346)</f>
        <v>808</v>
      </c>
      <c r="H9" s="248">
        <f>SUMIF(Sifarisler!$H$3:$H$10346,D9,Sifarisler!$AO$3:$AO$10346)</f>
        <v>400</v>
      </c>
      <c r="I9" s="249">
        <f>SUMIF(Sifarisler!$H$3:$H$10346,D9,Sifarisler!$AP$3:$AP$10346)</f>
        <v>408</v>
      </c>
      <c r="J9" s="250" t="str">
        <f t="shared" si="0"/>
        <v>Mesaj</v>
      </c>
      <c r="K9" s="9" t="str">
        <f t="shared" ref="K9" si="13">SUBSTITUTE(L9," ","")</f>
        <v>Rauf</v>
      </c>
      <c r="L9" s="10" t="str">
        <f t="shared" ref="L9" si="14">LEFT(D9,FIND("*",SUBSTITUTE(D9," ","*",1)))</f>
        <v xml:space="preserve">Rauf </v>
      </c>
      <c r="M9" s="251" t="str">
        <f>"Hörmətli *"&amp;K9&amp;"*  , göstərilən xidmətə görə *"&amp;I9&amp;" AZN* borcunuz qalmışdır . Ödəniş etməyiniz xahiş olunur. Ödəniş kartı  *"&amp;Məlumatlar!$O$3&amp;"* . Hörmətlə  *AlumPro*"</f>
        <v>Hörmətli *Rauf*  , göstərilən xidmətə görə *408 AZN* borcunuz qalmışdır . Ödəniş etməyiniz xahiş olunur. Ödəniş kartı  *4098584464110962* . Hörmətlə  *AlumPro*</v>
      </c>
      <c r="N9" s="46"/>
    </row>
    <row r="10" spans="2:14" ht="17.25">
      <c r="D10" s="214" t="s">
        <v>214</v>
      </c>
      <c r="E10" s="247" t="s">
        <v>215</v>
      </c>
      <c r="F10" s="15">
        <f>COUNTIF(Sifarisler!$H$3:$H$10346,D10)</f>
        <v>1</v>
      </c>
      <c r="G10" s="248">
        <f>SUMIF(Sifarisler!$H$3:$H$10346,D10,Sifarisler!$AM$3:$AM$10346)</f>
        <v>1100</v>
      </c>
      <c r="H10" s="248">
        <f>SUMIF(Sifarisler!$H$3:$H$10346,D10,Sifarisler!$AO$3:$AO$10346)</f>
        <v>900</v>
      </c>
      <c r="I10" s="249">
        <f>SUMIF(Sifarisler!$H$3:$H$10346,D10,Sifarisler!$AP$3:$AP$10346)</f>
        <v>200</v>
      </c>
      <c r="J10" s="250" t="str">
        <f t="shared" si="0"/>
        <v>Mesaj</v>
      </c>
      <c r="K10" s="9" t="str">
        <f t="shared" ref="K10" si="15">SUBSTITUTE(L10," ","")</f>
        <v>Vladmir</v>
      </c>
      <c r="L10" s="10" t="str">
        <f t="shared" ref="L10" si="16">LEFT(D10,FIND("*",SUBSTITUTE(D10," ","*",1)))</f>
        <v xml:space="preserve">Vladmir </v>
      </c>
      <c r="M10" s="251" t="str">
        <f>"Hörmətli *"&amp;K10&amp;"*  , göstərilən xidmətə görə *"&amp;I10&amp;" AZN* borcunuz qalmışdır . Ödəniş etməyiniz xahiş olunur. Ödəniş kartı  *"&amp;Məlumatlar!$O$3&amp;"* . Hörmətlə  *AlumPro*"</f>
        <v>Hörmətli *Vladmir*  , göstərilən xidmətə görə *200 AZN* borcunuz qalmışdır . Ödəniş etməyiniz xahiş olunur. Ödəniş kartı  *4098584464110962* . Hörmətlə  *AlumPro*</v>
      </c>
      <c r="N10" s="46"/>
    </row>
    <row r="11" spans="2:14" ht="17.25">
      <c r="D11" s="214" t="s">
        <v>217</v>
      </c>
      <c r="E11" s="247" t="s">
        <v>218</v>
      </c>
      <c r="F11" s="15">
        <f>COUNTIF(Sifarisler!$H$3:$H$10346,D11)</f>
        <v>1</v>
      </c>
      <c r="G11" s="248">
        <f>SUMIF(Sifarisler!$H$3:$H$10346,D11,Sifarisler!$AM$3:$AM$10346)</f>
        <v>220</v>
      </c>
      <c r="H11" s="248">
        <f>SUMIF(Sifarisler!$H$3:$H$10346,D11,Sifarisler!$AO$3:$AO$10346)</f>
        <v>218</v>
      </c>
      <c r="I11" s="249">
        <f>SUMIF(Sifarisler!$H$3:$H$10346,D11,Sifarisler!$AP$3:$AP$10346)</f>
        <v>0</v>
      </c>
      <c r="J11" s="250" t="str">
        <f t="shared" si="0"/>
        <v>Mesaj</v>
      </c>
      <c r="K11" s="9" t="str">
        <f t="shared" ref="K11" si="17">SUBSTITUTE(L11," ","")</f>
        <v>Malik</v>
      </c>
      <c r="L11" s="10" t="str">
        <f t="shared" ref="L11" si="18">LEFT(D11,FIND("*",SUBSTITUTE(D11," ","*",1)))</f>
        <v xml:space="preserve">Malik </v>
      </c>
      <c r="M11" s="251" t="str">
        <f>"Hörmətli *"&amp;K11&amp;"*  , göstərilən xidmətə görə *"&amp;I11&amp;" AZN* borcunuz qalmışdır . Ödəniş etməyiniz xahiş olunur. Ödəniş kartı  *"&amp;Məlumatlar!$O$3&amp;"* . Hörmətlə  *AlumPro*"</f>
        <v>Hörmətli *Malik*  , göstərilən xidmətə görə *0 AZN* borcunuz qalmışdır . Ödəniş etməyiniz xahiş olunur. Ödəniş kartı  *4098584464110962* . Hörmətlə  *AlumPro*</v>
      </c>
      <c r="N11" s="46" t="s">
        <v>845</v>
      </c>
    </row>
    <row r="12" spans="2:14" ht="17.25">
      <c r="D12" s="214" t="s">
        <v>846</v>
      </c>
      <c r="E12" s="247" t="s">
        <v>231</v>
      </c>
      <c r="F12" s="15">
        <f>COUNTIF(Sifarisler!$H$3:$H$10346,D12)</f>
        <v>0</v>
      </c>
      <c r="G12" s="248">
        <f>SUMIF(Sifarisler!$H$3:$H$10346,D12,Sifarisler!$AM$3:$AM$10346)</f>
        <v>0</v>
      </c>
      <c r="H12" s="248">
        <f>SUMIF(Sifarisler!$H$3:$H$10346,D12,Sifarisler!$AO$3:$AO$10346)</f>
        <v>0</v>
      </c>
      <c r="I12" s="249">
        <f>SUMIF(Sifarisler!$H$3:$H$10346,D12,Sifarisler!$AP$3:$AP$10346)</f>
        <v>0</v>
      </c>
      <c r="J12" s="250" t="str">
        <f t="shared" si="0"/>
        <v>Mesaj</v>
      </c>
      <c r="K12" s="9" t="str">
        <f t="shared" ref="K12" si="19">SUBSTITUTE(L12," ","")</f>
        <v>Elmeddin</v>
      </c>
      <c r="L12" s="10" t="str">
        <f t="shared" ref="L12" si="20">LEFT(D12,FIND("*",SUBSTITUTE(D12," ","*",1)))</f>
        <v xml:space="preserve">Elmeddin </v>
      </c>
      <c r="M12" s="251" t="str">
        <f>"Hörmətli *"&amp;K12&amp;"*  , göstərilən xidmətə görə *"&amp;I12&amp;" AZN* borcunuz qalmışdır . Ödəniş etməyiniz xahiş olunur. Ödəniş kartı  *"&amp;Məlumatlar!$O$3&amp;"* . Hörmətlə  *AlumPro*"</f>
        <v>Hörmətli *Elmeddin*  , göstərilən xidmətə görə *0 AZN* borcunuz qalmışdır . Ödəniş etməyiniz xahiş olunur. Ödəniş kartı  *4098584464110962* . Hörmətlə  *AlumPro*</v>
      </c>
      <c r="N12" s="46"/>
    </row>
    <row r="13" spans="2:14" ht="17.25">
      <c r="D13" s="214" t="s">
        <v>211</v>
      </c>
      <c r="E13" s="247" t="s">
        <v>212</v>
      </c>
      <c r="F13" s="15">
        <f>COUNTIF(Sifarisler!$H$3:$H$10346,D13)</f>
        <v>2</v>
      </c>
      <c r="G13" s="248">
        <f>SUMIF(Sifarisler!$H$3:$H$10346,D13,Sifarisler!$AM$3:$AM$10346)</f>
        <v>3708</v>
      </c>
      <c r="H13" s="248">
        <f>SUMIF(Sifarisler!$H$3:$H$10346,D13,Sifarisler!$AO$3:$AO$10346)</f>
        <v>1648</v>
      </c>
      <c r="I13" s="249">
        <f>SUMIF(Sifarisler!$H$3:$H$10346,D13,Sifarisler!$AP$3:$AP$10346)</f>
        <v>2060</v>
      </c>
      <c r="J13" s="250" t="str">
        <f t="shared" si="0"/>
        <v>Mesaj</v>
      </c>
      <c r="K13" s="9" t="str">
        <f t="shared" ref="K13" si="21">SUBSTITUTE(L13," ","")</f>
        <v>Togrul</v>
      </c>
      <c r="L13" s="10" t="str">
        <f t="shared" ref="L13" si="22">LEFT(D13,FIND("*",SUBSTITUTE(D13," ","*",1)))</f>
        <v xml:space="preserve">Togrul </v>
      </c>
      <c r="M13" s="251" t="str">
        <f>"Hörmətli *"&amp;K13&amp;"*  , göstərilən xidmətə görə *"&amp;I13&amp;" AZN* borcunuz qalmışdır . Ödəniş etməyiniz xahiş olunur. Ödəniş kartı  *"&amp;Məlumatlar!$O$3&amp;"* . Hörmətlə  *AlumPro*"</f>
        <v>Hörmətli *Togrul*  , göstərilən xidmətə görə *2060 AZN* borcunuz qalmışdır . Ödəniş etməyiniz xahiş olunur. Ödəniş kartı  *4098584464110962* . Hörmətlə  *AlumPro*</v>
      </c>
      <c r="N13" s="46"/>
    </row>
    <row r="14" spans="2:14" ht="17.25">
      <c r="D14" s="214" t="s">
        <v>255</v>
      </c>
      <c r="E14" s="247" t="s">
        <v>256</v>
      </c>
      <c r="F14" s="15">
        <f>COUNTIF(Sifarisler!$H$3:$H$10346,D14)</f>
        <v>2</v>
      </c>
      <c r="G14" s="248">
        <f>SUMIF(Sifarisler!$H$3:$H$10346,D14,Sifarisler!$AM$3:$AM$10346)</f>
        <v>497</v>
      </c>
      <c r="H14" s="248">
        <f>SUMIF(Sifarisler!$H$3:$H$10346,D14,Sifarisler!$AO$3:$AO$10346)</f>
        <v>300</v>
      </c>
      <c r="I14" s="249">
        <f>SUMIF(Sifarisler!$H$3:$H$10346,D14,Sifarisler!$AP$3:$AP$10346)</f>
        <v>190</v>
      </c>
      <c r="J14" s="250" t="str">
        <f t="shared" si="0"/>
        <v>Mesaj</v>
      </c>
      <c r="K14" s="9" t="str">
        <f t="shared" ref="K14" si="23">SUBSTITUTE(L14," ","")</f>
        <v>Ramiz</v>
      </c>
      <c r="L14" s="10" t="str">
        <f t="shared" ref="L14" si="24">LEFT(D14,FIND("*",SUBSTITUTE(D14," ","*",1)))</f>
        <v xml:space="preserve">Ramiz </v>
      </c>
      <c r="M14" s="251" t="str">
        <f>"Hörmətli *"&amp;K14&amp;"*  , göstərilən xidmətə görə *"&amp;I14&amp;" AZN* borcunuz qalmışdır . Ödəniş etməyiniz xahiş olunur. Ödəniş kartı  *"&amp;Məlumatlar!$O$3&amp;"* . Hörmətlə  *AlumPro*"</f>
        <v>Hörmətli *Ramiz*  , göstərilən xidmətə görə *190 AZN* borcunuz qalmışdır . Ödəniş etməyiniz xahiş olunur. Ödəniş kartı  *4098584464110962* . Hörmətlə  *AlumPro*</v>
      </c>
      <c r="N14" s="46"/>
    </row>
    <row r="15" spans="2:14" ht="17.25">
      <c r="D15" s="214" t="s">
        <v>284</v>
      </c>
      <c r="E15" s="247"/>
      <c r="F15" s="15">
        <f>COUNTIF(Sifarisler!$H$3:$H$10346,D15)</f>
        <v>1</v>
      </c>
      <c r="G15" s="248">
        <f>SUMIF(Sifarisler!$H$3:$H$10346,D15,Sifarisler!$AM$3:$AM$10346)</f>
        <v>55</v>
      </c>
      <c r="H15" s="248">
        <f>SUMIF(Sifarisler!$H$3:$H$10346,D15,Sifarisler!$AO$3:$AO$10346)</f>
        <v>0</v>
      </c>
      <c r="I15" s="249">
        <f>SUMIF(Sifarisler!$H$3:$H$10346,D15,Sifarisler!$AP$3:$AP$10346)</f>
        <v>55</v>
      </c>
      <c r="J15" s="250" t="e">
        <f t="shared" si="0"/>
        <v>#VALUE!</v>
      </c>
      <c r="K15" s="9" t="e">
        <f t="shared" ref="K15" si="25">SUBSTITUTE(L15," ","")</f>
        <v>#VALUE!</v>
      </c>
      <c r="L15" s="10" t="e">
        <f t="shared" ref="L15" si="26">LEFT(D15,FIND("*",SUBSTITUTE(D15," ","*",1)))</f>
        <v>#VALUE!</v>
      </c>
      <c r="M15" s="251" t="e">
        <f>"Hörmətli *"&amp;K15&amp;"*  , göstərilən xidmətə görə *"&amp;I15&amp;" AZN* borcunuz qalmışdır . Ödəniş etməyiniz xahiş olunur. Ödəniş kartı  *"&amp;Məlumatlar!$O$3&amp;"* . Hörmətlə  *AlumPro*"</f>
        <v>#VALUE!</v>
      </c>
      <c r="N15" s="46"/>
    </row>
    <row r="16" spans="2:14" ht="17.25">
      <c r="D16" s="214" t="s">
        <v>286</v>
      </c>
      <c r="E16" s="247" t="s">
        <v>287</v>
      </c>
      <c r="F16" s="15">
        <f>COUNTIF(Sifarisler!$H$3:$H$10346,D16)</f>
        <v>1</v>
      </c>
      <c r="G16" s="248">
        <f>SUMIF(Sifarisler!$H$3:$H$10346,D16,Sifarisler!$AM$3:$AM$10346)</f>
        <v>500</v>
      </c>
      <c r="H16" s="248">
        <f>SUMIF(Sifarisler!$H$3:$H$10346,D16,Sifarisler!$AO$3:$AO$10346)</f>
        <v>250</v>
      </c>
      <c r="I16" s="249">
        <f>SUMIF(Sifarisler!$H$3:$H$10346,D16,Sifarisler!$AP$3:$AP$10346)</f>
        <v>246</v>
      </c>
      <c r="J16" s="250" t="str">
        <f t="shared" si="0"/>
        <v>Mesaj</v>
      </c>
      <c r="K16" s="9" t="str">
        <f t="shared" ref="K16" si="27">SUBSTITUTE(L16," ","")</f>
        <v>Mehdiyev</v>
      </c>
      <c r="L16" s="10" t="str">
        <f t="shared" ref="L16" si="28">LEFT(D16,FIND("*",SUBSTITUTE(D16," ","*",1)))</f>
        <v xml:space="preserve">Mehdiyev </v>
      </c>
      <c r="M16" s="251" t="str">
        <f>"Hörmətli *"&amp;K16&amp;"*  , göstərilən xidmətə görə *"&amp;I16&amp;" AZN* borcunuz qalmışdır . Ödəniş etməyiniz xahiş olunur. Ödəniş kartı  *"&amp;Məlumatlar!$O$3&amp;"* . Hörmətlə  *AlumPro*"</f>
        <v>Hörmətli *Mehdiyev*  , göstərilən xidmətə görə *246 AZN* borcunuz qalmışdır . Ödəniş etməyiniz xahiş olunur. Ödəniş kartı  *4098584464110962* . Hörmətlə  *AlumPro*</v>
      </c>
      <c r="N16" s="46"/>
    </row>
    <row r="17" spans="4:14" ht="17.25">
      <c r="D17" s="214" t="s">
        <v>293</v>
      </c>
      <c r="E17" s="247" t="s">
        <v>294</v>
      </c>
      <c r="F17" s="15">
        <f>COUNTIF(Sifarisler!$H$3:$H$10346,D17)</f>
        <v>1</v>
      </c>
      <c r="G17" s="248">
        <f>SUMIF(Sifarisler!$H$3:$H$10346,D17,Sifarisler!$AM$3:$AM$10346)</f>
        <v>2144</v>
      </c>
      <c r="H17" s="248">
        <f>SUMIF(Sifarisler!$H$3:$H$10346,D17,Sifarisler!$AO$3:$AO$10346)</f>
        <v>2144</v>
      </c>
      <c r="I17" s="249">
        <f>SUMIF(Sifarisler!$H$3:$H$10346,D17,Sifarisler!$AP$3:$AP$10346)</f>
        <v>-36</v>
      </c>
      <c r="J17" s="250" t="str">
        <f t="shared" si="0"/>
        <v>Mesaj</v>
      </c>
      <c r="K17" s="9" t="str">
        <f t="shared" ref="K17" si="29">SUBSTITUTE(L17," ","")</f>
        <v>Emilya</v>
      </c>
      <c r="L17" s="10" t="str">
        <f t="shared" ref="L17" si="30">LEFT(D17,FIND("*",SUBSTITUTE(D17," ","*",1)))</f>
        <v xml:space="preserve">Emilya </v>
      </c>
      <c r="M17" s="251" t="str">
        <f>"Hörmətli *"&amp;K17&amp;"*  , göstərilən xidmətə görə *"&amp;I17&amp;" AZN* borcunuz qalmışdır . Ödəniş etməyiniz xahiş olunur. Ödəniş kartı  *"&amp;Məlumatlar!$O$3&amp;"* . Hörmətlə  *AlumPro*"</f>
        <v>Hörmətli *Emilya*  , göstərilən xidmətə görə *-36 AZN* borcunuz qalmışdır . Ödəniş etməyiniz xahiş olunur. Ödəniş kartı  *4098584464110962* . Hörmətlə  *AlumPro*</v>
      </c>
      <c r="N17" s="46"/>
    </row>
    <row r="18" spans="4:14" ht="17.25">
      <c r="D18" s="214" t="s">
        <v>296</v>
      </c>
      <c r="E18" s="247" t="s">
        <v>297</v>
      </c>
      <c r="F18" s="15">
        <f>COUNTIF(Sifarisler!$H$3:$H$10346,D18)</f>
        <v>3</v>
      </c>
      <c r="G18" s="248">
        <f>SUMIF(Sifarisler!$H$3:$H$10346,D18,Sifarisler!$AM$3:$AM$10346)</f>
        <v>1912</v>
      </c>
      <c r="H18" s="248">
        <f>SUMIF(Sifarisler!$H$3:$H$10346,D18,Sifarisler!$AO$3:$AO$10346)</f>
        <v>1000</v>
      </c>
      <c r="I18" s="249">
        <f>SUMIF(Sifarisler!$H$3:$H$10346,D18,Sifarisler!$AP$3:$AP$10346)</f>
        <v>912</v>
      </c>
      <c r="J18" s="250" t="str">
        <f t="shared" si="0"/>
        <v>Mesaj</v>
      </c>
      <c r="K18" s="9" t="str">
        <f t="shared" ref="K18" si="31">SUBSTITUTE(L18," ","")</f>
        <v>Resad</v>
      </c>
      <c r="L18" s="10" t="str">
        <f t="shared" ref="L18" si="32">LEFT(D18,FIND("*",SUBSTITUTE(D18," ","*",1)))</f>
        <v xml:space="preserve">Resad </v>
      </c>
      <c r="M18" s="251" t="str">
        <f>"Hörmətli *"&amp;K18&amp;"*  , göstərilən xidmətə görə *"&amp;I18&amp;" AZN* borcunuz qalmışdır . Ödəniş etməyiniz xahiş olunur. Ödəniş kartı  *"&amp;Məlumatlar!$O$3&amp;"* . Hörmətlə  *AlumPro*"</f>
        <v>Hörmətli *Resad*  , göstərilən xidmətə görə *912 AZN* borcunuz qalmışdır . Ödəniş etməyiniz xahiş olunur. Ödəniş kartı  *4098584464110962* . Hörmətlə  *AlumPro*</v>
      </c>
      <c r="N18" s="46"/>
    </row>
    <row r="19" spans="4:14" ht="17.25">
      <c r="D19" s="214" t="s">
        <v>307</v>
      </c>
      <c r="E19" s="247" t="s">
        <v>308</v>
      </c>
      <c r="F19" s="15">
        <f>COUNTIF(Sifarisler!$H$3:$H$10346,D19)</f>
        <v>1</v>
      </c>
      <c r="G19" s="248">
        <f>SUMIF(Sifarisler!$H$3:$H$10346,D19,Sifarisler!$AM$3:$AM$10346)</f>
        <v>763</v>
      </c>
      <c r="H19" s="248">
        <f>SUMIF(Sifarisler!$H$3:$H$10346,D19,Sifarisler!$AO$3:$AO$10346)</f>
        <v>400</v>
      </c>
      <c r="I19" s="249">
        <f>SUMIF(Sifarisler!$H$3:$H$10346,D19,Sifarisler!$AP$3:$AP$10346)</f>
        <v>363</v>
      </c>
      <c r="J19" s="250" t="str">
        <f t="shared" si="0"/>
        <v>Mesaj</v>
      </c>
      <c r="K19" s="9" t="str">
        <f t="shared" ref="K19" si="33">SUBSTITUTE(L19," ","")</f>
        <v>Rovsen</v>
      </c>
      <c r="L19" s="10" t="str">
        <f t="shared" ref="L19" si="34">LEFT(D19,FIND("*",SUBSTITUTE(D19," ","*",1)))</f>
        <v xml:space="preserve">Rovsen </v>
      </c>
      <c r="M19" s="251" t="str">
        <f>"Hörmətli *"&amp;K19&amp;"*  , göstərilən xidmətə görə *"&amp;I19&amp;" AZN* borcunuz qalmışdır . Ödəniş etməyiniz xahiş olunur. Ödəniş kartı  *"&amp;Məlumatlar!$O$3&amp;"* . Hörmətlə  *AlumPro*"</f>
        <v>Hörmətli *Rovsen*  , göstərilən xidmətə görə *363 AZN* borcunuz qalmışdır . Ödəniş etməyiniz xahiş olunur. Ödəniş kartı  *4098584464110962* . Hörmətlə  *AlumPro*</v>
      </c>
      <c r="N19" s="46"/>
    </row>
    <row r="20" spans="4:14" ht="17.25">
      <c r="D20" s="214" t="s">
        <v>327</v>
      </c>
      <c r="E20" s="247"/>
      <c r="F20" s="15">
        <f>COUNTIF(Sifarisler!$H$3:$H$10346,D20)</f>
        <v>1</v>
      </c>
      <c r="G20" s="248">
        <f>SUMIF(Sifarisler!$H$3:$H$10346,D20,Sifarisler!$AM$3:$AM$10346)</f>
        <v>2550</v>
      </c>
      <c r="H20" s="248">
        <f>SUMIF(Sifarisler!$H$3:$H$10346,D20,Sifarisler!$AO$3:$AO$10346)</f>
        <v>2550</v>
      </c>
      <c r="I20" s="249">
        <f>SUMIF(Sifarisler!$H$3:$H$10346,D20,Sifarisler!$AP$3:$AP$10346)</f>
        <v>0</v>
      </c>
      <c r="J20" s="250" t="str">
        <f t="shared" si="0"/>
        <v>Mesaj</v>
      </c>
      <c r="K20" s="9" t="str">
        <f t="shared" ref="K20" si="35">SUBSTITUTE(L20," ","")</f>
        <v>Elnur</v>
      </c>
      <c r="L20" s="10" t="str">
        <f t="shared" ref="L20" si="36">LEFT(D20,FIND("*",SUBSTITUTE(D20," ","*",1)))</f>
        <v xml:space="preserve">Elnur </v>
      </c>
      <c r="M20" s="251" t="str">
        <f>"Hörmətli *"&amp;K20&amp;"*  , göstərilən xidmətə görə *"&amp;I20&amp;" AZN* borcunuz qalmışdır . Ödəniş etməyiniz xahiş olunur. Ödəniş kartı  *"&amp;Məlumatlar!$O$3&amp;"* . Hörmətlə  *AlumPro*"</f>
        <v>Hörmətli *Elnur*  , göstərilən xidmətə görə *0 AZN* borcunuz qalmışdır . Ödəniş etməyiniz xahiş olunur. Ödəniş kartı  *4098584464110962* . Hörmətlə  *AlumPro*</v>
      </c>
      <c r="N20" s="46"/>
    </row>
    <row r="21" spans="4:14" ht="17.25">
      <c r="D21" s="214" t="s">
        <v>353</v>
      </c>
      <c r="E21" s="247" t="s">
        <v>847</v>
      </c>
      <c r="F21" s="15">
        <f>COUNTIF(Sifarisler!$H$3:$H$10346,D21)</f>
        <v>1</v>
      </c>
      <c r="G21" s="248">
        <f>SUMIF(Sifarisler!$H$3:$H$10346,D21,Sifarisler!$AM$3:$AM$10346)</f>
        <v>1610</v>
      </c>
      <c r="H21" s="248">
        <f>SUMIF(Sifarisler!$H$3:$H$10346,D21,Sifarisler!$AO$3:$AO$10346)</f>
        <v>1000</v>
      </c>
      <c r="I21" s="249">
        <f>SUMIF(Sifarisler!$H$3:$H$10346,D21,Sifarisler!$AP$3:$AP$10346)</f>
        <v>610</v>
      </c>
      <c r="J21" s="250" t="str">
        <f t="shared" si="0"/>
        <v>Mesaj</v>
      </c>
      <c r="K21" s="9" t="str">
        <f t="shared" ref="K21" si="37">SUBSTITUTE(L21," ","")</f>
        <v>Elvin</v>
      </c>
      <c r="L21" s="10" t="str">
        <f t="shared" ref="L21" si="38">LEFT(D21,FIND("*",SUBSTITUTE(D21," ","*",1)))</f>
        <v xml:space="preserve">Elvin </v>
      </c>
      <c r="M21" s="251" t="str">
        <f>"Hörmətli *"&amp;K21&amp;"*  , göstərilən xidmətə görə *"&amp;I21&amp;" AZN* borcunuz qalmışdır . Ödəniş etməyiniz xahiş olunur. Ödəniş kartı  *"&amp;Məlumatlar!$O$3&amp;"* . Hörmətlə  *AlumPro*"</f>
        <v>Hörmətli *Elvin*  , göstərilən xidmətə görə *610 AZN* borcunuz qalmışdır . Ödəniş etməyiniz xahiş olunur. Ödəniş kartı  *4098584464110962* . Hörmətlə  *AlumPro*</v>
      </c>
      <c r="N21" s="46"/>
    </row>
    <row r="22" spans="4:14" ht="17.25">
      <c r="D22" s="214" t="s">
        <v>382</v>
      </c>
      <c r="E22" s="247" t="s">
        <v>383</v>
      </c>
      <c r="F22" s="15">
        <f>COUNTIF(Sifarisler!$H$3:$H$10346,D22)</f>
        <v>1</v>
      </c>
      <c r="G22" s="248">
        <f>SUMIF(Sifarisler!$H$3:$H$10346,D22,Sifarisler!$AM$3:$AM$10346)</f>
        <v>300</v>
      </c>
      <c r="H22" s="248">
        <f>SUMIF(Sifarisler!$H$3:$H$10346,D22,Sifarisler!$AO$3:$AO$10346)</f>
        <v>150</v>
      </c>
      <c r="I22" s="249">
        <f>SUMIF(Sifarisler!$H$3:$H$10346,D22,Sifarisler!$AP$3:$AP$10346)</f>
        <v>143</v>
      </c>
      <c r="J22" s="250" t="str">
        <f t="shared" si="0"/>
        <v>Mesaj</v>
      </c>
      <c r="K22" s="9" t="str">
        <f t="shared" ref="K22" si="39">SUBSTITUTE(L22," ","")</f>
        <v>Abdulla</v>
      </c>
      <c r="L22" s="10" t="str">
        <f t="shared" ref="L22" si="40">LEFT(D22,FIND("*",SUBSTITUTE(D22," ","*",1)))</f>
        <v xml:space="preserve">Abdulla </v>
      </c>
      <c r="M22" s="251" t="str">
        <f>"Hörmətli *"&amp;K22&amp;"*  , göstərilən xidmətə görə *"&amp;I22&amp;" AZN* borcunuz qalmışdır . Ödəniş etməyiniz xahiş olunur. Ödəniş kartı  *"&amp;Məlumatlar!$O$3&amp;"* . Hörmətlə  *AlumPro*"</f>
        <v>Hörmətli *Abdulla*  , göstərilən xidmətə görə *143 AZN* borcunuz qalmışdır . Ödəniş etməyiniz xahiş olunur. Ödəniş kartı  *4098584464110962* . Hörmətlə  *AlumPro*</v>
      </c>
      <c r="N22" s="46"/>
    </row>
    <row r="23" spans="4:14" ht="17.25">
      <c r="D23" s="214" t="s">
        <v>408</v>
      </c>
      <c r="E23" s="247" t="s">
        <v>848</v>
      </c>
      <c r="F23" s="15">
        <f>COUNTIF(Sifarisler!$H$3:$H$10346,D23)</f>
        <v>1</v>
      </c>
      <c r="G23" s="248">
        <f>SUMIF(Sifarisler!$H$3:$H$10346,D23,Sifarisler!$AM$3:$AM$10346)</f>
        <v>770</v>
      </c>
      <c r="H23" s="248">
        <f>SUMIF(Sifarisler!$H$3:$H$10346,D23,Sifarisler!$AO$3:$AO$10346)</f>
        <v>0</v>
      </c>
      <c r="I23" s="249">
        <f>SUMIF(Sifarisler!$H$3:$H$10346,D23,Sifarisler!$AP$3:$AP$10346)</f>
        <v>767</v>
      </c>
      <c r="J23" s="250" t="str">
        <f t="shared" si="0"/>
        <v>Mesaj</v>
      </c>
      <c r="K23" s="9" t="str">
        <f t="shared" ref="K23" si="41">SUBSTITUTE(L23," ","")</f>
        <v>Elsen</v>
      </c>
      <c r="L23" s="10" t="str">
        <f t="shared" ref="L23" si="42">LEFT(D23,FIND("*",SUBSTITUTE(D23," ","*",1)))</f>
        <v xml:space="preserve">Elsen </v>
      </c>
      <c r="M23" s="251" t="str">
        <f>"Hörmətli *"&amp;K23&amp;"*  , göstərilən xidmətə görə *"&amp;I23&amp;" AZN* borcunuz qalmışdır . Ödəniş etməyiniz xahiş olunur. Ödəniş kartı  *"&amp;Məlumatlar!$O$3&amp;"* . Hörmətlə  *AlumPro*"</f>
        <v>Hörmətli *Elsen*  , göstərilən xidmətə görə *767 AZN* borcunuz qalmışdır . Ödəniş etməyiniz xahiş olunur. Ödəniş kartı  *4098584464110962* . Hörmətlə  *AlumPro*</v>
      </c>
      <c r="N23" s="46"/>
    </row>
    <row r="24" spans="4:14" ht="17.25">
      <c r="D24" s="214" t="s">
        <v>416</v>
      </c>
      <c r="E24" s="247" t="s">
        <v>849</v>
      </c>
      <c r="F24" s="15">
        <f>COUNTIF(Sifarisler!$H$3:$H$10346,D24)</f>
        <v>1</v>
      </c>
      <c r="G24" s="248">
        <f>SUMIF(Sifarisler!$H$3:$H$10346,D24,Sifarisler!$AM$3:$AM$10346)</f>
        <v>1277</v>
      </c>
      <c r="H24" s="248">
        <f>SUMIF(Sifarisler!$H$3:$H$10346,D24,Sifarisler!$AO$3:$AO$10346)</f>
        <v>1277</v>
      </c>
      <c r="I24" s="249">
        <f>SUMIF(Sifarisler!$H$3:$H$10346,D24,Sifarisler!$AP$3:$AP$10346)</f>
        <v>0</v>
      </c>
      <c r="J24" s="250" t="str">
        <f t="shared" si="0"/>
        <v>Mesaj</v>
      </c>
      <c r="K24" s="9" t="str">
        <f t="shared" ref="K24" si="43">SUBSTITUTE(L24," ","")</f>
        <v>Ibrahim</v>
      </c>
      <c r="L24" s="10" t="str">
        <f t="shared" ref="L24" si="44">LEFT(D24,FIND("*",SUBSTITUTE(D24," ","*",1)))</f>
        <v xml:space="preserve">Ibrahim </v>
      </c>
      <c r="M24" s="251" t="str">
        <f>"Hörmətli *"&amp;K24&amp;"*  , göstərilən xidmətə görə *"&amp;I24&amp;" AZN* borcunuz qalmışdır . Ödəniş etməyiniz xahiş olunur. Ödəniş kartı  *"&amp;Məlumatlar!$O$3&amp;"* . Hörmətlə  *AlumPro*"</f>
        <v>Hörmətli *Ibrahim*  , göstərilən xidmətə görə *0 AZN* borcunuz qalmışdır . Ödəniş etməyiniz xahiş olunur. Ödəniş kartı  *4098584464110962* . Hörmətlə  *AlumPro*</v>
      </c>
      <c r="N24" s="46"/>
    </row>
    <row r="25" spans="4:14" ht="17.25">
      <c r="D25" s="214" t="s">
        <v>423</v>
      </c>
      <c r="E25" s="247" t="s">
        <v>850</v>
      </c>
      <c r="F25" s="15">
        <f>COUNTIF(Sifarisler!$H$3:$H$10346,D25)</f>
        <v>1</v>
      </c>
      <c r="G25" s="248">
        <f>SUMIF(Sifarisler!$H$3:$H$10346,D25,Sifarisler!$AM$3:$AM$10346)</f>
        <v>600</v>
      </c>
      <c r="H25" s="248">
        <f>SUMIF(Sifarisler!$H$3:$H$10346,D25,Sifarisler!$AO$3:$AO$10346)</f>
        <v>300</v>
      </c>
      <c r="I25" s="249">
        <f>SUMIF(Sifarisler!$H$3:$H$10346,D25,Sifarisler!$AP$3:$AP$10346)</f>
        <v>295</v>
      </c>
      <c r="J25" s="250" t="str">
        <f t="shared" si="0"/>
        <v>Mesaj</v>
      </c>
      <c r="K25" s="9" t="str">
        <f t="shared" ref="K25" si="45">SUBSTITUTE(L25," ","")</f>
        <v>Elmar</v>
      </c>
      <c r="L25" s="10" t="str">
        <f t="shared" ref="L25" si="46">LEFT(D25,FIND("*",SUBSTITUTE(D25," ","*",1)))</f>
        <v xml:space="preserve">Elmar </v>
      </c>
      <c r="M25" s="251" t="str">
        <f>"Hörmətli *"&amp;K25&amp;"*  , göstərilən xidmətə görə *"&amp;I25&amp;" AZN* borcunuz qalmışdır . Ödəniş etməyiniz xahiş olunur. Ödəniş kartı  *"&amp;Məlumatlar!$O$3&amp;"* . Hörmətlə  *AlumPro*"</f>
        <v>Hörmətli *Elmar*  , göstərilən xidmətə görə *295 AZN* borcunuz qalmışdır . Ödəniş etməyiniz xahiş olunur. Ödəniş kartı  *4098584464110962* . Hörmətlə  *AlumPro*</v>
      </c>
      <c r="N25" s="46"/>
    </row>
    <row r="26" spans="4:14" ht="17.25">
      <c r="D26" s="214" t="s">
        <v>426</v>
      </c>
      <c r="E26" s="247" t="s">
        <v>851</v>
      </c>
      <c r="F26" s="15">
        <f>COUNTIF(Sifarisler!$H$3:$H$10346,D26)</f>
        <v>1</v>
      </c>
      <c r="G26" s="248">
        <f>SUMIF(Sifarisler!$H$3:$H$10346,D26,Sifarisler!$AM$3:$AM$10346)</f>
        <v>100</v>
      </c>
      <c r="H26" s="248">
        <f>SUMIF(Sifarisler!$H$3:$H$10346,D26,Sifarisler!$AO$3:$AO$10346)</f>
        <v>100</v>
      </c>
      <c r="I26" s="249">
        <f>SUMIF(Sifarisler!$H$3:$H$10346,D26,Sifarisler!$AP$3:$AP$10346)</f>
        <v>0</v>
      </c>
      <c r="J26" s="250" t="str">
        <f t="shared" si="0"/>
        <v>Mesaj</v>
      </c>
      <c r="K26" s="9" t="str">
        <f t="shared" ref="K26" si="47">SUBSTITUTE(L26," ","")</f>
        <v>Ruslan</v>
      </c>
      <c r="L26" s="10" t="str">
        <f t="shared" ref="L26" si="48">LEFT(D26,FIND("*",SUBSTITUTE(D26," ","*",1)))</f>
        <v xml:space="preserve">Ruslan </v>
      </c>
      <c r="M26" s="251" t="str">
        <f>"Hörmətli *"&amp;K26&amp;"*  , göstərilən xidmətə görə *"&amp;I26&amp;" AZN* borcunuz qalmışdır . Ödəniş etməyiniz xahiş olunur. Ödəniş kartı  *"&amp;Məlumatlar!$O$3&amp;"* . Hörmətlə  *AlumPro*"</f>
        <v>Hörmətli *Ruslan*  , göstərilən xidmətə görə *0 AZN* borcunuz qalmışdır . Ödəniş etməyiniz xahiş olunur. Ödəniş kartı  *4098584464110962* . Hörmətlə  *AlumPro*</v>
      </c>
      <c r="N26" s="46"/>
    </row>
    <row r="27" spans="4:14" ht="17.25">
      <c r="D27" s="214" t="s">
        <v>456</v>
      </c>
      <c r="E27" s="247" t="s">
        <v>852</v>
      </c>
      <c r="F27" s="15">
        <f>COUNTIF(Sifarisler!$H$3:$H$10346,D27)</f>
        <v>1</v>
      </c>
      <c r="G27" s="248">
        <f>SUMIF(Sifarisler!$H$3:$H$10346,D27,Sifarisler!$AM$3:$AM$10346)</f>
        <v>266</v>
      </c>
      <c r="H27" s="248">
        <f>SUMIF(Sifarisler!$H$3:$H$10346,D27,Sifarisler!$AO$3:$AO$10346)</f>
        <v>266</v>
      </c>
      <c r="I27" s="249">
        <f>SUMIF(Sifarisler!$H$3:$H$10346,D27,Sifarisler!$AP$3:$AP$10346)</f>
        <v>0</v>
      </c>
      <c r="J27" s="250" t="str">
        <f t="shared" si="0"/>
        <v>Mesaj</v>
      </c>
      <c r="K27" s="9" t="str">
        <f t="shared" ref="K27" si="49">SUBSTITUTE(L27," ","")</f>
        <v>Sameddin</v>
      </c>
      <c r="L27" s="10" t="str">
        <f t="shared" ref="L27" si="50">LEFT(D27,FIND("*",SUBSTITUTE(D27," ","*",1)))</f>
        <v xml:space="preserve">Sameddin </v>
      </c>
      <c r="M27" s="251" t="str">
        <f>"Hörmətli *"&amp;K27&amp;"*  , göstərilən xidmətə görə *"&amp;I27&amp;" AZN* borcunuz qalmışdır . Ödəniş etməyiniz xahiş olunur. Ödəniş kartı  *"&amp;Məlumatlar!$O$3&amp;"* . Hörmətlə  *AlumPro*"</f>
        <v>Hörmətli *Sameddin*  , göstərilən xidmətə görə *0 AZN* borcunuz qalmışdır . Ödəniş etməyiniz xahiş olunur. Ödəniş kartı  *4098584464110962* . Hörmətlə  *AlumPro*</v>
      </c>
      <c r="N27" s="46"/>
    </row>
    <row r="28" spans="4:14" ht="17.25">
      <c r="D28" s="214" t="s">
        <v>853</v>
      </c>
      <c r="E28" s="247"/>
      <c r="F28" s="15">
        <f>COUNTIF(Sifarisler!$H$3:$H$10346,D28)</f>
        <v>0</v>
      </c>
      <c r="G28" s="248">
        <f>SUMIF(Sifarisler!$H$3:$H$10346,D28,Sifarisler!$AM$3:$AM$10346)</f>
        <v>0</v>
      </c>
      <c r="H28" s="248">
        <f>SUMIF(Sifarisler!$H$3:$H$10346,D28,Sifarisler!$AO$3:$AO$10346)</f>
        <v>0</v>
      </c>
      <c r="I28" s="249">
        <f>SUMIF(Sifarisler!$H$3:$H$10346,D28,Sifarisler!$AP$3:$AP$10346)</f>
        <v>0</v>
      </c>
      <c r="J28" s="250" t="str">
        <f t="shared" si="0"/>
        <v>Mesaj</v>
      </c>
      <c r="K28" s="9" t="str">
        <f t="shared" ref="K28" si="51">SUBSTITUTE(L28," ","")</f>
        <v>Servin</v>
      </c>
      <c r="L28" s="10" t="str">
        <f t="shared" ref="L28" si="52">LEFT(D28,FIND("*",SUBSTITUTE(D28," ","*",1)))</f>
        <v xml:space="preserve">Servin </v>
      </c>
      <c r="M28" s="251" t="str">
        <f>"Hörmətli *"&amp;K28&amp;"*  , göstərilən xidmətə görə *"&amp;I28&amp;" AZN* borcunuz qalmışdır . Ödəniş etməyiniz xahiş olunur. Ödəniş kartı  *"&amp;Məlumatlar!$O$3&amp;"* . Hörmətlə  *AlumPro*"</f>
        <v>Hörmətli *Servin*  , göstərilən xidmətə görə *0 AZN* borcunuz qalmışdır . Ödəniş etməyiniz xahiş olunur. Ödəniş kartı  *4098584464110962* . Hörmətlə  *AlumPro*</v>
      </c>
      <c r="N28" s="46"/>
    </row>
    <row r="29" spans="4:14" ht="17.25">
      <c r="D29" s="214" t="s">
        <v>464</v>
      </c>
      <c r="E29" s="247"/>
      <c r="F29" s="15">
        <f>COUNTIF(Sifarisler!$H$3:$H$10346,D29)</f>
        <v>1</v>
      </c>
      <c r="G29" s="248">
        <f>SUMIF(Sifarisler!$H$3:$H$10346,D29,Sifarisler!$AM$3:$AM$10346)</f>
        <v>200</v>
      </c>
      <c r="H29" s="248">
        <f>SUMIF(Sifarisler!$H$3:$H$10346,D29,Sifarisler!$AO$3:$AO$10346)</f>
        <v>200</v>
      </c>
      <c r="I29" s="249">
        <f>SUMIF(Sifarisler!$H$3:$H$10346,D29,Sifarisler!$AP$3:$AP$10346)</f>
        <v>0</v>
      </c>
      <c r="J29" s="250" t="str">
        <f t="shared" si="0"/>
        <v>Mesaj</v>
      </c>
      <c r="K29" s="9" t="str">
        <f t="shared" ref="K29" si="53">SUBSTITUTE(L29," ","")</f>
        <v>Punhan</v>
      </c>
      <c r="L29" s="10" t="str">
        <f t="shared" ref="L29" si="54">LEFT(D29,FIND("*",SUBSTITUTE(D29," ","*",1)))</f>
        <v xml:space="preserve">Punhan </v>
      </c>
      <c r="M29" s="251" t="str">
        <f>"Hörmətli *"&amp;K29&amp;"*  , göstərilən xidmətə görə *"&amp;I29&amp;" AZN* borcunuz qalmışdır . Ödəniş etməyiniz xahiş olunur. Ödəniş kartı  *"&amp;Məlumatlar!$O$3&amp;"* . Hörmətlə  *AlumPro*"</f>
        <v>Hörmətli *Punhan*  , göstərilən xidmətə görə *0 AZN* borcunuz qalmışdır . Ödəniş etməyiniz xahiş olunur. Ödəniş kartı  *4098584464110962* . Hörmətlə  *AlumPro*</v>
      </c>
      <c r="N29" s="46"/>
    </row>
    <row r="30" spans="4:14" ht="17.25">
      <c r="D30" s="214" t="s">
        <v>466</v>
      </c>
      <c r="E30" s="247"/>
      <c r="F30" s="15">
        <f>COUNTIF(Sifarisler!$H$3:$H$10346,D30)</f>
        <v>1</v>
      </c>
      <c r="G30" s="248">
        <f>SUMIF(Sifarisler!$H$3:$H$10346,D30,Sifarisler!$AM$3:$AM$10346)</f>
        <v>242</v>
      </c>
      <c r="H30" s="248">
        <f>SUMIF(Sifarisler!$H$3:$H$10346,D30,Sifarisler!$AO$3:$AO$10346)</f>
        <v>242</v>
      </c>
      <c r="I30" s="249">
        <f>SUMIF(Sifarisler!$H$3:$H$10346,D30,Sifarisler!$AP$3:$AP$10346)</f>
        <v>0</v>
      </c>
      <c r="J30" s="250" t="str">
        <f t="shared" si="0"/>
        <v>Mesaj</v>
      </c>
      <c r="K30" s="9" t="str">
        <f t="shared" ref="K30" si="55">SUBSTITUTE(L30," ","")</f>
        <v>Zaur</v>
      </c>
      <c r="L30" s="10" t="str">
        <f t="shared" ref="L30" si="56">LEFT(D30,FIND("*",SUBSTITUTE(D30," ","*",1)))</f>
        <v xml:space="preserve">Zaur </v>
      </c>
      <c r="M30" s="251" t="str">
        <f>"Hörmətli *"&amp;K30&amp;"*  , göstərilən xidmətə görə *"&amp;I30&amp;" AZN* borcunuz qalmışdır . Ödəniş etməyiniz xahiş olunur. Ödəniş kartı  *"&amp;Məlumatlar!$O$3&amp;"* . Hörmətlə  *AlumPro*"</f>
        <v>Hörmətli *Zaur*  , göstərilən xidmətə görə *0 AZN* borcunuz qalmışdır . Ödəniş etməyiniz xahiş olunur. Ödəniş kartı  *4098584464110962* . Hörmətlə  *AlumPro*</v>
      </c>
      <c r="N30" s="46"/>
    </row>
    <row r="31" spans="4:14" ht="17.25">
      <c r="D31" s="214" t="s">
        <v>477</v>
      </c>
      <c r="E31" s="247"/>
      <c r="F31" s="15">
        <f>COUNTIF(Sifarisler!$H$3:$H$10346,D31)</f>
        <v>1</v>
      </c>
      <c r="G31" s="248">
        <f>SUMIF(Sifarisler!$H$3:$H$10346,D31,Sifarisler!$AM$3:$AM$10346)</f>
        <v>80</v>
      </c>
      <c r="H31" s="248">
        <f>SUMIF(Sifarisler!$H$3:$H$10346,D31,Sifarisler!$AO$3:$AO$10346)</f>
        <v>80</v>
      </c>
      <c r="I31" s="249">
        <f>SUMIF(Sifarisler!$H$3:$H$10346,D31,Sifarisler!$AP$3:$AP$10346)</f>
        <v>0</v>
      </c>
      <c r="J31" s="250" t="str">
        <f t="shared" si="0"/>
        <v>Mesaj</v>
      </c>
      <c r="K31" s="9" t="str">
        <f t="shared" ref="K31" si="57">SUBSTITUTE(L31," ","")</f>
        <v>Turan</v>
      </c>
      <c r="L31" s="10" t="str">
        <f t="shared" ref="L31" si="58">LEFT(D31,FIND("*",SUBSTITUTE(D31," ","*",1)))</f>
        <v xml:space="preserve">Turan </v>
      </c>
      <c r="M31" s="251" t="str">
        <f>"Hörmətli *"&amp;K31&amp;"*  , göstərilən xidmətə görə *"&amp;I31&amp;" AZN* borcunuz qalmışdır . Ödəniş etməyiniz xahiş olunur. Ödəniş kartı  *"&amp;Məlumatlar!$O$3&amp;"* . Hörmətlə  *AlumPro*"</f>
        <v>Hörmətli *Turan*  , göstərilən xidmətə görə *0 AZN* borcunuz qalmışdır . Ödəniş etməyiniz xahiş olunur. Ödəniş kartı  *4098584464110962* . Hörmətlə  *AlumPro*</v>
      </c>
      <c r="N31" s="46"/>
    </row>
    <row r="32" spans="4:14" ht="17.25">
      <c r="D32" s="214" t="s">
        <v>488</v>
      </c>
      <c r="E32" s="247" t="s">
        <v>489</v>
      </c>
      <c r="F32" s="15">
        <f>COUNTIF(Sifarisler!$H$3:$H$10346,D32)</f>
        <v>1</v>
      </c>
      <c r="G32" s="248">
        <f>SUMIF(Sifarisler!$H$3:$H$10346,D32,Sifarisler!$AM$3:$AM$10346)</f>
        <v>1721</v>
      </c>
      <c r="H32" s="248">
        <f>SUMIF(Sifarisler!$H$3:$H$10346,D32,Sifarisler!$AO$3:$AO$10346)</f>
        <v>1000</v>
      </c>
      <c r="I32" s="249">
        <f>SUMIF(Sifarisler!$H$3:$H$10346,D32,Sifarisler!$AP$3:$AP$10346)</f>
        <v>721</v>
      </c>
      <c r="J32" s="250" t="str">
        <f t="shared" si="0"/>
        <v>Mesaj</v>
      </c>
      <c r="K32" s="9" t="str">
        <f t="shared" ref="K32" si="59">SUBSTITUTE(L32," ","")</f>
        <v>Niyameddin</v>
      </c>
      <c r="L32" s="10" t="str">
        <f t="shared" ref="L32" si="60">LEFT(D32,FIND("*",SUBSTITUTE(D32," ","*",1)))</f>
        <v xml:space="preserve">Niyameddin </v>
      </c>
      <c r="M32" s="251" t="str">
        <f>"Hörmətli *"&amp;K32&amp;"*  , göstərilən xidmətə görə *"&amp;I32&amp;" AZN* borcunuz qalmışdır . Ödəniş etməyiniz xahiş olunur. Ödəniş kartı  *"&amp;Məlumatlar!$O$3&amp;"* . Hörmətlə  *AlumPro*"</f>
        <v>Hörmətli *Niyameddin*  , göstərilən xidmətə görə *721 AZN* borcunuz qalmışdır . Ödəniş etməyiniz xahiş olunur. Ödəniş kartı  *4098584464110962* . Hörmətlə  *AlumPro*</v>
      </c>
      <c r="N32" s="46"/>
    </row>
    <row r="33" spans="4:14" ht="17.25">
      <c r="D33" s="214" t="s">
        <v>493</v>
      </c>
      <c r="E33" s="247" t="s">
        <v>494</v>
      </c>
      <c r="F33" s="15">
        <f>COUNTIF(Sifarisler!$H$3:$H$10346,D33)</f>
        <v>1</v>
      </c>
      <c r="G33" s="248">
        <f>SUMIF(Sifarisler!$H$3:$H$10346,D33,Sifarisler!$AM$3:$AM$10346)</f>
        <v>1250</v>
      </c>
      <c r="H33" s="248">
        <f>SUMIF(Sifarisler!$H$3:$H$10346,D33,Sifarisler!$AO$3:$AO$10346)</f>
        <v>1250</v>
      </c>
      <c r="I33" s="249">
        <f>SUMIF(Sifarisler!$H$3:$H$10346,D33,Sifarisler!$AP$3:$AP$10346)</f>
        <v>0</v>
      </c>
      <c r="J33" s="250" t="str">
        <f t="shared" si="0"/>
        <v>Mesaj</v>
      </c>
      <c r="K33" s="9" t="str">
        <f t="shared" ref="K33" si="61">SUBSTITUTE(L33," ","")</f>
        <v>Geray</v>
      </c>
      <c r="L33" s="10" t="str">
        <f t="shared" ref="L33" si="62">LEFT(D33,FIND("*",SUBSTITUTE(D33," ","*",1)))</f>
        <v xml:space="preserve">Geray </v>
      </c>
      <c r="M33" s="251" t="str">
        <f>"Hörmətli *"&amp;K33&amp;"*  , göstərilən xidmətə görə *"&amp;I33&amp;" AZN* borcunuz qalmışdır . Ödəniş etməyiniz xahiş olunur. Ödəniş kartı  *"&amp;Məlumatlar!$O$3&amp;"* . Hörmətlə  *AlumPro*"</f>
        <v>Hörmətli *Geray*  , göstərilən xidmətə görə *0 AZN* borcunuz qalmışdır . Ödəniş etməyiniz xahiş olunur. Ödəniş kartı  *4098584464110962* . Hörmətlə  *AlumPro*</v>
      </c>
      <c r="N33" s="46"/>
    </row>
    <row r="34" spans="4:14" ht="17.25">
      <c r="D34" s="214" t="s">
        <v>503</v>
      </c>
      <c r="E34" s="247" t="s">
        <v>504</v>
      </c>
      <c r="F34" s="15">
        <f>COUNTIF(Sifarisler!$H$3:$H$10346,D34)</f>
        <v>1</v>
      </c>
      <c r="G34" s="248">
        <f>SUMIF(Sifarisler!$H$3:$H$10346,D34,Sifarisler!$AM$3:$AM$10346)</f>
        <v>161</v>
      </c>
      <c r="H34" s="248">
        <f>SUMIF(Sifarisler!$H$3:$H$10346,D34,Sifarisler!$AO$3:$AO$10346)</f>
        <v>161</v>
      </c>
      <c r="I34" s="249">
        <f>SUMIF(Sifarisler!$H$3:$H$10346,D34,Sifarisler!$AP$3:$AP$10346)</f>
        <v>0</v>
      </c>
      <c r="J34" s="250" t="str">
        <f t="shared" si="0"/>
        <v>Mesaj</v>
      </c>
      <c r="K34" s="9" t="str">
        <f t="shared" ref="K34" si="63">SUBSTITUTE(L34," ","")</f>
        <v>Qadir</v>
      </c>
      <c r="L34" s="10" t="str">
        <f t="shared" ref="L34" si="64">LEFT(D34,FIND("*",SUBSTITUTE(D34," ","*",1)))</f>
        <v xml:space="preserve">Qadir </v>
      </c>
      <c r="M34" s="251" t="str">
        <f>"Hörmətli *"&amp;K34&amp;"*  , göstərilən xidmətə görə *"&amp;I34&amp;" AZN* borcunuz qalmışdır . Ödəniş etməyiniz xahiş olunur. Ödəniş kartı  *"&amp;Məlumatlar!$O$3&amp;"* . Hörmətlə  *AlumPro*"</f>
        <v>Hörmətli *Qadir*  , göstərilən xidmətə görə *0 AZN* borcunuz qalmışdır . Ödəniş etməyiniz xahiş olunur. Ödəniş kartı  *4098584464110962* . Hörmətlə  *AlumPro*</v>
      </c>
      <c r="N34" s="46"/>
    </row>
    <row r="35" spans="4:14" ht="17.25">
      <c r="D35" s="214" t="s">
        <v>508</v>
      </c>
      <c r="E35" s="247" t="s">
        <v>854</v>
      </c>
      <c r="F35" s="15">
        <f>COUNTIF(Sifarisler!$H$3:$H$10346,D35)</f>
        <v>1</v>
      </c>
      <c r="G35" s="248">
        <f>SUMIF(Sifarisler!$H$3:$H$10346,D35,Sifarisler!$AM$3:$AM$10346)</f>
        <v>320</v>
      </c>
      <c r="H35" s="248">
        <f>SUMIF(Sifarisler!$H$3:$H$10346,D35,Sifarisler!$AO$3:$AO$10346)</f>
        <v>320</v>
      </c>
      <c r="I35" s="249">
        <f>SUMIF(Sifarisler!$H$3:$H$10346,D35,Sifarisler!$AP$3:$AP$10346)</f>
        <v>0</v>
      </c>
      <c r="J35" s="250" t="str">
        <f t="shared" si="0"/>
        <v>Mesaj</v>
      </c>
      <c r="K35" s="9" t="str">
        <f t="shared" ref="K35" si="65">SUBSTITUTE(L35," ","")</f>
        <v>Tural</v>
      </c>
      <c r="L35" s="10" t="str">
        <f t="shared" ref="L35" si="66">LEFT(D35,FIND("*",SUBSTITUTE(D35," ","*",1)))</f>
        <v xml:space="preserve">Tural </v>
      </c>
      <c r="M35" s="251" t="str">
        <f>"Hörmətli *"&amp;K35&amp;"*  , göstərilən xidmətə görə *"&amp;I35&amp;" AZN* borcunuz qalmışdır . Ödəniş etməyiniz xahiş olunur. Ödəniş kartı  *"&amp;Məlumatlar!$O$3&amp;"* . Hörmətlə  *AlumPro*"</f>
        <v>Hörmətli *Tural*  , göstərilən xidmətə görə *0 AZN* borcunuz qalmışdır . Ödəniş etməyiniz xahiş olunur. Ödəniş kartı  *4098584464110962* . Hörmətlə  *AlumPro*</v>
      </c>
      <c r="N35" s="46"/>
    </row>
    <row r="36" spans="4:14" ht="17.25">
      <c r="D36" s="214" t="s">
        <v>517</v>
      </c>
      <c r="E36" s="247"/>
      <c r="F36" s="15">
        <f>COUNTIF(Sifarisler!$H$3:$H$10346,D36)</f>
        <v>1</v>
      </c>
      <c r="G36" s="248">
        <f>SUMIF(Sifarisler!$H$3:$H$10346,D36,Sifarisler!$AM$3:$AM$10346)</f>
        <v>229</v>
      </c>
      <c r="H36" s="248">
        <f>SUMIF(Sifarisler!$H$3:$H$10346,D36,Sifarisler!$AO$3:$AO$10346)</f>
        <v>230</v>
      </c>
      <c r="I36" s="249">
        <f>SUMIF(Sifarisler!$H$3:$H$10346,D36,Sifarisler!$AP$3:$AP$10346)</f>
        <v>-1</v>
      </c>
      <c r="J36" s="250" t="str">
        <f t="shared" si="0"/>
        <v>Mesaj</v>
      </c>
      <c r="K36" s="9" t="str">
        <f t="shared" ref="K36" si="67">SUBSTITUTE(L36," ","")</f>
        <v>Xeyyam</v>
      </c>
      <c r="L36" s="10" t="str">
        <f t="shared" ref="L36" si="68">LEFT(D36,FIND("*",SUBSTITUTE(D36," ","*",1)))</f>
        <v xml:space="preserve">Xeyyam </v>
      </c>
      <c r="M36" s="251" t="str">
        <f>"Hörmətli *"&amp;K36&amp;"*  , göstərilən xidmətə görə *"&amp;I36&amp;" AZN* borcunuz qalmışdır . Ödəniş etməyiniz xahiş olunur. Ödəniş kartı  *"&amp;Məlumatlar!$O$3&amp;"* . Hörmətlə  *AlumPro*"</f>
        <v>Hörmətli *Xeyyam*  , göstərilən xidmətə görə *-1 AZN* borcunuz qalmışdır . Ödəniş etməyiniz xahiş olunur. Ödəniş kartı  *4098584464110962* . Hörmətlə  *AlumPro*</v>
      </c>
      <c r="N36" s="46"/>
    </row>
    <row r="37" spans="4:14" ht="17.25">
      <c r="D37" s="214" t="s">
        <v>538</v>
      </c>
      <c r="E37" s="247"/>
      <c r="F37" s="15">
        <f>COUNTIF(Sifarisler!$H$3:$H$10346,D37)</f>
        <v>1</v>
      </c>
      <c r="G37" s="248">
        <f>SUMIF(Sifarisler!$H$3:$H$10346,D37,Sifarisler!$AM$3:$AM$10346)</f>
        <v>150</v>
      </c>
      <c r="H37" s="248">
        <f>SUMIF(Sifarisler!$H$3:$H$10346,D37,Sifarisler!$AO$3:$AO$10346)</f>
        <v>150</v>
      </c>
      <c r="I37" s="249">
        <f>SUMIF(Sifarisler!$H$3:$H$10346,D37,Sifarisler!$AP$3:$AP$10346)</f>
        <v>0</v>
      </c>
      <c r="J37" s="250" t="str">
        <f t="shared" si="0"/>
        <v>Mesaj</v>
      </c>
      <c r="K37" s="9" t="str">
        <f t="shared" ref="K37" si="69">SUBSTITUTE(L37," ","")</f>
        <v>Rufet</v>
      </c>
      <c r="L37" s="10" t="str">
        <f t="shared" ref="L37" si="70">LEFT(D37,FIND("*",SUBSTITUTE(D37," ","*",1)))</f>
        <v xml:space="preserve">Rufet </v>
      </c>
      <c r="M37" s="251" t="str">
        <f>"Hörmətli *"&amp;K37&amp;"*  , göstərilən xidmətə görə *"&amp;I37&amp;" AZN* borcunuz qalmışdır . Ödəniş etməyiniz xahiş olunur. Ödəniş kartı  *"&amp;Məlumatlar!$O$3&amp;"* . Hörmətlə  *AlumPro*"</f>
        <v>Hörmətli *Rufet*  , göstərilən xidmətə görə *0 AZN* borcunuz qalmışdır . Ödəniş etməyiniz xahiş olunur. Ödəniş kartı  *4098584464110962* . Hörmətlə  *AlumPro*</v>
      </c>
      <c r="N37" s="46"/>
    </row>
    <row r="38" spans="4:14" ht="17.25">
      <c r="D38" s="214" t="s">
        <v>553</v>
      </c>
      <c r="E38" s="247"/>
      <c r="F38" s="15">
        <f>COUNTIF(Sifarisler!$H$3:$H$10346,D38)</f>
        <v>1</v>
      </c>
      <c r="G38" s="248">
        <f>SUMIF(Sifarisler!$H$3:$H$10346,D38,Sifarisler!$AM$3:$AM$10346)</f>
        <v>163</v>
      </c>
      <c r="H38" s="248">
        <f>SUMIF(Sifarisler!$H$3:$H$10346,D38,Sifarisler!$AO$3:$AO$10346)</f>
        <v>163</v>
      </c>
      <c r="I38" s="249">
        <f>SUMIF(Sifarisler!$H$3:$H$10346,D38,Sifarisler!$AP$3:$AP$10346)</f>
        <v>0</v>
      </c>
      <c r="J38" s="250" t="str">
        <f t="shared" si="0"/>
        <v>Mesaj</v>
      </c>
      <c r="K38" s="9" t="str">
        <f t="shared" si="1"/>
        <v>Eflatun</v>
      </c>
      <c r="L38" s="10" t="str">
        <f t="shared" ref="L38" si="71">LEFT(D38,FIND("*",SUBSTITUTE(D38," ","*",1)))</f>
        <v xml:space="preserve">Eflatun </v>
      </c>
      <c r="M38" s="251" t="str">
        <f>"Hörmətli *"&amp;K38&amp;"*  , göstərilən xidmətə görə *"&amp;I38&amp;" AZN* borcunuz qalmışdır . Ödəniş etməyiniz xahiş olunur. Ödəniş kartı  *"&amp;Məlumatlar!$O$3&amp;"* . Hörmətlə  *AlumPro*"</f>
        <v>Hörmətli *Eflatun*  , göstərilən xidmətə görə *0 AZN* borcunuz qalmışdır . Ödəniş etməyiniz xahiş olunur. Ödəniş kartı  *4098584464110962* . Hörmətlə  *AlumPro*</v>
      </c>
      <c r="N38" s="46"/>
    </row>
    <row r="39" spans="4:14" ht="17.25">
      <c r="D39" s="214" t="s">
        <v>438</v>
      </c>
      <c r="E39" s="247"/>
      <c r="F39" s="15">
        <f>COUNTIF(Sifarisler!$H$3:$H$10346,D39)</f>
        <v>4</v>
      </c>
      <c r="G39" s="248">
        <f>SUMIF(Sifarisler!$H$3:$H$10346,D39,Sifarisler!$AM$3:$AM$10346)</f>
        <v>2158</v>
      </c>
      <c r="H39" s="248">
        <f>SUMIF(Sifarisler!$H$3:$H$10346,D39,Sifarisler!$AO$3:$AO$10346)</f>
        <v>2158</v>
      </c>
      <c r="I39" s="249">
        <f>SUMIF(Sifarisler!$H$3:$H$10346,D39,Sifarisler!$AP$3:$AP$10346)</f>
        <v>0</v>
      </c>
      <c r="J39" s="250" t="str">
        <f t="shared" si="0"/>
        <v>Mesaj</v>
      </c>
      <c r="K39" s="9" t="str">
        <f t="shared" si="1"/>
        <v>Emin</v>
      </c>
      <c r="L39" s="10" t="str">
        <f t="shared" ref="L39" si="72">LEFT(D39,FIND("*",SUBSTITUTE(D39," ","*",1)))</f>
        <v xml:space="preserve">Emin </v>
      </c>
      <c r="M39" s="251" t="str">
        <f>"Hörmətli *"&amp;K39&amp;"*  , göstərilən xidmətə görə *"&amp;I39&amp;" AZN* borcunuz qalmışdır . Ödəniş etməyiniz xahiş olunur. Ödəniş kartı  *"&amp;Məlumatlar!$O$3&amp;"* . Hörmətlə  *AlumPro*"</f>
        <v>Hörmətli *Emin*  , göstərilən xidmətə görə *0 AZN* borcunuz qalmışdır . Ödəniş etməyiniz xahiş olunur. Ödəniş kartı  *4098584464110962* . Hörmətlə  *AlumPro*</v>
      </c>
      <c r="N39" s="46"/>
    </row>
    <row r="40" spans="4:14" ht="17.25">
      <c r="D40" s="214" t="s">
        <v>589</v>
      </c>
      <c r="E40" s="247"/>
      <c r="F40" s="15">
        <f>COUNTIF(Sifarisler!$H$3:$H$10346,D40)</f>
        <v>1</v>
      </c>
      <c r="G40" s="248">
        <f>SUMIF(Sifarisler!$H$3:$H$10346,D40,Sifarisler!$AM$3:$AM$10346)</f>
        <v>233</v>
      </c>
      <c r="H40" s="248">
        <f>SUMIF(Sifarisler!$H$3:$H$10346,D40,Sifarisler!$AO$3:$AO$10346)</f>
        <v>240</v>
      </c>
      <c r="I40" s="249">
        <f>SUMIF(Sifarisler!$H$3:$H$10346,D40,Sifarisler!$AP$3:$AP$10346)</f>
        <v>-7</v>
      </c>
      <c r="J40" s="250" t="str">
        <f t="shared" si="0"/>
        <v>Mesaj</v>
      </c>
      <c r="K40" s="9" t="str">
        <f t="shared" si="1"/>
        <v>Meftun</v>
      </c>
      <c r="L40" s="10" t="str">
        <f t="shared" ref="L40" si="73">LEFT(D40,FIND("*",SUBSTITUTE(D40," ","*",1)))</f>
        <v xml:space="preserve">Meftun </v>
      </c>
      <c r="M40" s="251" t="str">
        <f>"Hörmətli *"&amp;K40&amp;"*  , göstərilən xidmətə görə *"&amp;I40&amp;" AZN* borcunuz qalmışdır . Ödəniş etməyiniz xahiş olunur. Ödəniş kartı  *"&amp;Məlumatlar!$O$3&amp;"* . Hörmətlə  *AlumPro*"</f>
        <v>Hörmətli *Meftun*  , göstərilən xidmətə görə *-7 AZN* borcunuz qalmışdır . Ödəniş etməyiniz xahiş olunur. Ödəniş kartı  *4098584464110962* . Hörmətlə  *AlumPro*</v>
      </c>
      <c r="N40" s="46"/>
    </row>
    <row r="41" spans="4:14" ht="17.25">
      <c r="D41" s="214" t="s">
        <v>526</v>
      </c>
      <c r="E41" s="247"/>
      <c r="F41" s="15">
        <f>COUNTIF(Sifarisler!$H$3:$H$10346,D41)</f>
        <v>2</v>
      </c>
      <c r="G41" s="248">
        <f>SUMIF(Sifarisler!$H$3:$H$10346,D41,Sifarisler!$AM$3:$AM$10346)</f>
        <v>2321</v>
      </c>
      <c r="H41" s="248">
        <f>SUMIF(Sifarisler!$H$3:$H$10346,D41,Sifarisler!$AO$3:$AO$10346)</f>
        <v>2319</v>
      </c>
      <c r="I41" s="249">
        <f>SUMIF(Sifarisler!$H$3:$H$10346,D41,Sifarisler!$AP$3:$AP$10346)</f>
        <v>0</v>
      </c>
      <c r="J41" s="250" t="str">
        <f t="shared" si="0"/>
        <v>Mesaj</v>
      </c>
      <c r="K41" s="9" t="str">
        <f t="shared" si="1"/>
        <v>Perviz</v>
      </c>
      <c r="L41" s="10" t="str">
        <f t="shared" ref="L41" si="74">LEFT(D41,FIND("*",SUBSTITUTE(D41," ","*",1)))</f>
        <v xml:space="preserve">Perviz </v>
      </c>
      <c r="M41" s="251" t="str">
        <f>"Hörmətli *"&amp;K41&amp;"*  , göstərilən xidmətə görə *"&amp;I41&amp;" AZN* borcunuz qalmışdır . Ödəniş etməyiniz xahiş olunur. Ödəniş kartı  *"&amp;Məlumatlar!$O$3&amp;"* . Hörmətlə  *AlumPro*"</f>
        <v>Hörmətli *Perviz*  , göstərilən xidmətə görə *0 AZN* borcunuz qalmışdır . Ödəniş etməyiniz xahiş olunur. Ödəniş kartı  *4098584464110962* . Hörmətlə  *AlumPro*</v>
      </c>
      <c r="N41" s="46"/>
    </row>
    <row r="42" spans="4:14" ht="17.25">
      <c r="D42" s="214" t="s">
        <v>599</v>
      </c>
      <c r="E42" s="247"/>
      <c r="F42" s="15">
        <f>COUNTIF(Sifarisler!$H$3:$H$10346,D42)</f>
        <v>1</v>
      </c>
      <c r="G42" s="248">
        <f>SUMIF(Sifarisler!$H$3:$H$10346,D42,Sifarisler!$AM$3:$AM$10346)</f>
        <v>138</v>
      </c>
      <c r="H42" s="248">
        <f>SUMIF(Sifarisler!$H$3:$H$10346,D42,Sifarisler!$AO$3:$AO$10346)</f>
        <v>140</v>
      </c>
      <c r="I42" s="249">
        <f>SUMIF(Sifarisler!$H$3:$H$10346,D42,Sifarisler!$AP$3:$AP$10346)</f>
        <v>-2</v>
      </c>
      <c r="J42" s="250" t="str">
        <f t="shared" si="0"/>
        <v>Mesaj</v>
      </c>
      <c r="K42" s="9" t="str">
        <f t="shared" si="1"/>
        <v>İbrahim</v>
      </c>
      <c r="L42" s="10" t="str">
        <f t="shared" ref="L42" si="75">LEFT(D42,FIND("*",SUBSTITUTE(D42," ","*",1)))</f>
        <v xml:space="preserve">İbrahim </v>
      </c>
      <c r="M42" s="251" t="str">
        <f>"Hörmətli *"&amp;K42&amp;"*  , göstərilən xidmətə görə *"&amp;I42&amp;" AZN* borcunuz qalmışdır . Ödəniş etməyiniz xahiş olunur. Ödəniş kartı  *"&amp;Məlumatlar!$O$3&amp;"* . Hörmətlə  *AlumPro*"</f>
        <v>Hörmətli *İbrahim*  , göstərilən xidmətə görə *-2 AZN* borcunuz qalmışdır . Ödəniş etməyiniz xahiş olunur. Ödəniş kartı  *4098584464110962* . Hörmətlə  *AlumPro*</v>
      </c>
      <c r="N42" s="46"/>
    </row>
    <row r="43" spans="4:14" ht="17.25">
      <c r="D43" s="214" t="s">
        <v>155</v>
      </c>
      <c r="E43" s="247"/>
      <c r="F43" s="15">
        <f>COUNTIF(Sifarisler!$H$3:$H$10346,D43)</f>
        <v>4</v>
      </c>
      <c r="G43" s="248">
        <f>SUMIF(Sifarisler!$H$3:$H$10346,D43,Sifarisler!$AM$3:$AM$10346)</f>
        <v>882</v>
      </c>
      <c r="H43" s="248">
        <f>SUMIF(Sifarisler!$H$3:$H$10346,D43,Sifarisler!$AO$3:$AO$10346)</f>
        <v>882</v>
      </c>
      <c r="I43" s="249">
        <f>SUMIF(Sifarisler!$H$3:$H$10346,D43,Sifarisler!$AP$3:$AP$10346)</f>
        <v>0</v>
      </c>
      <c r="J43" s="250" t="str">
        <f t="shared" si="0"/>
        <v>Mesaj</v>
      </c>
      <c r="K43" s="9" t="str">
        <f t="shared" si="1"/>
        <v>Celal</v>
      </c>
      <c r="L43" s="10" t="str">
        <f t="shared" ref="L43" si="76">LEFT(D43,FIND("*",SUBSTITUTE(D43," ","*",1)))</f>
        <v xml:space="preserve">Celal </v>
      </c>
      <c r="M43" s="251" t="str">
        <f>"Hörmətli *"&amp;K43&amp;"*  , göstərilən xidmətə görə *"&amp;I43&amp;" AZN* borcunuz qalmışdır . Ödəniş etməyiniz xahiş olunur. Ödəniş kartı  *"&amp;Məlumatlar!$O$3&amp;"* . Hörmətlə  *AlumPro*"</f>
        <v>Hörmətli *Celal*  , göstərilən xidmətə görə *0 AZN* borcunuz qalmışdır . Ödəniş etməyiniz xahiş olunur. Ödəniş kartı  *4098584464110962* . Hörmətlə  *AlumPro*</v>
      </c>
      <c r="N43" s="46"/>
    </row>
    <row r="44" spans="4:14" ht="17.25">
      <c r="D44" s="214" t="s">
        <v>612</v>
      </c>
      <c r="E44" s="247" t="s">
        <v>613</v>
      </c>
      <c r="F44" s="15">
        <f>COUNTIF(Sifarisler!$H$3:$H$10346,D44)</f>
        <v>1</v>
      </c>
      <c r="G44" s="248">
        <f>SUMIF(Sifarisler!$H$3:$H$10346,D44,Sifarisler!$AM$3:$AM$10346)</f>
        <v>1337</v>
      </c>
      <c r="H44" s="248">
        <f>SUMIF(Sifarisler!$H$3:$H$10346,D44,Sifarisler!$AO$3:$AO$10346)</f>
        <v>1337</v>
      </c>
      <c r="I44" s="249">
        <f>SUMIF(Sifarisler!$H$3:$H$10346,D44,Sifarisler!$AP$3:$AP$10346)</f>
        <v>0</v>
      </c>
      <c r="J44" s="250" t="str">
        <f t="shared" si="0"/>
        <v>Mesaj</v>
      </c>
      <c r="K44" s="9" t="str">
        <f t="shared" si="1"/>
        <v>Heyder</v>
      </c>
      <c r="L44" s="10" t="str">
        <f t="shared" ref="L44" si="77">LEFT(D44,FIND("*",SUBSTITUTE(D44," ","*",1)))</f>
        <v xml:space="preserve">Heyder </v>
      </c>
      <c r="M44" s="251" t="str">
        <f>"Hörmətli *"&amp;K44&amp;"*  , göstərilən xidmətə görə *"&amp;I44&amp;" AZN* borcunuz qalmışdır . Ödəniş etməyiniz xahiş olunur. Ödəniş kartı  *"&amp;Məlumatlar!$O$3&amp;"* . Hörmətlə  *AlumPro*"</f>
        <v>Hörmətli *Heyder*  , göstərilən xidmətə görə *0 AZN* borcunuz qalmışdır . Ödəniş etməyiniz xahiş olunur. Ödəniş kartı  *4098584464110962* . Hörmətlə  *AlumPro*</v>
      </c>
      <c r="N44" s="46"/>
    </row>
    <row r="45" spans="4:14" ht="17.25">
      <c r="D45" s="214" t="s">
        <v>855</v>
      </c>
      <c r="E45" s="247"/>
      <c r="F45" s="15">
        <f>COUNTIF(Sifarisler!$H$3:$H$10346,D45)</f>
        <v>0</v>
      </c>
      <c r="G45" s="248">
        <f>SUMIF(Sifarisler!$H$3:$H$10346,D45,Sifarisler!$AM$3:$AM$10346)</f>
        <v>0</v>
      </c>
      <c r="H45" s="248">
        <f>SUMIF(Sifarisler!$H$3:$H$10346,D45,Sifarisler!$AO$3:$AO$10346)</f>
        <v>0</v>
      </c>
      <c r="I45" s="249">
        <f>SUMIF(Sifarisler!$H$3:$H$10346,D45,Sifarisler!$AP$3:$AP$10346)</f>
        <v>0</v>
      </c>
      <c r="J45" s="250" t="str">
        <f t="shared" si="0"/>
        <v>Mesaj</v>
      </c>
      <c r="K45" s="9" t="str">
        <f t="shared" si="1"/>
        <v>Anar</v>
      </c>
      <c r="L45" s="10" t="str">
        <f t="shared" ref="L45" si="78">LEFT(D45,FIND("*",SUBSTITUTE(D45," ","*",1)))</f>
        <v xml:space="preserve">Anar </v>
      </c>
      <c r="M45" s="251" t="str">
        <f>"Hörmətli *"&amp;K45&amp;"*  , göstərilən xidmətə görə *"&amp;I45&amp;" AZN* borcunuz qalmışdır . Ödəniş etməyiniz xahiş olunur. Ödəniş kartı  *"&amp;Məlumatlar!$O$3&amp;"* . Hörmətlə  *AlumPro*"</f>
        <v>Hörmətli *Anar*  , göstərilən xidmətə görə *0 AZN* borcunuz qalmışdır . Ödəniş etməyiniz xahiş olunur. Ödəniş kartı  *4098584464110962* . Hörmətlə  *AlumPro*</v>
      </c>
      <c r="N45" s="46"/>
    </row>
    <row r="46" spans="4:14" ht="17.25">
      <c r="D46" s="214" t="s">
        <v>514</v>
      </c>
      <c r="E46" s="247"/>
      <c r="F46" s="15">
        <f>COUNTIF(Sifarisler!$H$3:$H$10346,D46)</f>
        <v>2</v>
      </c>
      <c r="G46" s="248">
        <f>SUMIF(Sifarisler!$H$3:$H$10346,D46,Sifarisler!$AM$3:$AM$10346)</f>
        <v>930</v>
      </c>
      <c r="H46" s="248">
        <f>SUMIF(Sifarisler!$H$3:$H$10346,D46,Sifarisler!$AO$3:$AO$10346)</f>
        <v>930</v>
      </c>
      <c r="I46" s="249">
        <f>SUMIF(Sifarisler!$H$3:$H$10346,D46,Sifarisler!$AP$3:$AP$10346)</f>
        <v>0</v>
      </c>
      <c r="J46" s="250" t="str">
        <f t="shared" si="0"/>
        <v>Mesaj</v>
      </c>
      <c r="K46" s="9" t="str">
        <f t="shared" si="1"/>
        <v>Ceyhun</v>
      </c>
      <c r="L46" s="10" t="str">
        <f t="shared" ref="L46" si="79">LEFT(D46,FIND("*",SUBSTITUTE(D46," ","*",1)))</f>
        <v xml:space="preserve">Ceyhun </v>
      </c>
      <c r="M46" s="251" t="str">
        <f>"Hörmətli *"&amp;K46&amp;"*  , göstərilən xidmətə görə *"&amp;I46&amp;" AZN* borcunuz qalmışdır . Ödəniş etməyiniz xahiş olunur. Ödəniş kartı  *"&amp;Məlumatlar!$O$3&amp;"* . Hörmətlə  *AlumPro*"</f>
        <v>Hörmətli *Ceyhun*  , göstərilən xidmətə görə *0 AZN* borcunuz qalmışdır . Ödəniş etməyiniz xahiş olunur. Ödəniş kartı  *4098584464110962* . Hörmətlə  *AlumPro*</v>
      </c>
      <c r="N46" s="46"/>
    </row>
    <row r="47" spans="4:14" ht="17.25">
      <c r="D47" s="214" t="s">
        <v>602</v>
      </c>
      <c r="E47" s="247"/>
      <c r="F47" s="15">
        <f>COUNTIF(Sifarisler!$H$3:$H$10346,D47)</f>
        <v>1</v>
      </c>
      <c r="G47" s="248">
        <f>SUMIF(Sifarisler!$H$3:$H$10346,D47,Sifarisler!$AM$3:$AM$10346)</f>
        <v>89</v>
      </c>
      <c r="H47" s="248">
        <f>SUMIF(Sifarisler!$H$3:$H$10346,D47,Sifarisler!$AO$3:$AO$10346)</f>
        <v>90</v>
      </c>
      <c r="I47" s="249">
        <f>SUMIF(Sifarisler!$H$3:$H$10346,D47,Sifarisler!$AP$3:$AP$10346)</f>
        <v>-1</v>
      </c>
      <c r="J47" s="250" t="str">
        <f t="shared" si="0"/>
        <v>Mesaj</v>
      </c>
      <c r="K47" s="9" t="str">
        <f t="shared" si="1"/>
        <v>Camal</v>
      </c>
      <c r="L47" s="10" t="str">
        <f t="shared" ref="L47" si="80">LEFT(D47,FIND("*",SUBSTITUTE(D47," ","*",1)))</f>
        <v xml:space="preserve">Camal </v>
      </c>
      <c r="M47" s="251" t="str">
        <f>"Hörmətli *"&amp;K47&amp;"*  , göstərilən xidmətə görə *"&amp;I47&amp;" AZN* borcunuz qalmışdır . Ödəniş etməyiniz xahiş olunur. Ödəniş kartı  *"&amp;Məlumatlar!$O$3&amp;"* . Hörmətlə  *AlumPro*"</f>
        <v>Hörmətli *Camal*  , göstərilən xidmətə görə *-1 AZN* borcunuz qalmışdır . Ödəniş etməyiniz xahiş olunur. Ödəniş kartı  *4098584464110962* . Hörmətlə  *AlumPro*</v>
      </c>
      <c r="N47" s="46"/>
    </row>
    <row r="48" spans="4:14" ht="17.25">
      <c r="D48" s="214" t="s">
        <v>856</v>
      </c>
      <c r="E48" s="247"/>
      <c r="F48" s="15">
        <f>COUNTIF(Sifarisler!$H$3:$H$10346,D48)</f>
        <v>0</v>
      </c>
      <c r="G48" s="248">
        <f>SUMIF(Sifarisler!$H$3:$H$10346,D48,Sifarisler!$AM$3:$AM$10346)</f>
        <v>0</v>
      </c>
      <c r="H48" s="248">
        <f>SUMIF(Sifarisler!$H$3:$H$10346,D48,Sifarisler!$AO$3:$AO$10346)</f>
        <v>0</v>
      </c>
      <c r="I48" s="249">
        <f>SUMIF(Sifarisler!$H$3:$H$10346,D48,Sifarisler!$AP$3:$AP$10346)</f>
        <v>0</v>
      </c>
      <c r="J48" s="250" t="str">
        <f t="shared" si="0"/>
        <v>Mesaj</v>
      </c>
      <c r="K48" s="9" t="str">
        <f t="shared" si="1"/>
        <v>Ramin</v>
      </c>
      <c r="L48" s="10" t="str">
        <f t="shared" si="2"/>
        <v xml:space="preserve">Ramin </v>
      </c>
      <c r="M48" s="251" t="str">
        <f>"Hörmətli *"&amp;K48&amp;"*  , göstərilən xidmətə görə *"&amp;I48&amp;" AZN* borcunuz qalmışdır . Ödəniş etməyiniz xahiş olunur. Ödəniş kartı  *"&amp;Məlumatlar!$O$3&amp;"* . Hörmətlə  *AlumPro*"</f>
        <v>Hörmətli *Ramin*  , göstərilən xidmətə görə *0 AZN* borcunuz qalmışdır . Ödəniş etməyiniz xahiş olunur. Ödəniş kartı  *4098584464110962* . Hörmətlə  *AlumPro*</v>
      </c>
      <c r="N48" s="46"/>
    </row>
    <row r="49" spans="4:14" ht="17.25">
      <c r="D49" s="214" t="s">
        <v>677</v>
      </c>
      <c r="E49" s="247"/>
      <c r="F49" s="15">
        <f>COUNTIF(Sifarisler!$H$3:$H$10346,D49)</f>
        <v>1</v>
      </c>
      <c r="G49" s="248">
        <f>SUMIF(Sifarisler!$H$3:$H$10346,D49,Sifarisler!$AM$3:$AM$10346)</f>
        <v>421</v>
      </c>
      <c r="H49" s="248">
        <f>SUMIF(Sifarisler!$H$3:$H$10346,D49,Sifarisler!$AO$3:$AO$10346)</f>
        <v>421</v>
      </c>
      <c r="I49" s="249">
        <f>SUMIF(Sifarisler!$H$3:$H$10346,D49,Sifarisler!$AP$3:$AP$10346)</f>
        <v>0</v>
      </c>
      <c r="J49" s="250" t="str">
        <f t="shared" si="0"/>
        <v>Mesaj</v>
      </c>
      <c r="K49" s="9" t="str">
        <f t="shared" si="1"/>
        <v>Ilqar</v>
      </c>
      <c r="L49" s="10" t="str">
        <f t="shared" si="2"/>
        <v xml:space="preserve">Ilqar </v>
      </c>
      <c r="M49" s="251" t="str">
        <f>"Hörmətli *"&amp;K49&amp;"*  , göstərilən xidmətə görə *"&amp;I49&amp;" AZN* borcunuz qalmışdır . Ödəniş etməyiniz xahiş olunur. Ödəniş kartı  *"&amp;Məlumatlar!$O$3&amp;"* . Hörmətlə  *AlumPro*"</f>
        <v>Hörmətli *Ilqar*  , göstərilən xidmətə görə *0 AZN* borcunuz qalmışdır . Ödəniş etməyiniz xahiş olunur. Ödəniş kartı  *4098584464110962* . Hörmətlə  *AlumPro*</v>
      </c>
      <c r="N49" s="46"/>
    </row>
    <row r="50" spans="4:14" ht="17.25">
      <c r="D50" s="214" t="s">
        <v>499</v>
      </c>
      <c r="E50" s="247" t="s">
        <v>857</v>
      </c>
      <c r="F50" s="15">
        <f>COUNTIF(Sifarisler!$H$3:$H$10346,D50)</f>
        <v>2</v>
      </c>
      <c r="G50" s="248">
        <f>SUMIF(Sifarisler!$H$3:$H$10346,D50,Sifarisler!$AM$3:$AM$10346)</f>
        <v>752</v>
      </c>
      <c r="H50" s="248">
        <f>SUMIF(Sifarisler!$H$3:$H$10346,D50,Sifarisler!$AO$3:$AO$10346)</f>
        <v>752</v>
      </c>
      <c r="I50" s="249">
        <f>SUMIF(Sifarisler!$H$3:$H$10346,D50,Sifarisler!$AP$3:$AP$10346)</f>
        <v>0</v>
      </c>
      <c r="J50" s="250" t="str">
        <f t="shared" si="0"/>
        <v>Mesaj</v>
      </c>
      <c r="K50" s="9" t="str">
        <f t="shared" si="1"/>
        <v>Elsen</v>
      </c>
      <c r="L50" s="10" t="str">
        <f t="shared" si="2"/>
        <v xml:space="preserve">Elsen </v>
      </c>
      <c r="M50" s="251" t="str">
        <f>"Hörmətli *"&amp;K50&amp;"*  , göstərilən xidmətə görə *"&amp;I50&amp;" AZN* borcunuz qalmışdır . Ödəniş etməyiniz xahiş olunur. Ödəniş kartı  *"&amp;Məlumatlar!$O$3&amp;"* . Hörmətlə  *AlumPro*"</f>
        <v>Hörmətli *Elsen*  , göstərilən xidmətə görə *0 AZN* borcunuz qalmışdır . Ödəniş etməyiniz xahiş olunur. Ödəniş kartı  *4098584464110962* . Hörmətlə  *AlumPro*</v>
      </c>
      <c r="N50" s="46"/>
    </row>
    <row r="51" spans="4:14" ht="17.25">
      <c r="D51" s="214" t="s">
        <v>745</v>
      </c>
      <c r="E51" s="247"/>
      <c r="F51" s="15">
        <f>COUNTIF(Sifarisler!$H$3:$H$10346,D51)</f>
        <v>1</v>
      </c>
      <c r="G51" s="248">
        <f>SUMIF(Sifarisler!$H$3:$H$10346,D51,Sifarisler!$AM$3:$AM$10346)</f>
        <v>300</v>
      </c>
      <c r="H51" s="248">
        <f>SUMIF(Sifarisler!$H$3:$H$10346,D51,Sifarisler!$AO$3:$AO$10346)</f>
        <v>300</v>
      </c>
      <c r="I51" s="249">
        <f>SUMIF(Sifarisler!$H$3:$H$10346,D51,Sifarisler!$AP$3:$AP$10346)</f>
        <v>0</v>
      </c>
      <c r="J51" s="250" t="str">
        <f t="shared" si="0"/>
        <v>Mesaj</v>
      </c>
      <c r="K51" s="9" t="str">
        <f t="shared" si="1"/>
        <v>Mubariz</v>
      </c>
      <c r="L51" s="10" t="str">
        <f t="shared" si="2"/>
        <v xml:space="preserve">Mubariz </v>
      </c>
      <c r="M51" s="251" t="str">
        <f>"Hörmətli *"&amp;K51&amp;"*  , göstərilən xidmətə görə *"&amp;I51&amp;" AZN* borcunuz qalmışdır . Ödəniş etməyiniz xahiş olunur. Ödəniş kartı  *"&amp;Məlumatlar!$O$3&amp;"* . Hörmətlə  *AlumPro*"</f>
        <v>Hörmətli *Mubariz*  , göstərilən xidmətə görə *0 AZN* borcunuz qalmışdır . Ödəniş etməyiniz xahiş olunur. Ödəniş kartı  *4098584464110962* . Hörmətlə  *AlumPro*</v>
      </c>
      <c r="N51" s="46" t="s">
        <v>858</v>
      </c>
    </row>
    <row r="52" spans="4:14" ht="17.25">
      <c r="D52" s="214" t="s">
        <v>762</v>
      </c>
      <c r="E52" s="247"/>
      <c r="F52" s="15">
        <f>COUNTIF(Sifarisler!$H$3:$H$10346,D52)</f>
        <v>1</v>
      </c>
      <c r="G52" s="248">
        <f>SUMIF(Sifarisler!$H$3:$H$10346,D52,Sifarisler!$AM$3:$AM$10346)</f>
        <v>251</v>
      </c>
      <c r="H52" s="248">
        <f>SUMIF(Sifarisler!$H$3:$H$10346,D52,Sifarisler!$AO$3:$AO$10346)</f>
        <v>251</v>
      </c>
      <c r="I52" s="249">
        <f>SUMIF(Sifarisler!$H$3:$H$10346,D52,Sifarisler!$AP$3:$AP$10346)</f>
        <v>0</v>
      </c>
      <c r="J52" s="250" t="str">
        <f t="shared" si="0"/>
        <v>Mesaj</v>
      </c>
      <c r="K52" s="9" t="str">
        <f t="shared" si="1"/>
        <v>Nicat</v>
      </c>
      <c r="L52" s="10" t="str">
        <f t="shared" si="2"/>
        <v xml:space="preserve">Nicat </v>
      </c>
      <c r="M52" s="251" t="str">
        <f>"Hörmətli *"&amp;K52&amp;"*  , göstərilən xidmətə görə *"&amp;I52&amp;" AZN* borcunuz qalmışdır . Ödəniş etməyiniz xahiş olunur. Ödəniş kartı  *"&amp;Məlumatlar!$O$3&amp;"* . Hörmətlə  *AlumPro*"</f>
        <v>Hörmətli *Nicat*  , göstərilən xidmətə görə *0 AZN* borcunuz qalmışdır . Ödəniş etməyiniz xahiş olunur. Ödəniş kartı  *4098584464110962* . Hörmətlə  *AlumPro*</v>
      </c>
      <c r="N52" s="46"/>
    </row>
    <row r="53" spans="4:14" ht="17.25">
      <c r="D53" s="214" t="s">
        <v>859</v>
      </c>
      <c r="E53" s="247" t="s">
        <v>860</v>
      </c>
      <c r="F53" s="15">
        <f>COUNTIF(Sifarisler!$H$3:$H$10346,D53)</f>
        <v>0</v>
      </c>
      <c r="G53" s="248">
        <f>SUMIF(Sifarisler!$H$3:$H$10346,D53,Sifarisler!$AM$3:$AM$10346)</f>
        <v>0</v>
      </c>
      <c r="H53" s="248">
        <f>SUMIF(Sifarisler!$H$3:$H$10346,D53,Sifarisler!$AO$3:$AO$10346)</f>
        <v>0</v>
      </c>
      <c r="I53" s="249">
        <f>SUMIF(Sifarisler!$H$3:$H$10346,D53,Sifarisler!$AP$3:$AP$10346)</f>
        <v>0</v>
      </c>
      <c r="J53" s="250" t="str">
        <f t="shared" si="0"/>
        <v>Mesaj</v>
      </c>
      <c r="K53" s="9" t="str">
        <f t="shared" si="1"/>
        <v>Eli</v>
      </c>
      <c r="L53" s="10" t="str">
        <f t="shared" ref="L53:L116" si="81">LEFT(D53,FIND("*",SUBSTITUTE(D53," ","*",1)))</f>
        <v xml:space="preserve">Eli </v>
      </c>
      <c r="M53" s="251" t="str">
        <f>"Hörmətli *"&amp;K53&amp;"*  , göstərilən xidmətə görə *"&amp;I53&amp;" AZN* borcunuz qalmışdır . Ödəniş etməyiniz xahiş olunur. Ödəniş kartı  *"&amp;Məlumatlar!$O$3&amp;"* . Hörmətlə  *AlumPro*"</f>
        <v>Hörmətli *Eli*  , göstərilən xidmətə görə *0 AZN* borcunuz qalmışdır . Ödəniş etməyiniz xahiş olunur. Ödəniş kartı  *4098584464110962* . Hörmətlə  *AlumPro*</v>
      </c>
      <c r="N53" s="46"/>
    </row>
    <row r="54" spans="4:14" ht="17.25">
      <c r="D54" s="214" t="s">
        <v>242</v>
      </c>
      <c r="E54" s="247" t="s">
        <v>243</v>
      </c>
      <c r="F54" s="15">
        <f>COUNTIF(Sifarisler!$H$3:$H$10346,D54)</f>
        <v>11</v>
      </c>
      <c r="G54" s="248">
        <f>SUMIF(Sifarisler!$H$3:$H$10346,D54,Sifarisler!$AM$3:$AM$10346)</f>
        <v>4745</v>
      </c>
      <c r="H54" s="248">
        <f>SUMIF(Sifarisler!$H$3:$H$10346,D54,Sifarisler!$AO$3:$AO$10346)</f>
        <v>1500</v>
      </c>
      <c r="I54" s="249">
        <f>SUMIF(Sifarisler!$H$3:$H$10346,D54,Sifarisler!$AP$3:$AP$10346)</f>
        <v>3245</v>
      </c>
      <c r="J54" s="250" t="str">
        <f t="shared" si="0"/>
        <v>Mesaj</v>
      </c>
      <c r="K54" s="9" t="str">
        <f t="shared" si="1"/>
        <v>Mutfakci</v>
      </c>
      <c r="L54" s="10" t="str">
        <f t="shared" si="81"/>
        <v xml:space="preserve">Mutfakci </v>
      </c>
      <c r="M54" s="251" t="str">
        <f>"Hörmətli *"&amp;K54&amp;"*  , göstərilən xidmətə görə *"&amp;I54&amp;" AZN* borcunuz qalmışdır . Ödəniş etməyiniz xahiş olunur. Ödəniş kartı  *"&amp;Məlumatlar!$O$3&amp;"* . Hörmətlə  *AlumPro*"</f>
        <v>Hörmətli *Mutfakci*  , göstərilən xidmətə görə *3245 AZN* borcunuz qalmışdır . Ödəniş etməyiniz xahiş olunur. Ödəniş kartı  *4098584464110962* . Hörmətlə  *AlumPro*</v>
      </c>
      <c r="N54" s="46"/>
    </row>
    <row r="55" spans="4:14" ht="17.25">
      <c r="D55" s="214" t="s">
        <v>567</v>
      </c>
      <c r="E55" s="247" t="s">
        <v>568</v>
      </c>
      <c r="F55" s="15">
        <f>COUNTIF(Sifarisler!$H$3:$H$10346,D55)</f>
        <v>1</v>
      </c>
      <c r="G55" s="248">
        <f>SUMIF(Sifarisler!$H$3:$H$10346,D55,Sifarisler!$AM$3:$AM$10346)</f>
        <v>505</v>
      </c>
      <c r="H55" s="248">
        <f>SUMIF(Sifarisler!$H$3:$H$10346,D55,Sifarisler!$AO$3:$AO$10346)</f>
        <v>505</v>
      </c>
      <c r="I55" s="249">
        <f>SUMIF(Sifarisler!$H$3:$H$10346,D55,Sifarisler!$AP$3:$AP$10346)</f>
        <v>0</v>
      </c>
      <c r="J55" s="250" t="str">
        <f t="shared" si="0"/>
        <v>Mesaj</v>
      </c>
      <c r="K55" s="9" t="str">
        <f t="shared" si="1"/>
        <v>Qamma</v>
      </c>
      <c r="L55" s="10" t="str">
        <f t="shared" si="81"/>
        <v xml:space="preserve">Qamma </v>
      </c>
      <c r="M55" s="251" t="str">
        <f>"Hörmətli *"&amp;K55&amp;"*  , göstərilən xidmətə görə *"&amp;I55&amp;" AZN* borcunuz qalmışdır . Ödəniş etməyiniz xahiş olunur. Ödəniş kartı  *"&amp;Məlumatlar!$O$3&amp;"* . Hörmətlə  *AlumPro*"</f>
        <v>Hörmətli *Qamma*  , göstərilən xidmətə görə *0 AZN* borcunuz qalmışdır . Ödəniş etməyiniz xahiş olunur. Ödəniş kartı  *4098584464110962* . Hörmətlə  *AlumPro*</v>
      </c>
      <c r="N55" s="46"/>
    </row>
    <row r="56" spans="4:14" ht="17.25">
      <c r="D56" s="214" t="s">
        <v>123</v>
      </c>
      <c r="E56" s="247" t="s">
        <v>124</v>
      </c>
      <c r="F56" s="15">
        <f>COUNTIF(Sifarisler!$H$3:$H$10346,D56)</f>
        <v>7</v>
      </c>
      <c r="G56" s="248">
        <f>SUMIF(Sifarisler!$H$3:$H$10346,D56,Sifarisler!$AM$3:$AM$10346)</f>
        <v>11138</v>
      </c>
      <c r="H56" s="248">
        <f>SUMIF(Sifarisler!$H$3:$H$10346,D56,Sifarisler!$AO$3:$AO$10346)</f>
        <v>3168</v>
      </c>
      <c r="I56" s="249">
        <f>SUMIF(Sifarisler!$H$3:$H$10346,D56,Sifarisler!$AP$3:$AP$10346)</f>
        <v>7970</v>
      </c>
      <c r="J56" s="250" t="str">
        <f t="shared" si="0"/>
        <v>Mesaj</v>
      </c>
      <c r="K56" s="9" t="str">
        <f t="shared" ref="K56:K119" si="82">SUBSTITUTE(L56," ","")</f>
        <v>Lux</v>
      </c>
      <c r="L56" s="10" t="str">
        <f t="shared" si="81"/>
        <v xml:space="preserve">Lux </v>
      </c>
      <c r="M56" s="251" t="str">
        <f>"Hörmətli *"&amp;K56&amp;"*  , göstərilən xidmətə görə *"&amp;I56&amp;" AZN* borcunuz qalmışdır . Ödəniş etməyiniz xahiş olunur. Ödəniş kartı  *"&amp;Məlumatlar!$O$3&amp;"* . Hörmətlə  *AlumPro*"</f>
        <v>Hörmətli *Lux*  , göstərilən xidmətə görə *7970 AZN* borcunuz qalmışdır . Ödəniş etməyiniz xahiş olunur. Ödəniş kartı  *4098584464110962* . Hörmətlə  *AlumPro*</v>
      </c>
      <c r="N56" s="46"/>
    </row>
    <row r="57" spans="4:14" ht="17.25">
      <c r="D57" s="214" t="s">
        <v>158</v>
      </c>
      <c r="E57" s="247" t="s">
        <v>159</v>
      </c>
      <c r="F57" s="15">
        <f>COUNTIF(Sifarisler!$H$3:$H$10346,D57)</f>
        <v>21</v>
      </c>
      <c r="G57" s="248">
        <f>SUMIF(Sifarisler!$H$3:$H$10346,D57,Sifarisler!$AM$3:$AM$10346)</f>
        <v>15047</v>
      </c>
      <c r="H57" s="248">
        <f>SUMIF(Sifarisler!$H$3:$H$10346,D57,Sifarisler!$AO$3:$AO$10346)</f>
        <v>2000</v>
      </c>
      <c r="I57" s="249">
        <f>SUMIF(Sifarisler!$H$3:$H$10346,D57,Sifarisler!$AP$3:$AP$10346)</f>
        <v>13047</v>
      </c>
      <c r="J57" s="250" t="str">
        <f t="shared" si="0"/>
        <v>Mesaj</v>
      </c>
      <c r="K57" s="9" t="str">
        <f t="shared" si="82"/>
        <v>My</v>
      </c>
      <c r="L57" s="10" t="str">
        <f t="shared" si="81"/>
        <v xml:space="preserve">My </v>
      </c>
      <c r="M57" s="251" t="str">
        <f>"Hörmətli *"&amp;K57&amp;"*  , göstərilən xidmətə görə *"&amp;I57&amp;" AZN* borcunuz qalmışdır . Ödəniş etməyiniz xahiş olunur. Ödəniş kartı  *"&amp;Məlumatlar!$O$3&amp;"* . Hörmətlə  *AlumPro*"</f>
        <v>Hörmətli *My*  , göstərilən xidmətə görə *13047 AZN* borcunuz qalmışdır . Ödəniş etməyiniz xahiş olunur. Ödəniş kartı  *4098584464110962* . Hörmətlə  *AlumPro*</v>
      </c>
      <c r="N57" s="46"/>
    </row>
    <row r="58" spans="4:14" ht="17.25">
      <c r="D58" s="214" t="s">
        <v>201</v>
      </c>
      <c r="E58" s="247" t="s">
        <v>202</v>
      </c>
      <c r="F58" s="15">
        <f>COUNTIF(Sifarisler!$H$3:$H$10346,D58)</f>
        <v>8</v>
      </c>
      <c r="G58" s="248">
        <f>SUMIF(Sifarisler!$H$3:$H$10346,D58,Sifarisler!$AM$3:$AM$10346)</f>
        <v>4066</v>
      </c>
      <c r="H58" s="248">
        <f>SUMIF(Sifarisler!$H$3:$H$10346,D58,Sifarisler!$AO$3:$AO$10346)</f>
        <v>918</v>
      </c>
      <c r="I58" s="249">
        <f>SUMIF(Sifarisler!$H$3:$H$10346,D58,Sifarisler!$AP$3:$AP$10346)</f>
        <v>3139</v>
      </c>
      <c r="J58" s="250" t="str">
        <f t="shared" si="0"/>
        <v>Mesaj</v>
      </c>
      <c r="K58" s="9" t="str">
        <f t="shared" si="82"/>
        <v>Kandar</v>
      </c>
      <c r="L58" s="10" t="str">
        <f t="shared" si="81"/>
        <v xml:space="preserve">Kandar </v>
      </c>
      <c r="M58" s="251" t="str">
        <f>"Hörmətli *"&amp;K58&amp;"*  , göstərilən xidmətə görə *"&amp;I58&amp;" AZN* borcunuz qalmışdır . Ödəniş etməyiniz xahiş olunur. Ödəniş kartı  *"&amp;Məlumatlar!$O$3&amp;"* . Hörmətlə  *AlumPro*"</f>
        <v>Hörmətli *Kandar*  , göstərilən xidmətə görə *3139 AZN* borcunuz qalmışdır . Ödəniş etməyiniz xahiş olunur. Ödəniş kartı  *4098584464110962* . Hörmətlə  *AlumPro*</v>
      </c>
      <c r="N58" s="46"/>
    </row>
    <row r="59" spans="4:14" ht="17.25">
      <c r="D59" s="214" t="s">
        <v>861</v>
      </c>
      <c r="E59" s="247" t="s">
        <v>862</v>
      </c>
      <c r="F59" s="15">
        <f>COUNTIF(Sifarisler!$H$3:$H$10346,D59)</f>
        <v>0</v>
      </c>
      <c r="G59" s="248">
        <f>SUMIF(Sifarisler!$H$3:$H$10346,D59,Sifarisler!$AM$3:$AM$10346)</f>
        <v>0</v>
      </c>
      <c r="H59" s="248">
        <f>SUMIF(Sifarisler!$H$3:$H$10346,D59,Sifarisler!$AO$3:$AO$10346)</f>
        <v>0</v>
      </c>
      <c r="I59" s="249">
        <f>SUMIF(Sifarisler!$H$3:$H$10346,D59,Sifarisler!$AP$3:$AP$10346)</f>
        <v>0</v>
      </c>
      <c r="J59" s="250" t="str">
        <f t="shared" si="0"/>
        <v>Mesaj</v>
      </c>
      <c r="K59" s="9" t="str">
        <f t="shared" si="82"/>
        <v>Metin</v>
      </c>
      <c r="L59" s="10" t="str">
        <f t="shared" si="81"/>
        <v xml:space="preserve">Metin </v>
      </c>
      <c r="M59" s="251" t="str">
        <f>"Hörmətli *"&amp;K59&amp;"*  , göstərilən xidmətə görə *"&amp;I59&amp;" AZN* borcunuz qalmışdır . Ödəniş etməyiniz xahiş olunur. Ödəniş kartı  *"&amp;Məlumatlar!$O$3&amp;"* . Hörmətlə  *AlumPro*"</f>
        <v>Hörmətli *Metin*  , göstərilən xidmətə görə *0 AZN* borcunuz qalmışdır . Ödəniş etməyiniz xahiş olunur. Ödəniş kartı  *4098584464110962* . Hörmətlə  *AlumPro*</v>
      </c>
      <c r="N59" s="46"/>
    </row>
    <row r="60" spans="4:14" ht="17.25">
      <c r="D60" s="214" t="s">
        <v>863</v>
      </c>
      <c r="E60" s="247" t="s">
        <v>864</v>
      </c>
      <c r="F60" s="15">
        <f>COUNTIF(Sifarisler!$H$3:$H$10346,D60)</f>
        <v>0</v>
      </c>
      <c r="G60" s="248">
        <f>SUMIF(Sifarisler!$H$3:$H$10346,D60,Sifarisler!$AM$3:$AM$10346)</f>
        <v>0</v>
      </c>
      <c r="H60" s="248">
        <f>SUMIF(Sifarisler!$H$3:$H$10346,D60,Sifarisler!$AO$3:$AO$10346)</f>
        <v>0</v>
      </c>
      <c r="I60" s="249">
        <f>SUMIF(Sifarisler!$H$3:$H$10346,D60,Sifarisler!$AP$3:$AP$10346)</f>
        <v>0</v>
      </c>
      <c r="J60" s="250" t="str">
        <f t="shared" si="0"/>
        <v>Mesaj</v>
      </c>
      <c r="K60" s="9" t="str">
        <f t="shared" si="82"/>
        <v>Azer</v>
      </c>
      <c r="L60" s="10" t="str">
        <f t="shared" si="81"/>
        <v xml:space="preserve">Azer </v>
      </c>
      <c r="M60" s="251" t="str">
        <f>"Hörmətli *"&amp;K60&amp;"*  , göstərilən xidmətə görə *"&amp;I60&amp;" AZN* borcunuz qalmışdır . Ödəniş etməyiniz xahiş olunur. Ödəniş kartı  *"&amp;Məlumatlar!$O$3&amp;"* . Hörmətlə  *AlumPro*"</f>
        <v>Hörmətli *Azer*  , göstərilən xidmətə görə *0 AZN* borcunuz qalmışdır . Ödəniş etməyiniz xahiş olunur. Ödəniş kartı  *4098584464110962* . Hörmətlə  *AlumPro*</v>
      </c>
      <c r="N60" s="46"/>
    </row>
    <row r="61" spans="4:14" ht="17.25">
      <c r="D61" s="214" t="s">
        <v>865</v>
      </c>
      <c r="E61" s="247" t="s">
        <v>866</v>
      </c>
      <c r="F61" s="15">
        <f>COUNTIF(Sifarisler!$H$3:$H$10346,D61)</f>
        <v>0</v>
      </c>
      <c r="G61" s="248">
        <f>SUMIF(Sifarisler!$H$3:$H$10346,D61,Sifarisler!$AM$3:$AM$10346)</f>
        <v>0</v>
      </c>
      <c r="H61" s="248">
        <f>SUMIF(Sifarisler!$H$3:$H$10346,D61,Sifarisler!$AO$3:$AO$10346)</f>
        <v>0</v>
      </c>
      <c r="I61" s="249">
        <f>SUMIF(Sifarisler!$H$3:$H$10346,D61,Sifarisler!$AP$3:$AP$10346)</f>
        <v>0</v>
      </c>
      <c r="J61" s="250" t="str">
        <f t="shared" si="0"/>
        <v>Mesaj</v>
      </c>
      <c r="K61" s="9" t="str">
        <f t="shared" si="82"/>
        <v>Tural</v>
      </c>
      <c r="L61" s="10" t="str">
        <f t="shared" si="81"/>
        <v xml:space="preserve">Tural </v>
      </c>
      <c r="M61" s="251" t="str">
        <f>"Hörmətli *"&amp;K61&amp;"*  , göstərilən xidmətə görə *"&amp;I61&amp;" AZN* borcunuz qalmışdır . Ödəniş etməyiniz xahiş olunur. Ödəniş kartı  *"&amp;Məlumatlar!$O$3&amp;"* . Hörmətlə  *AlumPro*"</f>
        <v>Hörmətli *Tural*  , göstərilən xidmətə görə *0 AZN* borcunuz qalmışdır . Ödəniş etməyiniz xahiş olunur. Ödəniş kartı  *4098584464110962* . Hörmətlə  *AlumPro*</v>
      </c>
      <c r="N61" s="46"/>
    </row>
    <row r="62" spans="4:14" ht="17.25">
      <c r="D62" s="214" t="s">
        <v>867</v>
      </c>
      <c r="E62" s="247" t="s">
        <v>868</v>
      </c>
      <c r="F62" s="15">
        <f>COUNTIF(Sifarisler!$H$3:$H$10346,D62)</f>
        <v>0</v>
      </c>
      <c r="G62" s="248">
        <f>SUMIF(Sifarisler!$H$3:$H$10346,D62,Sifarisler!$AM$3:$AM$10346)</f>
        <v>0</v>
      </c>
      <c r="H62" s="248">
        <f>SUMIF(Sifarisler!$H$3:$H$10346,D62,Sifarisler!$AO$3:$AO$10346)</f>
        <v>0</v>
      </c>
      <c r="I62" s="249">
        <f>SUMIF(Sifarisler!$H$3:$H$10346,D62,Sifarisler!$AP$3:$AP$10346)</f>
        <v>0</v>
      </c>
      <c r="J62" s="250" t="str">
        <f t="shared" si="0"/>
        <v>Mesaj</v>
      </c>
      <c r="K62" s="9" t="str">
        <f t="shared" si="82"/>
        <v>Ferrux</v>
      </c>
      <c r="L62" s="10" t="str">
        <f t="shared" si="81"/>
        <v xml:space="preserve">Ferrux </v>
      </c>
      <c r="M62" s="251" t="str">
        <f>"Hörmətli *"&amp;K62&amp;"*  , göstərilən xidmətə görə *"&amp;I62&amp;" AZN* borcunuz qalmışdır . Ödəniş etməyiniz xahiş olunur. Ödəniş kartı  *"&amp;Məlumatlar!$O$3&amp;"* . Hörmətlə  *AlumPro*"</f>
        <v>Hörmətli *Ferrux*  , göstərilən xidmətə görə *0 AZN* borcunuz qalmışdır . Ödəniş etməyiniz xahiş olunur. Ödəniş kartı  *4098584464110962* . Hörmətlə  *AlumPro*</v>
      </c>
      <c r="N62" s="46"/>
    </row>
    <row r="63" spans="4:14" ht="17.25">
      <c r="D63" s="214" t="s">
        <v>869</v>
      </c>
      <c r="E63" s="247" t="s">
        <v>870</v>
      </c>
      <c r="F63" s="15">
        <f>COUNTIF(Sifarisler!$H$3:$H$10346,D63)</f>
        <v>0</v>
      </c>
      <c r="G63" s="248">
        <f>SUMIF(Sifarisler!$H$3:$H$10346,D63,Sifarisler!$AM$3:$AM$10346)</f>
        <v>0</v>
      </c>
      <c r="H63" s="248">
        <f>SUMIF(Sifarisler!$H$3:$H$10346,D63,Sifarisler!$AO$3:$AO$10346)</f>
        <v>0</v>
      </c>
      <c r="I63" s="249">
        <f>SUMIF(Sifarisler!$H$3:$H$10346,D63,Sifarisler!$AP$3:$AP$10346)</f>
        <v>0</v>
      </c>
      <c r="J63" s="250" t="str">
        <f t="shared" si="0"/>
        <v>Mesaj</v>
      </c>
      <c r="K63" s="9" t="str">
        <f t="shared" si="82"/>
        <v>Ehtiram</v>
      </c>
      <c r="L63" s="10" t="str">
        <f t="shared" si="81"/>
        <v xml:space="preserve">Ehtiram </v>
      </c>
      <c r="M63" s="251" t="str">
        <f>"Hörmətli *"&amp;K63&amp;"*  , göstərilən xidmətə görə *"&amp;I63&amp;" AZN* borcunuz qalmışdır . Ödəniş etməyiniz xahiş olunur. Ödəniş kartı  *"&amp;Məlumatlar!$O$3&amp;"* . Hörmətlə  *AlumPro*"</f>
        <v>Hörmətli *Ehtiram*  , göstərilən xidmətə görə *0 AZN* borcunuz qalmışdır . Ödəniş etməyiniz xahiş olunur. Ödəniş kartı  *4098584464110962* . Hörmətlə  *AlumPro*</v>
      </c>
      <c r="N63" s="46"/>
    </row>
    <row r="64" spans="4:14" ht="17.25">
      <c r="D64" s="214" t="s">
        <v>871</v>
      </c>
      <c r="E64" s="247" t="s">
        <v>872</v>
      </c>
      <c r="F64" s="15">
        <f>COUNTIF(Sifarisler!$H$3:$H$10346,D64)</f>
        <v>0</v>
      </c>
      <c r="G64" s="248">
        <f>SUMIF(Sifarisler!$H$3:$H$10346,D64,Sifarisler!$AM$3:$AM$10346)</f>
        <v>0</v>
      </c>
      <c r="H64" s="248">
        <f>SUMIF(Sifarisler!$H$3:$H$10346,D64,Sifarisler!$AO$3:$AO$10346)</f>
        <v>0</v>
      </c>
      <c r="I64" s="249">
        <f>SUMIF(Sifarisler!$H$3:$H$10346,D64,Sifarisler!$AP$3:$AP$10346)</f>
        <v>0</v>
      </c>
      <c r="J64" s="250" t="str">
        <f t="shared" si="0"/>
        <v>Mesaj</v>
      </c>
      <c r="K64" s="9" t="str">
        <f t="shared" si="82"/>
        <v>Amil</v>
      </c>
      <c r="L64" s="10" t="str">
        <f t="shared" si="81"/>
        <v xml:space="preserve">Amil </v>
      </c>
      <c r="M64" s="251" t="str">
        <f>"Hörmətli *"&amp;K64&amp;"*  , göstərilən xidmətə görə *"&amp;I64&amp;" AZN* borcunuz qalmışdır . Ödəniş etməyiniz xahiş olunur. Ödəniş kartı  *"&amp;Məlumatlar!$O$3&amp;"* . Hörmətlə  *AlumPro*"</f>
        <v>Hörmətli *Amil*  , göstərilən xidmətə görə *0 AZN* borcunuz qalmışdır . Ödəniş etməyiniz xahiş olunur. Ödəniş kartı  *4098584464110962* . Hörmətlə  *AlumPro*</v>
      </c>
      <c r="N64" s="46"/>
    </row>
    <row r="65" spans="4:14" ht="17.25">
      <c r="D65" s="214" t="s">
        <v>873</v>
      </c>
      <c r="E65" s="247" t="s">
        <v>874</v>
      </c>
      <c r="F65" s="15">
        <f>COUNTIF(Sifarisler!$H$3:$H$10346,D65)</f>
        <v>0</v>
      </c>
      <c r="G65" s="248">
        <f>SUMIF(Sifarisler!$H$3:$H$10346,D65,Sifarisler!$AM$3:$AM$10346)</f>
        <v>0</v>
      </c>
      <c r="H65" s="248">
        <f>SUMIF(Sifarisler!$H$3:$H$10346,D65,Sifarisler!$AO$3:$AO$10346)</f>
        <v>0</v>
      </c>
      <c r="I65" s="249">
        <f>SUMIF(Sifarisler!$H$3:$H$10346,D65,Sifarisler!$AP$3:$AP$10346)</f>
        <v>0</v>
      </c>
      <c r="J65" s="250" t="str">
        <f t="shared" si="0"/>
        <v>Mesaj</v>
      </c>
      <c r="K65" s="9" t="str">
        <f t="shared" si="82"/>
        <v>Zaur</v>
      </c>
      <c r="L65" s="10" t="str">
        <f t="shared" si="81"/>
        <v xml:space="preserve">Zaur </v>
      </c>
      <c r="M65" s="251" t="str">
        <f>"Hörmətli *"&amp;K65&amp;"*  , göstərilən xidmətə görə *"&amp;I65&amp;" AZN* borcunuz qalmışdır . Ödəniş etməyiniz xahiş olunur. Ödəniş kartı  *"&amp;Məlumatlar!$O$3&amp;"* . Hörmətlə  *AlumPro*"</f>
        <v>Hörmətli *Zaur*  , göstərilən xidmətə görə *0 AZN* borcunuz qalmışdır . Ödəniş etməyiniz xahiş olunur. Ödəniş kartı  *4098584464110962* . Hörmətlə  *AlumPro*</v>
      </c>
      <c r="N65" s="46"/>
    </row>
    <row r="66" spans="4:14" ht="17.25">
      <c r="D66" s="214" t="s">
        <v>221</v>
      </c>
      <c r="E66" s="247" t="s">
        <v>222</v>
      </c>
      <c r="F66" s="15">
        <f>COUNTIF(Sifarisler!$H$3:$H$10346,D66)</f>
        <v>2</v>
      </c>
      <c r="G66" s="248">
        <f>SUMIF(Sifarisler!$H$3:$H$10346,D66,Sifarisler!$AM$3:$AM$10346)</f>
        <v>825</v>
      </c>
      <c r="H66" s="248">
        <f>SUMIF(Sifarisler!$H$3:$H$10346,D66,Sifarisler!$AO$3:$AO$10346)</f>
        <v>525</v>
      </c>
      <c r="I66" s="249">
        <f>SUMIF(Sifarisler!$H$3:$H$10346,D66,Sifarisler!$AP$3:$AP$10346)</f>
        <v>300</v>
      </c>
      <c r="J66" s="250" t="str">
        <f t="shared" si="0"/>
        <v>Mesaj</v>
      </c>
      <c r="K66" s="9" t="str">
        <f t="shared" si="82"/>
        <v>Cesaret</v>
      </c>
      <c r="L66" s="10" t="str">
        <f t="shared" si="81"/>
        <v xml:space="preserve">Cesaret </v>
      </c>
      <c r="M66" s="251" t="str">
        <f>"Hörmətli *"&amp;K66&amp;"*  , göstərilən xidmətə görə *"&amp;I66&amp;" AZN* borcunuz qalmışdır . Ödəniş etməyiniz xahiş olunur. Ödəniş kartı  *"&amp;Məlumatlar!$O$3&amp;"* . Hörmətlə  *AlumPro*"</f>
        <v>Hörmətli *Cesaret*  , göstərilən xidmətə görə *300 AZN* borcunuz qalmışdır . Ödəniş etməyiniz xahiş olunur. Ödəniş kartı  *4098584464110962* . Hörmətlə  *AlumPro*</v>
      </c>
      <c r="N66" s="46"/>
    </row>
    <row r="67" spans="4:14" ht="17.25">
      <c r="D67" s="214" t="s">
        <v>875</v>
      </c>
      <c r="E67" s="247" t="s">
        <v>876</v>
      </c>
      <c r="F67" s="15">
        <f>COUNTIF(Sifarisler!$H$3:$H$10346,D67)</f>
        <v>0</v>
      </c>
      <c r="G67" s="248">
        <f>SUMIF(Sifarisler!$H$3:$H$10346,D67,Sifarisler!$AM$3:$AM$10346)</f>
        <v>0</v>
      </c>
      <c r="H67" s="248">
        <f>SUMIF(Sifarisler!$H$3:$H$10346,D67,Sifarisler!$AO$3:$AO$10346)</f>
        <v>0</v>
      </c>
      <c r="I67" s="249">
        <f>SUMIF(Sifarisler!$H$3:$H$10346,D67,Sifarisler!$AP$3:$AP$10346)</f>
        <v>0</v>
      </c>
      <c r="J67" s="250" t="str">
        <f t="shared" ref="J67:J130" si="83">HYPERLINK("https://web.whatsapp.com/send?phone="&amp;E67&amp;"&amp;text="&amp;M67,"Mesaj")</f>
        <v>Mesaj</v>
      </c>
      <c r="K67" s="9" t="str">
        <f t="shared" si="82"/>
        <v>Camaloglu</v>
      </c>
      <c r="L67" s="10" t="str">
        <f t="shared" si="81"/>
        <v xml:space="preserve">Camaloglu </v>
      </c>
      <c r="M67" s="251" t="str">
        <f>"Hörmətli *"&amp;K67&amp;"*  , göstərilən xidmətə görə *"&amp;I67&amp;" AZN* borcunuz qalmışdır . Ödəniş etməyiniz xahiş olunur. Ödəniş kartı  *"&amp;Məlumatlar!$O$3&amp;"* . Hörmətlə  *AlumPro*"</f>
        <v>Hörmətli *Camaloglu*  , göstərilən xidmətə görə *0 AZN* borcunuz qalmışdır . Ödəniş etməyiniz xahiş olunur. Ödəniş kartı  *4098584464110962* . Hörmətlə  *AlumPro*</v>
      </c>
      <c r="N67" s="46"/>
    </row>
    <row r="68" spans="4:14" ht="17.25">
      <c r="D68" s="214" t="s">
        <v>877</v>
      </c>
      <c r="E68" s="247" t="s">
        <v>878</v>
      </c>
      <c r="F68" s="15">
        <f>COUNTIF(Sifarisler!$H$3:$H$10346,D68)</f>
        <v>0</v>
      </c>
      <c r="G68" s="248">
        <f>SUMIF(Sifarisler!$H$3:$H$10346,D68,Sifarisler!$AM$3:$AM$10346)</f>
        <v>0</v>
      </c>
      <c r="H68" s="248">
        <f>SUMIF(Sifarisler!$H$3:$H$10346,D68,Sifarisler!$AO$3:$AO$10346)</f>
        <v>0</v>
      </c>
      <c r="I68" s="249">
        <f>SUMIF(Sifarisler!$H$3:$H$10346,D68,Sifarisler!$AP$3:$AP$10346)</f>
        <v>0</v>
      </c>
      <c r="J68" s="250" t="str">
        <f t="shared" si="83"/>
        <v>Mesaj</v>
      </c>
      <c r="K68" s="9" t="str">
        <f t="shared" si="82"/>
        <v>Behzad</v>
      </c>
      <c r="L68" s="10" t="str">
        <f t="shared" si="81"/>
        <v xml:space="preserve">Behzad </v>
      </c>
      <c r="M68" s="251" t="str">
        <f>"Hörmətli *"&amp;K68&amp;"*  , göstərilən xidmətə görə *"&amp;I68&amp;" AZN* borcunuz qalmışdır . Ödəniş etməyiniz xahiş olunur. Ödəniş kartı  *"&amp;Məlumatlar!$O$3&amp;"* . Hörmətlə  *AlumPro*"</f>
        <v>Hörmətli *Behzad*  , göstərilən xidmətə görə *0 AZN* borcunuz qalmışdır . Ödəniş etməyiniz xahiş olunur. Ödəniş kartı  *4098584464110962* . Hörmətlə  *AlumPro*</v>
      </c>
      <c r="N68" s="46"/>
    </row>
    <row r="69" spans="4:14" ht="17.25">
      <c r="D69" s="214" t="s">
        <v>879</v>
      </c>
      <c r="E69" s="247" t="s">
        <v>880</v>
      </c>
      <c r="F69" s="15">
        <f>COUNTIF(Sifarisler!$H$3:$H$10346,D69)</f>
        <v>0</v>
      </c>
      <c r="G69" s="248">
        <f>SUMIF(Sifarisler!$H$3:$H$10346,D69,Sifarisler!$AM$3:$AM$10346)</f>
        <v>0</v>
      </c>
      <c r="H69" s="248">
        <f>SUMIF(Sifarisler!$H$3:$H$10346,D69,Sifarisler!$AO$3:$AO$10346)</f>
        <v>0</v>
      </c>
      <c r="I69" s="249">
        <f>SUMIF(Sifarisler!$H$3:$H$10346,D69,Sifarisler!$AP$3:$AP$10346)</f>
        <v>0</v>
      </c>
      <c r="J69" s="250" t="str">
        <f t="shared" si="83"/>
        <v>Mesaj</v>
      </c>
      <c r="K69" s="9" t="str">
        <f t="shared" si="82"/>
        <v>Sukur</v>
      </c>
      <c r="L69" s="10" t="str">
        <f t="shared" si="81"/>
        <v xml:space="preserve">Sukur </v>
      </c>
      <c r="M69" s="251" t="str">
        <f>"Hörmətli *"&amp;K69&amp;"*  , göstərilən xidmətə görə *"&amp;I69&amp;" AZN* borcunuz qalmışdır . Ödəniş etməyiniz xahiş olunur. Ödəniş kartı  *"&amp;Məlumatlar!$O$3&amp;"* . Hörmətlə  *AlumPro*"</f>
        <v>Hörmətli *Sukur*  , göstərilən xidmətə görə *0 AZN* borcunuz qalmışdır . Ödəniş etməyiniz xahiş olunur. Ödəniş kartı  *4098584464110962* . Hörmətlə  *AlumPro*</v>
      </c>
      <c r="N69" s="46"/>
    </row>
    <row r="70" spans="4:14" ht="17.25">
      <c r="D70" s="214" t="s">
        <v>881</v>
      </c>
      <c r="E70" s="247" t="s">
        <v>882</v>
      </c>
      <c r="F70" s="15">
        <f>COUNTIF(Sifarisler!$H$3:$H$10346,D70)</f>
        <v>0</v>
      </c>
      <c r="G70" s="248">
        <f>SUMIF(Sifarisler!$H$3:$H$10346,D70,Sifarisler!$AM$3:$AM$10346)</f>
        <v>0</v>
      </c>
      <c r="H70" s="248">
        <f>SUMIF(Sifarisler!$H$3:$H$10346,D70,Sifarisler!$AO$3:$AO$10346)</f>
        <v>0</v>
      </c>
      <c r="I70" s="249">
        <f>SUMIF(Sifarisler!$H$3:$H$10346,D70,Sifarisler!$AP$3:$AP$10346)</f>
        <v>0</v>
      </c>
      <c r="J70" s="250" t="str">
        <f t="shared" si="83"/>
        <v>Mesaj</v>
      </c>
      <c r="K70" s="9" t="str">
        <f t="shared" si="82"/>
        <v>Soltan</v>
      </c>
      <c r="L70" s="10" t="str">
        <f t="shared" si="81"/>
        <v xml:space="preserve">Soltan </v>
      </c>
      <c r="M70" s="251" t="str">
        <f>"Hörmətli *"&amp;K70&amp;"*  , göstərilən xidmətə görə *"&amp;I70&amp;" AZN* borcunuz qalmışdır . Ödəniş etməyiniz xahiş olunur. Ödəniş kartı  *"&amp;Məlumatlar!$O$3&amp;"* . Hörmətlə  *AlumPro*"</f>
        <v>Hörmətli *Soltan*  , göstərilən xidmətə görə *0 AZN* borcunuz qalmışdır . Ödəniş etməyiniz xahiş olunur. Ödəniş kartı  *4098584464110962* . Hörmətlə  *AlumPro*</v>
      </c>
      <c r="N70" s="46"/>
    </row>
    <row r="71" spans="4:14" ht="17.25">
      <c r="D71" s="214" t="s">
        <v>883</v>
      </c>
      <c r="E71" s="247" t="s">
        <v>884</v>
      </c>
      <c r="F71" s="15">
        <f>COUNTIF(Sifarisler!$H$3:$H$10346,D71)</f>
        <v>0</v>
      </c>
      <c r="G71" s="248">
        <f>SUMIF(Sifarisler!$H$3:$H$10346,D71,Sifarisler!$AM$3:$AM$10346)</f>
        <v>0</v>
      </c>
      <c r="H71" s="248">
        <f>SUMIF(Sifarisler!$H$3:$H$10346,D71,Sifarisler!$AO$3:$AO$10346)</f>
        <v>0</v>
      </c>
      <c r="I71" s="249">
        <f>SUMIF(Sifarisler!$H$3:$H$10346,D71,Sifarisler!$AP$3:$AP$10346)</f>
        <v>0</v>
      </c>
      <c r="J71" s="250" t="str">
        <f t="shared" si="83"/>
        <v>Mesaj</v>
      </c>
      <c r="K71" s="9" t="str">
        <f t="shared" si="82"/>
        <v>Sahmurad</v>
      </c>
      <c r="L71" s="10" t="str">
        <f t="shared" si="81"/>
        <v xml:space="preserve">Sahmurad </v>
      </c>
      <c r="M71" s="251" t="str">
        <f>"Hörmətli *"&amp;K71&amp;"*  , göstərilən xidmətə görə *"&amp;I71&amp;" AZN* borcunuz qalmışdır . Ödəniş etməyiniz xahiş olunur. Ödəniş kartı  *"&amp;Məlumatlar!$O$3&amp;"* . Hörmətlə  *AlumPro*"</f>
        <v>Hörmətli *Sahmurad*  , göstərilən xidmətə görə *0 AZN* borcunuz qalmışdır . Ödəniş etməyiniz xahiş olunur. Ödəniş kartı  *4098584464110962* . Hörmətlə  *AlumPro*</v>
      </c>
      <c r="N71" s="46"/>
    </row>
    <row r="72" spans="4:14" ht="17.25">
      <c r="D72" s="214" t="s">
        <v>885</v>
      </c>
      <c r="E72" s="247" t="s">
        <v>886</v>
      </c>
      <c r="F72" s="15">
        <f>COUNTIF(Sifarisler!$H$3:$H$10346,D72)</f>
        <v>0</v>
      </c>
      <c r="G72" s="248">
        <f>SUMIF(Sifarisler!$H$3:$H$10346,D72,Sifarisler!$AM$3:$AM$10346)</f>
        <v>0</v>
      </c>
      <c r="H72" s="248">
        <f>SUMIF(Sifarisler!$H$3:$H$10346,D72,Sifarisler!$AO$3:$AO$10346)</f>
        <v>0</v>
      </c>
      <c r="I72" s="249">
        <f>SUMIF(Sifarisler!$H$3:$H$10346,D72,Sifarisler!$AP$3:$AP$10346)</f>
        <v>0</v>
      </c>
      <c r="J72" s="250" t="str">
        <f t="shared" si="83"/>
        <v>Mesaj</v>
      </c>
      <c r="K72" s="9" t="str">
        <f t="shared" si="82"/>
        <v>Musa</v>
      </c>
      <c r="L72" s="10" t="str">
        <f t="shared" si="81"/>
        <v xml:space="preserve">Musa </v>
      </c>
      <c r="M72" s="251" t="str">
        <f>"Hörmətli *"&amp;K72&amp;"*  , göstərilən xidmətə görə *"&amp;I72&amp;" AZN* borcunuz qalmışdır . Ödəniş etməyiniz xahiş olunur. Ödəniş kartı  *"&amp;Məlumatlar!$O$3&amp;"* . Hörmətlə  *AlumPro*"</f>
        <v>Hörmətli *Musa*  , göstərilən xidmətə görə *0 AZN* borcunuz qalmışdır . Ödəniş etməyiniz xahiş olunur. Ödəniş kartı  *4098584464110962* . Hörmətlə  *AlumPro*</v>
      </c>
      <c r="N72" s="46"/>
    </row>
    <row r="73" spans="4:14" ht="17.25">
      <c r="D73" s="214" t="s">
        <v>659</v>
      </c>
      <c r="E73" s="247" t="s">
        <v>660</v>
      </c>
      <c r="F73" s="15">
        <f>COUNTIF(Sifarisler!$H$3:$H$10346,D73)</f>
        <v>1</v>
      </c>
      <c r="G73" s="248">
        <f>SUMIF(Sifarisler!$H$3:$H$10346,D73,Sifarisler!$AM$3:$AM$10346)</f>
        <v>448</v>
      </c>
      <c r="H73" s="248">
        <f>SUMIF(Sifarisler!$H$3:$H$10346,D73,Sifarisler!$AO$3:$AO$10346)</f>
        <v>448</v>
      </c>
      <c r="I73" s="249">
        <f>SUMIF(Sifarisler!$H$3:$H$10346,D73,Sifarisler!$AP$3:$AP$10346)</f>
        <v>0</v>
      </c>
      <c r="J73" s="250" t="str">
        <f t="shared" si="83"/>
        <v>Mesaj</v>
      </c>
      <c r="K73" s="9" t="str">
        <f t="shared" si="82"/>
        <v>Tural</v>
      </c>
      <c r="L73" s="10" t="str">
        <f t="shared" si="81"/>
        <v xml:space="preserve">Tural </v>
      </c>
      <c r="M73" s="251" t="str">
        <f>"Hörmətli *"&amp;K73&amp;"*  , göstərilən xidmətə görə *"&amp;I73&amp;" AZN* borcunuz qalmışdır . Ödəniş etməyiniz xahiş olunur. Ödəniş kartı  *"&amp;Məlumatlar!$O$3&amp;"* . Hörmətlə  *AlumPro*"</f>
        <v>Hörmətli *Tural*  , göstərilən xidmətə görə *0 AZN* borcunuz qalmışdır . Ödəniş etməyiniz xahiş olunur. Ödəniş kartı  *4098584464110962* . Hörmətlə  *AlumPro*</v>
      </c>
      <c r="N73" s="46"/>
    </row>
    <row r="74" spans="4:14" ht="17.25">
      <c r="D74" s="214" t="s">
        <v>887</v>
      </c>
      <c r="E74" s="247" t="s">
        <v>888</v>
      </c>
      <c r="F74" s="15">
        <f>COUNTIF(Sifarisler!$H$3:$H$10346,D74)</f>
        <v>0</v>
      </c>
      <c r="G74" s="248">
        <f>SUMIF(Sifarisler!$H$3:$H$10346,D74,Sifarisler!$AM$3:$AM$10346)</f>
        <v>0</v>
      </c>
      <c r="H74" s="248">
        <f>SUMIF(Sifarisler!$H$3:$H$10346,D74,Sifarisler!$AO$3:$AO$10346)</f>
        <v>0</v>
      </c>
      <c r="I74" s="249">
        <f>SUMIF(Sifarisler!$H$3:$H$10346,D74,Sifarisler!$AP$3:$AP$10346)</f>
        <v>0</v>
      </c>
      <c r="J74" s="250" t="str">
        <f t="shared" si="83"/>
        <v>Mesaj</v>
      </c>
      <c r="K74" s="9" t="str">
        <f t="shared" si="82"/>
        <v>Centur</v>
      </c>
      <c r="L74" s="10" t="str">
        <f t="shared" si="81"/>
        <v xml:space="preserve">Centur </v>
      </c>
      <c r="M74" s="251" t="str">
        <f>"Hörmətli *"&amp;K74&amp;"*  , göstərilən xidmətə görə *"&amp;I74&amp;" AZN* borcunuz qalmışdır . Ödəniş etməyiniz xahiş olunur. Ödəniş kartı  *"&amp;Məlumatlar!$O$3&amp;"* . Hörmətlə  *AlumPro*"</f>
        <v>Hörmətli *Centur*  , göstərilən xidmətə görə *0 AZN* borcunuz qalmışdır . Ödəniş etməyiniz xahiş olunur. Ödəniş kartı  *4098584464110962* . Hörmətlə  *AlumPro*</v>
      </c>
      <c r="N74" s="46"/>
    </row>
    <row r="75" spans="4:14" ht="17.25">
      <c r="D75" s="214" t="s">
        <v>889</v>
      </c>
      <c r="E75" s="247" t="s">
        <v>890</v>
      </c>
      <c r="F75" s="15">
        <f>COUNTIF(Sifarisler!$H$3:$H$10346,D75)</f>
        <v>0</v>
      </c>
      <c r="G75" s="248">
        <f>SUMIF(Sifarisler!$H$3:$H$10346,D75,Sifarisler!$AM$3:$AM$10346)</f>
        <v>0</v>
      </c>
      <c r="H75" s="248">
        <f>SUMIF(Sifarisler!$H$3:$H$10346,D75,Sifarisler!$AO$3:$AO$10346)</f>
        <v>0</v>
      </c>
      <c r="I75" s="249">
        <f>SUMIF(Sifarisler!$H$3:$H$10346,D75,Sifarisler!$AP$3:$AP$10346)</f>
        <v>0</v>
      </c>
      <c r="J75" s="250" t="str">
        <f t="shared" si="83"/>
        <v>Mesaj</v>
      </c>
      <c r="K75" s="9" t="str">
        <f t="shared" si="82"/>
        <v>Aga</v>
      </c>
      <c r="L75" s="10" t="str">
        <f t="shared" si="81"/>
        <v xml:space="preserve">Aga </v>
      </c>
      <c r="M75" s="251" t="str">
        <f>"Hörmətli *"&amp;K75&amp;"*  , göstərilən xidmətə görə *"&amp;I75&amp;" AZN* borcunuz qalmışdır . Ödəniş etməyiniz xahiş olunur. Ödəniş kartı  *"&amp;Məlumatlar!$O$3&amp;"* . Hörmətlə  *AlumPro*"</f>
        <v>Hörmətli *Aga*  , göstərilən xidmətə görə *0 AZN* borcunuz qalmışdır . Ödəniş etməyiniz xahiş olunur. Ödəniş kartı  *4098584464110962* . Hörmətlə  *AlumPro*</v>
      </c>
      <c r="N75" s="46"/>
    </row>
    <row r="76" spans="4:14" ht="17.25">
      <c r="D76" s="214" t="s">
        <v>520</v>
      </c>
      <c r="E76" s="247" t="s">
        <v>521</v>
      </c>
      <c r="F76" s="15">
        <f>COUNTIF(Sifarisler!$H$3:$H$10346,D76)</f>
        <v>1</v>
      </c>
      <c r="G76" s="248">
        <f>SUMIF(Sifarisler!$H$3:$H$10346,D76,Sifarisler!$AM$3:$AM$10346)</f>
        <v>245</v>
      </c>
      <c r="H76" s="248">
        <f>SUMIF(Sifarisler!$H$3:$H$10346,D76,Sifarisler!$AO$3:$AO$10346)</f>
        <v>245</v>
      </c>
      <c r="I76" s="249">
        <f>SUMIF(Sifarisler!$H$3:$H$10346,D76,Sifarisler!$AP$3:$AP$10346)</f>
        <v>0</v>
      </c>
      <c r="J76" s="250" t="str">
        <f t="shared" si="83"/>
        <v>Mesaj</v>
      </c>
      <c r="K76" s="9" t="str">
        <f t="shared" si="82"/>
        <v>Aksin</v>
      </c>
      <c r="L76" s="10" t="str">
        <f t="shared" si="81"/>
        <v xml:space="preserve">Aksin </v>
      </c>
      <c r="M76" s="251" t="str">
        <f>"Hörmətli *"&amp;K76&amp;"*  , göstərilən xidmətə görə *"&amp;I76&amp;" AZN* borcunuz qalmışdır . Ödəniş etməyiniz xahiş olunur. Ödəniş kartı  *"&amp;Məlumatlar!$O$3&amp;"* . Hörmətlə  *AlumPro*"</f>
        <v>Hörmətli *Aksin*  , göstərilən xidmətə görə *0 AZN* borcunuz qalmışdır . Ödəniş etməyiniz xahiş olunur. Ödəniş kartı  *4098584464110962* . Hörmətlə  *AlumPro*</v>
      </c>
      <c r="N76" s="46"/>
    </row>
    <row r="77" spans="4:14" ht="17.25">
      <c r="D77" s="214" t="s">
        <v>891</v>
      </c>
      <c r="E77" s="247" t="s">
        <v>892</v>
      </c>
      <c r="F77" s="15">
        <f>COUNTIF(Sifarisler!$H$3:$H$10346,D77)</f>
        <v>0</v>
      </c>
      <c r="G77" s="248">
        <f>SUMIF(Sifarisler!$H$3:$H$10346,D77,Sifarisler!$AM$3:$AM$10346)</f>
        <v>0</v>
      </c>
      <c r="H77" s="248">
        <f>SUMIF(Sifarisler!$H$3:$H$10346,D77,Sifarisler!$AO$3:$AO$10346)</f>
        <v>0</v>
      </c>
      <c r="I77" s="249">
        <f>SUMIF(Sifarisler!$H$3:$H$10346,D77,Sifarisler!$AP$3:$AP$10346)</f>
        <v>0</v>
      </c>
      <c r="J77" s="250" t="str">
        <f t="shared" si="83"/>
        <v>Mesaj</v>
      </c>
      <c r="K77" s="9" t="str">
        <f t="shared" si="82"/>
        <v>Ramil</v>
      </c>
      <c r="L77" s="10" t="str">
        <f t="shared" si="81"/>
        <v xml:space="preserve">Ramil </v>
      </c>
      <c r="M77" s="251" t="str">
        <f>"Hörmətli *"&amp;K77&amp;"*  , göstərilən xidmətə görə *"&amp;I77&amp;" AZN* borcunuz qalmışdır . Ödəniş etməyiniz xahiş olunur. Ödəniş kartı  *"&amp;Məlumatlar!$O$3&amp;"* . Hörmətlə  *AlumPro*"</f>
        <v>Hörmətli *Ramil*  , göstərilən xidmətə görə *0 AZN* borcunuz qalmışdır . Ödəniş etməyiniz xahiş olunur. Ödəniş kartı  *4098584464110962* . Hörmətlə  *AlumPro*</v>
      </c>
      <c r="N77" s="46"/>
    </row>
    <row r="78" spans="4:14" ht="17.25">
      <c r="D78" s="214" t="s">
        <v>893</v>
      </c>
      <c r="E78" s="247" t="s">
        <v>894</v>
      </c>
      <c r="F78" s="15">
        <f>COUNTIF(Sifarisler!$H$3:$H$10346,D78)</f>
        <v>0</v>
      </c>
      <c r="G78" s="248">
        <f>SUMIF(Sifarisler!$H$3:$H$10346,D78,Sifarisler!$AM$3:$AM$10346)</f>
        <v>0</v>
      </c>
      <c r="H78" s="248">
        <f>SUMIF(Sifarisler!$H$3:$H$10346,D78,Sifarisler!$AO$3:$AO$10346)</f>
        <v>0</v>
      </c>
      <c r="I78" s="249">
        <f>SUMIF(Sifarisler!$H$3:$H$10346,D78,Sifarisler!$AP$3:$AP$10346)</f>
        <v>0</v>
      </c>
      <c r="J78" s="250" t="str">
        <f t="shared" si="83"/>
        <v>Mesaj</v>
      </c>
      <c r="K78" s="9" t="str">
        <f t="shared" si="82"/>
        <v>Vidadi</v>
      </c>
      <c r="L78" s="10" t="str">
        <f t="shared" si="81"/>
        <v xml:space="preserve">Vidadi </v>
      </c>
      <c r="M78" s="251" t="str">
        <f>"Hörmətli *"&amp;K78&amp;"*  , göstərilən xidmətə görə *"&amp;I78&amp;" AZN* borcunuz qalmışdır . Ödəniş etməyiniz xahiş olunur. Ödəniş kartı  *"&amp;Məlumatlar!$O$3&amp;"* . Hörmətlə  *AlumPro*"</f>
        <v>Hörmətli *Vidadi*  , göstərilən xidmətə görə *0 AZN* borcunuz qalmışdır . Ödəniş etməyiniz xahiş olunur. Ödəniş kartı  *4098584464110962* . Hörmətlə  *AlumPro*</v>
      </c>
      <c r="N78" s="46"/>
    </row>
    <row r="79" spans="4:14" ht="17.25">
      <c r="D79" s="214" t="s">
        <v>468</v>
      </c>
      <c r="E79" s="247" t="s">
        <v>469</v>
      </c>
      <c r="F79" s="15">
        <f>COUNTIF(Sifarisler!$H$3:$H$10346,D79)</f>
        <v>4</v>
      </c>
      <c r="G79" s="248">
        <f>SUMIF(Sifarisler!$H$3:$H$10346,D79,Sifarisler!$AM$3:$AM$10346)</f>
        <v>1999</v>
      </c>
      <c r="H79" s="248">
        <f>SUMIF(Sifarisler!$H$3:$H$10346,D79,Sifarisler!$AO$3:$AO$10346)</f>
        <v>0</v>
      </c>
      <c r="I79" s="249">
        <f>SUMIF(Sifarisler!$H$3:$H$10346,D79,Sifarisler!$AP$3:$AP$10346)</f>
        <v>1999</v>
      </c>
      <c r="J79" s="250" t="str">
        <f t="shared" si="83"/>
        <v>Mesaj</v>
      </c>
      <c r="K79" s="9" t="str">
        <f t="shared" si="82"/>
        <v>Royal</v>
      </c>
      <c r="L79" s="10" t="str">
        <f t="shared" si="81"/>
        <v xml:space="preserve">Royal </v>
      </c>
      <c r="M79" s="251" t="str">
        <f>"Hörmətli *"&amp;K79&amp;"*  , göstərilən xidmətə görə *"&amp;I79&amp;" AZN* borcunuz qalmışdır . Ödəniş etməyiniz xahiş olunur. Ödəniş kartı  *"&amp;Məlumatlar!$O$3&amp;"* . Hörmətlə  *AlumPro*"</f>
        <v>Hörmətli *Royal*  , göstərilən xidmətə görə *1999 AZN* borcunuz qalmışdır . Ödəniş etməyiniz xahiş olunur. Ödəniş kartı  *4098584464110962* . Hörmətlə  *AlumPro*</v>
      </c>
      <c r="N79" s="46"/>
    </row>
    <row r="80" spans="4:14" ht="17.25">
      <c r="D80" s="214" t="s">
        <v>895</v>
      </c>
      <c r="E80" s="247" t="s">
        <v>896</v>
      </c>
      <c r="F80" s="15">
        <f>COUNTIF(Sifarisler!$H$3:$H$10346,D80)</f>
        <v>0</v>
      </c>
      <c r="G80" s="248">
        <f>SUMIF(Sifarisler!$H$3:$H$10346,D80,Sifarisler!$AM$3:$AM$10346)</f>
        <v>0</v>
      </c>
      <c r="H80" s="248">
        <f>SUMIF(Sifarisler!$H$3:$H$10346,D80,Sifarisler!$AO$3:$AO$10346)</f>
        <v>0</v>
      </c>
      <c r="I80" s="249">
        <f>SUMIF(Sifarisler!$H$3:$H$10346,D80,Sifarisler!$AP$3:$AP$10346)</f>
        <v>0</v>
      </c>
      <c r="J80" s="250" t="str">
        <f t="shared" si="83"/>
        <v>Mesaj</v>
      </c>
      <c r="K80" s="9" t="str">
        <f t="shared" si="82"/>
        <v>Nurlan</v>
      </c>
      <c r="L80" s="10" t="str">
        <f t="shared" si="81"/>
        <v xml:space="preserve">Nurlan </v>
      </c>
      <c r="M80" s="251" t="str">
        <f>"Hörmətli *"&amp;K80&amp;"*  , göstərilən xidmətə görə *"&amp;I80&amp;" AZN* borcunuz qalmışdır . Ödəniş etməyiniz xahiş olunur. Ödəniş kartı  *"&amp;Məlumatlar!$O$3&amp;"* . Hörmətlə  *AlumPro*"</f>
        <v>Hörmətli *Nurlan*  , göstərilən xidmətə görə *0 AZN* borcunuz qalmışdır . Ödəniş etməyiniz xahiş olunur. Ödəniş kartı  *4098584464110962* . Hörmətlə  *AlumPro*</v>
      </c>
      <c r="N80" s="46"/>
    </row>
    <row r="81" spans="4:14" ht="17.25">
      <c r="D81" s="214" t="s">
        <v>897</v>
      </c>
      <c r="E81" s="247" t="s">
        <v>898</v>
      </c>
      <c r="F81" s="15">
        <f>COUNTIF(Sifarisler!$H$3:$H$10346,D81)</f>
        <v>0</v>
      </c>
      <c r="G81" s="248">
        <f>SUMIF(Sifarisler!$H$3:$H$10346,D81,Sifarisler!$AM$3:$AM$10346)</f>
        <v>0</v>
      </c>
      <c r="H81" s="248">
        <f>SUMIF(Sifarisler!$H$3:$H$10346,D81,Sifarisler!$AO$3:$AO$10346)</f>
        <v>0</v>
      </c>
      <c r="I81" s="249">
        <f>SUMIF(Sifarisler!$H$3:$H$10346,D81,Sifarisler!$AP$3:$AP$10346)</f>
        <v>0</v>
      </c>
      <c r="J81" s="250" t="str">
        <f t="shared" si="83"/>
        <v>Mesaj</v>
      </c>
      <c r="K81" s="9" t="str">
        <f t="shared" si="82"/>
        <v>Ramiz</v>
      </c>
      <c r="L81" s="10" t="str">
        <f t="shared" si="81"/>
        <v xml:space="preserve">Ramiz </v>
      </c>
      <c r="M81" s="251" t="str">
        <f>"Hörmətli *"&amp;K81&amp;"*  , göstərilən xidmətə görə *"&amp;I81&amp;" AZN* borcunuz qalmışdır . Ödəniş etməyiniz xahiş olunur. Ödəniş kartı  *"&amp;Məlumatlar!$O$3&amp;"* . Hörmətlə  *AlumPro*"</f>
        <v>Hörmətli *Ramiz*  , göstərilən xidmətə görə *0 AZN* borcunuz qalmışdır . Ödəniş etməyiniz xahiş olunur. Ödəniş kartı  *4098584464110962* . Hörmətlə  *AlumPro*</v>
      </c>
      <c r="N81" s="46"/>
    </row>
    <row r="82" spans="4:14" ht="17.25">
      <c r="D82" s="214" t="s">
        <v>899</v>
      </c>
      <c r="E82" s="247" t="s">
        <v>900</v>
      </c>
      <c r="F82" s="15">
        <f>COUNTIF(Sifarisler!$H$3:$H$10346,D82)</f>
        <v>0</v>
      </c>
      <c r="G82" s="248">
        <f>SUMIF(Sifarisler!$H$3:$H$10346,D82,Sifarisler!$AM$3:$AM$10346)</f>
        <v>0</v>
      </c>
      <c r="H82" s="248">
        <f>SUMIF(Sifarisler!$H$3:$H$10346,D82,Sifarisler!$AO$3:$AO$10346)</f>
        <v>0</v>
      </c>
      <c r="I82" s="249">
        <f>SUMIF(Sifarisler!$H$3:$H$10346,D82,Sifarisler!$AP$3:$AP$10346)</f>
        <v>0</v>
      </c>
      <c r="J82" s="250" t="str">
        <f t="shared" si="83"/>
        <v>Mesaj</v>
      </c>
      <c r="K82" s="9" t="str">
        <f t="shared" si="82"/>
        <v>Vuqar</v>
      </c>
      <c r="L82" s="10" t="str">
        <f t="shared" si="81"/>
        <v xml:space="preserve">Vuqar </v>
      </c>
      <c r="M82" s="251" t="str">
        <f>"Hörmətli *"&amp;K82&amp;"*  , göstərilən xidmətə görə *"&amp;I82&amp;" AZN* borcunuz qalmışdır . Ödəniş etməyiniz xahiş olunur. Ödəniş kartı  *"&amp;Məlumatlar!$O$3&amp;"* . Hörmətlə  *AlumPro*"</f>
        <v>Hörmətli *Vuqar*  , göstərilən xidmətə görə *0 AZN* borcunuz qalmışdır . Ödəniş etməyiniz xahiş olunur. Ödəniş kartı  *4098584464110962* . Hörmətlə  *AlumPro*</v>
      </c>
      <c r="N82" s="46"/>
    </row>
    <row r="83" spans="4:14" ht="17.25">
      <c r="D83" s="214" t="s">
        <v>901</v>
      </c>
      <c r="E83" s="247" t="s">
        <v>902</v>
      </c>
      <c r="F83" s="15">
        <f>COUNTIF(Sifarisler!$H$3:$H$10346,D83)</f>
        <v>0</v>
      </c>
      <c r="G83" s="248">
        <f>SUMIF(Sifarisler!$H$3:$H$10346,D83,Sifarisler!$AM$3:$AM$10346)</f>
        <v>0</v>
      </c>
      <c r="H83" s="248">
        <f>SUMIF(Sifarisler!$H$3:$H$10346,D83,Sifarisler!$AO$3:$AO$10346)</f>
        <v>0</v>
      </c>
      <c r="I83" s="249">
        <f>SUMIF(Sifarisler!$H$3:$H$10346,D83,Sifarisler!$AP$3:$AP$10346)</f>
        <v>0</v>
      </c>
      <c r="J83" s="250" t="str">
        <f t="shared" si="83"/>
        <v>Mesaj</v>
      </c>
      <c r="K83" s="9" t="str">
        <f t="shared" si="82"/>
        <v>Elmir</v>
      </c>
      <c r="L83" s="10" t="str">
        <f t="shared" si="81"/>
        <v xml:space="preserve">Elmir </v>
      </c>
      <c r="M83" s="251" t="str">
        <f>"Hörmətli *"&amp;K83&amp;"*  , göstərilən xidmətə görə *"&amp;I83&amp;" AZN* borcunuz qalmışdır . Ödəniş etməyiniz xahiş olunur. Ödəniş kartı  *"&amp;Məlumatlar!$O$3&amp;"* . Hörmətlə  *AlumPro*"</f>
        <v>Hörmətli *Elmir*  , göstərilən xidmətə görə *0 AZN* borcunuz qalmışdır . Ödəniş etməyiniz xahiş olunur. Ödəniş kartı  *4098584464110962* . Hörmətlə  *AlumPro*</v>
      </c>
      <c r="N83" s="46"/>
    </row>
    <row r="84" spans="4:14" ht="17.25">
      <c r="D84" s="214" t="s">
        <v>903</v>
      </c>
      <c r="E84" s="247" t="s">
        <v>904</v>
      </c>
      <c r="F84" s="15">
        <f>COUNTIF(Sifarisler!$H$3:$H$10346,D84)</f>
        <v>0</v>
      </c>
      <c r="G84" s="248">
        <f>SUMIF(Sifarisler!$H$3:$H$10346,D84,Sifarisler!$AM$3:$AM$10346)</f>
        <v>0</v>
      </c>
      <c r="H84" s="248">
        <f>SUMIF(Sifarisler!$H$3:$H$10346,D84,Sifarisler!$AO$3:$AO$10346)</f>
        <v>0</v>
      </c>
      <c r="I84" s="249">
        <f>SUMIF(Sifarisler!$H$3:$H$10346,D84,Sifarisler!$AP$3:$AP$10346)</f>
        <v>0</v>
      </c>
      <c r="J84" s="250" t="str">
        <f t="shared" si="83"/>
        <v>Mesaj</v>
      </c>
      <c r="K84" s="9" t="str">
        <f t="shared" si="82"/>
        <v>Faiq</v>
      </c>
      <c r="L84" s="10" t="str">
        <f t="shared" si="81"/>
        <v xml:space="preserve">Faiq </v>
      </c>
      <c r="M84" s="251" t="str">
        <f>"Hörmətli *"&amp;K84&amp;"*  , göstərilən xidmətə görə *"&amp;I84&amp;" AZN* borcunuz qalmışdır . Ödəniş etməyiniz xahiş olunur. Ödəniş kartı  *"&amp;Məlumatlar!$O$3&amp;"* . Hörmətlə  *AlumPro*"</f>
        <v>Hörmətli *Faiq*  , göstərilən xidmətə görə *0 AZN* borcunuz qalmışdır . Ödəniş etməyiniz xahiş olunur. Ödəniş kartı  *4098584464110962* . Hörmətlə  *AlumPro*</v>
      </c>
      <c r="N84" s="46"/>
    </row>
    <row r="85" spans="4:14" ht="17.25">
      <c r="D85" s="214" t="s">
        <v>905</v>
      </c>
      <c r="E85" s="247" t="s">
        <v>906</v>
      </c>
      <c r="F85" s="15">
        <f>COUNTIF(Sifarisler!$H$3:$H$10346,D85)</f>
        <v>0</v>
      </c>
      <c r="G85" s="248">
        <f>SUMIF(Sifarisler!$H$3:$H$10346,D85,Sifarisler!$AM$3:$AM$10346)</f>
        <v>0</v>
      </c>
      <c r="H85" s="248">
        <f>SUMIF(Sifarisler!$H$3:$H$10346,D85,Sifarisler!$AO$3:$AO$10346)</f>
        <v>0</v>
      </c>
      <c r="I85" s="249">
        <f>SUMIF(Sifarisler!$H$3:$H$10346,D85,Sifarisler!$AP$3:$AP$10346)</f>
        <v>0</v>
      </c>
      <c r="J85" s="250" t="str">
        <f t="shared" si="83"/>
        <v>Mesaj</v>
      </c>
      <c r="K85" s="9" t="str">
        <f t="shared" si="82"/>
        <v>Ismail</v>
      </c>
      <c r="L85" s="10" t="str">
        <f t="shared" si="81"/>
        <v xml:space="preserve">Ismail </v>
      </c>
      <c r="M85" s="251" t="str">
        <f>"Hörmətli *"&amp;K85&amp;"*  , göstərilən xidmətə görə *"&amp;I85&amp;" AZN* borcunuz qalmışdır . Ödəniş etməyiniz xahiş olunur. Ödəniş kartı  *"&amp;Məlumatlar!$O$3&amp;"* . Hörmətlə  *AlumPro*"</f>
        <v>Hörmətli *Ismail*  , göstərilən xidmətə görə *0 AZN* borcunuz qalmışdır . Ödəniş etməyiniz xahiş olunur. Ödəniş kartı  *4098584464110962* . Hörmətlə  *AlumPro*</v>
      </c>
      <c r="N85" s="46"/>
    </row>
    <row r="86" spans="4:14" ht="17.25">
      <c r="D86" s="214" t="s">
        <v>364</v>
      </c>
      <c r="E86" s="247" t="s">
        <v>365</v>
      </c>
      <c r="F86" s="15">
        <f>COUNTIF(Sifarisler!$H$3:$H$10346,D86)</f>
        <v>2</v>
      </c>
      <c r="G86" s="248">
        <f>SUMIF(Sifarisler!$H$3:$H$10346,D86,Sifarisler!$AM$3:$AM$10346)</f>
        <v>3715</v>
      </c>
      <c r="H86" s="248">
        <f>SUMIF(Sifarisler!$H$3:$H$10346,D86,Sifarisler!$AO$3:$AO$10346)</f>
        <v>1500</v>
      </c>
      <c r="I86" s="249">
        <f>SUMIF(Sifarisler!$H$3:$H$10346,D86,Sifarisler!$AP$3:$AP$10346)</f>
        <v>2215</v>
      </c>
      <c r="J86" s="250" t="str">
        <f t="shared" si="83"/>
        <v>Mesaj</v>
      </c>
      <c r="K86" s="9" t="str">
        <f t="shared" si="82"/>
        <v>Fuad</v>
      </c>
      <c r="L86" s="10" t="str">
        <f t="shared" si="81"/>
        <v xml:space="preserve">Fuad </v>
      </c>
      <c r="M86" s="251" t="str">
        <f>"Hörmətli *"&amp;K86&amp;"*  , göstərilən xidmətə görə *"&amp;I86&amp;" AZN* borcunuz qalmışdır . Ödəniş etməyiniz xahiş olunur. Ödəniş kartı  *"&amp;Məlumatlar!$O$3&amp;"* . Hörmətlə  *AlumPro*"</f>
        <v>Hörmətli *Fuad*  , göstərilən xidmətə görə *2215 AZN* borcunuz qalmışdır . Ödəniş etməyiniz xahiş olunur. Ödəniş kartı  *4098584464110962* . Hörmətlə  *AlumPro*</v>
      </c>
      <c r="N86" s="46"/>
    </row>
    <row r="87" spans="4:14" ht="17.25">
      <c r="D87" s="214" t="s">
        <v>907</v>
      </c>
      <c r="E87" s="247" t="s">
        <v>908</v>
      </c>
      <c r="F87" s="15">
        <f>COUNTIF(Sifarisler!$H$3:$H$10346,D87)</f>
        <v>0</v>
      </c>
      <c r="G87" s="248">
        <f>SUMIF(Sifarisler!$H$3:$H$10346,D87,Sifarisler!$AM$3:$AM$10346)</f>
        <v>0</v>
      </c>
      <c r="H87" s="248">
        <f>SUMIF(Sifarisler!$H$3:$H$10346,D87,Sifarisler!$AO$3:$AO$10346)</f>
        <v>0</v>
      </c>
      <c r="I87" s="249">
        <f>SUMIF(Sifarisler!$H$3:$H$10346,D87,Sifarisler!$AP$3:$AP$10346)</f>
        <v>0</v>
      </c>
      <c r="J87" s="250" t="str">
        <f t="shared" si="83"/>
        <v>Mesaj</v>
      </c>
      <c r="K87" s="9" t="str">
        <f t="shared" si="82"/>
        <v>Ilham</v>
      </c>
      <c r="L87" s="10" t="str">
        <f t="shared" si="81"/>
        <v xml:space="preserve">Ilham </v>
      </c>
      <c r="M87" s="251" t="str">
        <f>"Hörmətli *"&amp;K87&amp;"*  , göstərilən xidmətə görə *"&amp;I87&amp;" AZN* borcunuz qalmışdır . Ödəniş etməyiniz xahiş olunur. Ödəniş kartı  *"&amp;Məlumatlar!$O$3&amp;"* . Hörmətlə  *AlumPro*"</f>
        <v>Hörmətli *Ilham*  , göstərilən xidmətə görə *0 AZN* borcunuz qalmışdır . Ödəniş etməyiniz xahiş olunur. Ödəniş kartı  *4098584464110962* . Hörmətlə  *AlumPro*</v>
      </c>
      <c r="N87" s="46"/>
    </row>
    <row r="88" spans="4:14" ht="17.25">
      <c r="D88" s="214" t="s">
        <v>909</v>
      </c>
      <c r="E88" s="247" t="s">
        <v>910</v>
      </c>
      <c r="F88" s="15">
        <f>COUNTIF(Sifarisler!$H$3:$H$10346,D88)</f>
        <v>0</v>
      </c>
      <c r="G88" s="248">
        <f>SUMIF(Sifarisler!$H$3:$H$10346,D88,Sifarisler!$AM$3:$AM$10346)</f>
        <v>0</v>
      </c>
      <c r="H88" s="248">
        <f>SUMIF(Sifarisler!$H$3:$H$10346,D88,Sifarisler!$AO$3:$AO$10346)</f>
        <v>0</v>
      </c>
      <c r="I88" s="249">
        <f>SUMIF(Sifarisler!$H$3:$H$10346,D88,Sifarisler!$AP$3:$AP$10346)</f>
        <v>0</v>
      </c>
      <c r="J88" s="250" t="str">
        <f t="shared" si="83"/>
        <v>Mesaj</v>
      </c>
      <c r="K88" s="9" t="str">
        <f t="shared" si="82"/>
        <v>Rasim</v>
      </c>
      <c r="L88" s="10" t="str">
        <f t="shared" si="81"/>
        <v xml:space="preserve">Rasim </v>
      </c>
      <c r="M88" s="251" t="str">
        <f>"Hörmətli *"&amp;K88&amp;"*  , göstərilən xidmətə görə *"&amp;I88&amp;" AZN* borcunuz qalmışdır . Ödəniş etməyiniz xahiş olunur. Ödəniş kartı  *"&amp;Məlumatlar!$O$3&amp;"* . Hörmətlə  *AlumPro*"</f>
        <v>Hörmətli *Rasim*  , göstərilən xidmətə görə *0 AZN* borcunuz qalmışdır . Ödəniş etməyiniz xahiş olunur. Ödəniş kartı  *4098584464110962* . Hörmətlə  *AlumPro*</v>
      </c>
      <c r="N88" s="46"/>
    </row>
    <row r="89" spans="4:14" ht="17.25">
      <c r="D89" s="214" t="s">
        <v>911</v>
      </c>
      <c r="E89" s="247" t="s">
        <v>912</v>
      </c>
      <c r="F89" s="15">
        <f>COUNTIF(Sifarisler!$H$3:$H$10346,D89)</f>
        <v>0</v>
      </c>
      <c r="G89" s="248">
        <f>SUMIF(Sifarisler!$H$3:$H$10346,D89,Sifarisler!$AM$3:$AM$10346)</f>
        <v>0</v>
      </c>
      <c r="H89" s="248">
        <f>SUMIF(Sifarisler!$H$3:$H$10346,D89,Sifarisler!$AO$3:$AO$10346)</f>
        <v>0</v>
      </c>
      <c r="I89" s="249">
        <f>SUMIF(Sifarisler!$H$3:$H$10346,D89,Sifarisler!$AP$3:$AP$10346)</f>
        <v>0</v>
      </c>
      <c r="J89" s="250" t="str">
        <f t="shared" si="83"/>
        <v>Mesaj</v>
      </c>
      <c r="K89" s="9" t="str">
        <f t="shared" si="82"/>
        <v>Fexreddin</v>
      </c>
      <c r="L89" s="10" t="str">
        <f t="shared" si="81"/>
        <v xml:space="preserve">Fexreddin </v>
      </c>
      <c r="M89" s="251" t="str">
        <f>"Hörmətli *"&amp;K89&amp;"*  , göstərilən xidmətə görə *"&amp;I89&amp;" AZN* borcunuz qalmışdır . Ödəniş etməyiniz xahiş olunur. Ödəniş kartı  *"&amp;Məlumatlar!$O$3&amp;"* . Hörmətlə  *AlumPro*"</f>
        <v>Hörmətli *Fexreddin*  , göstərilən xidmətə görə *0 AZN* borcunuz qalmışdır . Ödəniş etməyiniz xahiş olunur. Ödəniş kartı  *4098584464110962* . Hörmətlə  *AlumPro*</v>
      </c>
      <c r="N89" s="46"/>
    </row>
    <row r="90" spans="4:14" ht="17.25">
      <c r="D90" s="214" t="s">
        <v>913</v>
      </c>
      <c r="E90" s="247" t="s">
        <v>914</v>
      </c>
      <c r="F90" s="15">
        <f>COUNTIF(Sifarisler!$H$3:$H$10346,D90)</f>
        <v>0</v>
      </c>
      <c r="G90" s="248">
        <f>SUMIF(Sifarisler!$H$3:$H$10346,D90,Sifarisler!$AM$3:$AM$10346)</f>
        <v>0</v>
      </c>
      <c r="H90" s="248">
        <f>SUMIF(Sifarisler!$H$3:$H$10346,D90,Sifarisler!$AO$3:$AO$10346)</f>
        <v>0</v>
      </c>
      <c r="I90" s="249">
        <f>SUMIF(Sifarisler!$H$3:$H$10346,D90,Sifarisler!$AP$3:$AP$10346)</f>
        <v>0</v>
      </c>
      <c r="J90" s="250" t="str">
        <f t="shared" si="83"/>
        <v>Mesaj</v>
      </c>
      <c r="K90" s="9" t="str">
        <f t="shared" si="82"/>
        <v>Movsum</v>
      </c>
      <c r="L90" s="10" t="str">
        <f t="shared" si="81"/>
        <v xml:space="preserve">Movsum </v>
      </c>
      <c r="M90" s="251" t="str">
        <f>"Hörmətli *"&amp;K90&amp;"*  , göstərilən xidmətə görə *"&amp;I90&amp;" AZN* borcunuz qalmışdır . Ödəniş etməyiniz xahiş olunur. Ödəniş kartı  *"&amp;Məlumatlar!$O$3&amp;"* . Hörmətlə  *AlumPro*"</f>
        <v>Hörmətli *Movsum*  , göstərilən xidmətə görə *0 AZN* borcunuz qalmışdır . Ödəniş etməyiniz xahiş olunur. Ödəniş kartı  *4098584464110962* . Hörmətlə  *AlumPro*</v>
      </c>
      <c r="N90" s="46"/>
    </row>
    <row r="91" spans="4:14" ht="17.25">
      <c r="D91" s="214" t="s">
        <v>915</v>
      </c>
      <c r="E91" s="247" t="s">
        <v>916</v>
      </c>
      <c r="F91" s="15">
        <f>COUNTIF(Sifarisler!$H$3:$H$10346,D91)</f>
        <v>0</v>
      </c>
      <c r="G91" s="248">
        <f>SUMIF(Sifarisler!$H$3:$H$10346,D91,Sifarisler!$AM$3:$AM$10346)</f>
        <v>0</v>
      </c>
      <c r="H91" s="248">
        <f>SUMIF(Sifarisler!$H$3:$H$10346,D91,Sifarisler!$AO$3:$AO$10346)</f>
        <v>0</v>
      </c>
      <c r="I91" s="249">
        <f>SUMIF(Sifarisler!$H$3:$H$10346,D91,Sifarisler!$AP$3:$AP$10346)</f>
        <v>0</v>
      </c>
      <c r="J91" s="250" t="str">
        <f t="shared" si="83"/>
        <v>Mesaj</v>
      </c>
      <c r="K91" s="9" t="str">
        <f t="shared" si="82"/>
        <v>Imran</v>
      </c>
      <c r="L91" s="10" t="str">
        <f t="shared" si="81"/>
        <v xml:space="preserve">Imran </v>
      </c>
      <c r="M91" s="251" t="str">
        <f>"Hörmətli *"&amp;K91&amp;"*  , göstərilən xidmətə görə *"&amp;I91&amp;" AZN* borcunuz qalmışdır . Ödəniş etməyiniz xahiş olunur. Ödəniş kartı  *"&amp;Məlumatlar!$O$3&amp;"* . Hörmətlə  *AlumPro*"</f>
        <v>Hörmətli *Imran*  , göstərilən xidmətə görə *0 AZN* borcunuz qalmışdır . Ödəniş etməyiniz xahiş olunur. Ödəniş kartı  *4098584464110962* . Hörmətlə  *AlumPro*</v>
      </c>
      <c r="N91" s="46"/>
    </row>
    <row r="92" spans="4:14" ht="17.25">
      <c r="D92" s="214" t="s">
        <v>917</v>
      </c>
      <c r="E92" s="247" t="s">
        <v>918</v>
      </c>
      <c r="F92" s="15">
        <f>COUNTIF(Sifarisler!$H$3:$H$10346,D92)</f>
        <v>0</v>
      </c>
      <c r="G92" s="248">
        <f>SUMIF(Sifarisler!$H$3:$H$10346,D92,Sifarisler!$AM$3:$AM$10346)</f>
        <v>0</v>
      </c>
      <c r="H92" s="248">
        <f>SUMIF(Sifarisler!$H$3:$H$10346,D92,Sifarisler!$AO$3:$AO$10346)</f>
        <v>0</v>
      </c>
      <c r="I92" s="249">
        <f>SUMIF(Sifarisler!$H$3:$H$10346,D92,Sifarisler!$AP$3:$AP$10346)</f>
        <v>0</v>
      </c>
      <c r="J92" s="250" t="str">
        <f t="shared" si="83"/>
        <v>Mesaj</v>
      </c>
      <c r="K92" s="9" t="str">
        <f t="shared" si="82"/>
        <v>Rmin</v>
      </c>
      <c r="L92" s="10" t="str">
        <f t="shared" si="81"/>
        <v xml:space="preserve">Rmin </v>
      </c>
      <c r="M92" s="251" t="str">
        <f>"Hörmətli *"&amp;K92&amp;"*  , göstərilən xidmətə görə *"&amp;I92&amp;" AZN* borcunuz qalmışdır . Ödəniş etməyiniz xahiş olunur. Ödəniş kartı  *"&amp;Məlumatlar!$O$3&amp;"* . Hörmətlə  *AlumPro*"</f>
        <v>Hörmətli *Rmin*  , göstərilən xidmətə görə *0 AZN* borcunuz qalmışdır . Ödəniş etməyiniz xahiş olunur. Ödəniş kartı  *4098584464110962* . Hörmətlə  *AlumPro*</v>
      </c>
      <c r="N92" s="46"/>
    </row>
    <row r="93" spans="4:14" ht="17.25">
      <c r="D93" s="214" t="s">
        <v>919</v>
      </c>
      <c r="E93" s="247" t="s">
        <v>920</v>
      </c>
      <c r="F93" s="15">
        <f>COUNTIF(Sifarisler!$H$3:$H$10346,D93)</f>
        <v>0</v>
      </c>
      <c r="G93" s="248">
        <f>SUMIF(Sifarisler!$H$3:$H$10346,D93,Sifarisler!$AM$3:$AM$10346)</f>
        <v>0</v>
      </c>
      <c r="H93" s="248">
        <f>SUMIF(Sifarisler!$H$3:$H$10346,D93,Sifarisler!$AO$3:$AO$10346)</f>
        <v>0</v>
      </c>
      <c r="I93" s="249">
        <f>SUMIF(Sifarisler!$H$3:$H$10346,D93,Sifarisler!$AP$3:$AP$10346)</f>
        <v>0</v>
      </c>
      <c r="J93" s="250" t="str">
        <f t="shared" si="83"/>
        <v>Mesaj</v>
      </c>
      <c r="K93" s="9" t="str">
        <f t="shared" si="82"/>
        <v>Emin</v>
      </c>
      <c r="L93" s="10" t="str">
        <f t="shared" si="81"/>
        <v xml:space="preserve">Emin </v>
      </c>
      <c r="M93" s="251" t="str">
        <f>"Hörmətli *"&amp;K93&amp;"*  , göstərilən xidmətə görə *"&amp;I93&amp;" AZN* borcunuz qalmışdır . Ödəniş etməyiniz xahiş olunur. Ödəniş kartı  *"&amp;Məlumatlar!$O$3&amp;"* . Hörmətlə  *AlumPro*"</f>
        <v>Hörmətli *Emin*  , göstərilən xidmətə görə *0 AZN* borcunuz qalmışdır . Ödəniş etməyiniz xahiş olunur. Ödəniş kartı  *4098584464110962* . Hörmətlə  *AlumPro*</v>
      </c>
      <c r="N93" s="46"/>
    </row>
    <row r="94" spans="4:14" ht="17.25">
      <c r="D94" s="214" t="s">
        <v>921</v>
      </c>
      <c r="E94" s="247" t="s">
        <v>922</v>
      </c>
      <c r="F94" s="15">
        <f>COUNTIF(Sifarisler!$H$3:$H$10346,D94)</f>
        <v>0</v>
      </c>
      <c r="G94" s="248">
        <f>SUMIF(Sifarisler!$H$3:$H$10346,D94,Sifarisler!$AM$3:$AM$10346)</f>
        <v>0</v>
      </c>
      <c r="H94" s="248">
        <f>SUMIF(Sifarisler!$H$3:$H$10346,D94,Sifarisler!$AO$3:$AO$10346)</f>
        <v>0</v>
      </c>
      <c r="I94" s="249">
        <f>SUMIF(Sifarisler!$H$3:$H$10346,D94,Sifarisler!$AP$3:$AP$10346)</f>
        <v>0</v>
      </c>
      <c r="J94" s="250" t="str">
        <f t="shared" si="83"/>
        <v>Mesaj</v>
      </c>
      <c r="K94" s="9" t="str">
        <f t="shared" si="82"/>
        <v>Mebel</v>
      </c>
      <c r="L94" s="10" t="str">
        <f t="shared" si="81"/>
        <v xml:space="preserve">Mebel </v>
      </c>
      <c r="M94" s="251" t="str">
        <f>"Hörmətli *"&amp;K94&amp;"*  , göstərilən xidmətə görə *"&amp;I94&amp;" AZN* borcunuz qalmışdır . Ödəniş etməyiniz xahiş olunur. Ödəniş kartı  *"&amp;Məlumatlar!$O$3&amp;"* . Hörmətlə  *AlumPro*"</f>
        <v>Hörmətli *Mebel*  , göstərilən xidmətə görə *0 AZN* borcunuz qalmışdır . Ödəniş etməyiniz xahiş olunur. Ödəniş kartı  *4098584464110962* . Hörmətlə  *AlumPro*</v>
      </c>
      <c r="N94" s="46"/>
    </row>
    <row r="95" spans="4:14" ht="17.25">
      <c r="D95" s="214" t="s">
        <v>923</v>
      </c>
      <c r="E95" s="247" t="s">
        <v>924</v>
      </c>
      <c r="F95" s="15">
        <f>COUNTIF(Sifarisler!$H$3:$H$10346,D95)</f>
        <v>0</v>
      </c>
      <c r="G95" s="248">
        <f>SUMIF(Sifarisler!$H$3:$H$10346,D95,Sifarisler!$AM$3:$AM$10346)</f>
        <v>0</v>
      </c>
      <c r="H95" s="248">
        <f>SUMIF(Sifarisler!$H$3:$H$10346,D95,Sifarisler!$AO$3:$AO$10346)</f>
        <v>0</v>
      </c>
      <c r="I95" s="249">
        <f>SUMIF(Sifarisler!$H$3:$H$10346,D95,Sifarisler!$AP$3:$AP$10346)</f>
        <v>0</v>
      </c>
      <c r="J95" s="250" t="str">
        <f t="shared" si="83"/>
        <v>Mesaj</v>
      </c>
      <c r="K95" s="9" t="str">
        <f t="shared" si="82"/>
        <v>Elnur</v>
      </c>
      <c r="L95" s="10" t="str">
        <f t="shared" si="81"/>
        <v xml:space="preserve">Elnur </v>
      </c>
      <c r="M95" s="251" t="str">
        <f>"Hörmətli *"&amp;K95&amp;"*  , göstərilən xidmətə görə *"&amp;I95&amp;" AZN* borcunuz qalmışdır . Ödəniş etməyiniz xahiş olunur. Ödəniş kartı  *"&amp;Məlumatlar!$O$3&amp;"* . Hörmətlə  *AlumPro*"</f>
        <v>Hörmətli *Elnur*  , göstərilən xidmətə görə *0 AZN* borcunuz qalmışdır . Ödəniş etməyiniz xahiş olunur. Ödəniş kartı  *4098584464110962* . Hörmətlə  *AlumPro*</v>
      </c>
      <c r="N95" s="46"/>
    </row>
    <row r="96" spans="4:14" ht="17.25">
      <c r="D96" s="214" t="s">
        <v>925</v>
      </c>
      <c r="E96" s="247" t="s">
        <v>926</v>
      </c>
      <c r="F96" s="15">
        <f>COUNTIF(Sifarisler!$H$3:$H$10346,D96)</f>
        <v>0</v>
      </c>
      <c r="G96" s="248">
        <f>SUMIF(Sifarisler!$H$3:$H$10346,D96,Sifarisler!$AM$3:$AM$10346)</f>
        <v>0</v>
      </c>
      <c r="H96" s="248">
        <f>SUMIF(Sifarisler!$H$3:$H$10346,D96,Sifarisler!$AO$3:$AO$10346)</f>
        <v>0</v>
      </c>
      <c r="I96" s="249">
        <f>SUMIF(Sifarisler!$H$3:$H$10346,D96,Sifarisler!$AP$3:$AP$10346)</f>
        <v>0</v>
      </c>
      <c r="J96" s="250" t="str">
        <f t="shared" si="83"/>
        <v>Mesaj</v>
      </c>
      <c r="K96" s="9" t="str">
        <f t="shared" si="82"/>
        <v>Kamil</v>
      </c>
      <c r="L96" s="10" t="str">
        <f t="shared" si="81"/>
        <v xml:space="preserve">Kamil </v>
      </c>
      <c r="M96" s="251" t="str">
        <f>"Hörmətli *"&amp;K96&amp;"*  , göstərilən xidmətə görə *"&amp;I96&amp;" AZN* borcunuz qalmışdır . Ödəniş etməyiniz xahiş olunur. Ödəniş kartı  *"&amp;Məlumatlar!$O$3&amp;"* . Hörmətlə  *AlumPro*"</f>
        <v>Hörmətli *Kamil*  , göstərilən xidmətə görə *0 AZN* borcunuz qalmışdır . Ödəniş etməyiniz xahiş olunur. Ödəniş kartı  *4098584464110962* . Hörmətlə  *AlumPro*</v>
      </c>
      <c r="N96" s="46"/>
    </row>
    <row r="97" spans="4:14" ht="17.25">
      <c r="D97" s="214" t="s">
        <v>927</v>
      </c>
      <c r="E97" s="247" t="s">
        <v>928</v>
      </c>
      <c r="F97" s="15">
        <f>COUNTIF(Sifarisler!$H$3:$H$10346,D97)</f>
        <v>0</v>
      </c>
      <c r="G97" s="248">
        <f>SUMIF(Sifarisler!$H$3:$H$10346,D97,Sifarisler!$AM$3:$AM$10346)</f>
        <v>0</v>
      </c>
      <c r="H97" s="248">
        <f>SUMIF(Sifarisler!$H$3:$H$10346,D97,Sifarisler!$AO$3:$AO$10346)</f>
        <v>0</v>
      </c>
      <c r="I97" s="249">
        <f>SUMIF(Sifarisler!$H$3:$H$10346,D97,Sifarisler!$AP$3:$AP$10346)</f>
        <v>0</v>
      </c>
      <c r="J97" s="250" t="str">
        <f t="shared" si="83"/>
        <v>Mesaj</v>
      </c>
      <c r="K97" s="9" t="str">
        <f t="shared" si="82"/>
        <v>Emin</v>
      </c>
      <c r="L97" s="10" t="str">
        <f t="shared" si="81"/>
        <v xml:space="preserve">Emin </v>
      </c>
      <c r="M97" s="251" t="str">
        <f>"Hörmətli *"&amp;K97&amp;"*  , göstərilən xidmətə görə *"&amp;I97&amp;" AZN* borcunuz qalmışdır . Ödəniş etməyiniz xahiş olunur. Ödəniş kartı  *"&amp;Məlumatlar!$O$3&amp;"* . Hörmətlə  *AlumPro*"</f>
        <v>Hörmətli *Emin*  , göstərilən xidmətə görə *0 AZN* borcunuz qalmışdır . Ödəniş etməyiniz xahiş olunur. Ödəniş kartı  *4098584464110962* . Hörmətlə  *AlumPro*</v>
      </c>
      <c r="N97" s="46"/>
    </row>
    <row r="98" spans="4:14" ht="17.25">
      <c r="D98" s="214" t="s">
        <v>929</v>
      </c>
      <c r="E98" s="247" t="s">
        <v>930</v>
      </c>
      <c r="F98" s="15">
        <f>COUNTIF(Sifarisler!$H$3:$H$10346,D98)</f>
        <v>0</v>
      </c>
      <c r="G98" s="248">
        <f>SUMIF(Sifarisler!$H$3:$H$10346,D98,Sifarisler!$AM$3:$AM$10346)</f>
        <v>0</v>
      </c>
      <c r="H98" s="248">
        <f>SUMIF(Sifarisler!$H$3:$H$10346,D98,Sifarisler!$AO$3:$AO$10346)</f>
        <v>0</v>
      </c>
      <c r="I98" s="249">
        <f>SUMIF(Sifarisler!$H$3:$H$10346,D98,Sifarisler!$AP$3:$AP$10346)</f>
        <v>0</v>
      </c>
      <c r="J98" s="250" t="str">
        <f t="shared" si="83"/>
        <v>Mesaj</v>
      </c>
      <c r="K98" s="9" t="str">
        <f t="shared" si="82"/>
        <v>Elxan</v>
      </c>
      <c r="L98" s="10" t="str">
        <f t="shared" si="81"/>
        <v xml:space="preserve">Elxan </v>
      </c>
      <c r="M98" s="251" t="str">
        <f>"Hörmətli *"&amp;K98&amp;"*  , göstərilən xidmətə görə *"&amp;I98&amp;" AZN* borcunuz qalmışdır . Ödəniş etməyiniz xahiş olunur. Ödəniş kartı  *"&amp;Məlumatlar!$O$3&amp;"* . Hörmətlə  *AlumPro*"</f>
        <v>Hörmətli *Elxan*  , göstərilən xidmətə görə *0 AZN* borcunuz qalmışdır . Ödəniş etməyiniz xahiş olunur. Ödəniş kartı  *4098584464110962* . Hörmətlə  *AlumPro*</v>
      </c>
      <c r="N98" s="46"/>
    </row>
    <row r="99" spans="4:14" ht="17.25">
      <c r="D99" s="214" t="s">
        <v>931</v>
      </c>
      <c r="E99" s="247" t="s">
        <v>932</v>
      </c>
      <c r="F99" s="15">
        <f>COUNTIF(Sifarisler!$H$3:$H$10346,D99)</f>
        <v>0</v>
      </c>
      <c r="G99" s="248">
        <f>SUMIF(Sifarisler!$H$3:$H$10346,D99,Sifarisler!$AM$3:$AM$10346)</f>
        <v>0</v>
      </c>
      <c r="H99" s="248">
        <f>SUMIF(Sifarisler!$H$3:$H$10346,D99,Sifarisler!$AO$3:$AO$10346)</f>
        <v>0</v>
      </c>
      <c r="I99" s="249">
        <f>SUMIF(Sifarisler!$H$3:$H$10346,D99,Sifarisler!$AP$3:$AP$10346)</f>
        <v>0</v>
      </c>
      <c r="J99" s="250" t="str">
        <f t="shared" si="83"/>
        <v>Mesaj</v>
      </c>
      <c r="K99" s="9" t="str">
        <f t="shared" si="82"/>
        <v>Rasim</v>
      </c>
      <c r="L99" s="10" t="str">
        <f t="shared" si="81"/>
        <v xml:space="preserve">Rasim </v>
      </c>
      <c r="M99" s="251" t="str">
        <f>"Hörmətli *"&amp;K99&amp;"*  , göstərilən xidmətə görə *"&amp;I99&amp;" AZN* borcunuz qalmışdır . Ödəniş etməyiniz xahiş olunur. Ödəniş kartı  *"&amp;Məlumatlar!$O$3&amp;"* . Hörmətlə  *AlumPro*"</f>
        <v>Hörmətli *Rasim*  , göstərilən xidmətə görə *0 AZN* borcunuz qalmışdır . Ödəniş etməyiniz xahiş olunur. Ödəniş kartı  *4098584464110962* . Hörmətlə  *AlumPro*</v>
      </c>
      <c r="N99" s="46"/>
    </row>
    <row r="100" spans="4:14" ht="17.25">
      <c r="D100" s="214" t="s">
        <v>814</v>
      </c>
      <c r="E100" s="247" t="s">
        <v>815</v>
      </c>
      <c r="F100" s="15">
        <f>COUNTIF(Sifarisler!$H$3:$H$10346,D100)</f>
        <v>1</v>
      </c>
      <c r="G100" s="248">
        <f>SUMIF(Sifarisler!$H$3:$H$10346,D100,Sifarisler!$AM$3:$AM$10346)</f>
        <v>1060</v>
      </c>
      <c r="H100" s="248">
        <f>SUMIF(Sifarisler!$H$3:$H$10346,D100,Sifarisler!$AO$3:$AO$10346)</f>
        <v>1060</v>
      </c>
      <c r="I100" s="249">
        <f>SUMIF(Sifarisler!$H$3:$H$10346,D100,Sifarisler!$AP$3:$AP$10346)</f>
        <v>0</v>
      </c>
      <c r="J100" s="250" t="str">
        <f t="shared" si="83"/>
        <v>Mesaj</v>
      </c>
      <c r="K100" s="9" t="str">
        <f t="shared" si="82"/>
        <v>Fexreddin</v>
      </c>
      <c r="L100" s="10" t="str">
        <f t="shared" si="81"/>
        <v xml:space="preserve">Fexreddin </v>
      </c>
      <c r="M100" s="251" t="str">
        <f>"Hörmətli *"&amp;K100&amp;"*  , göstərilən xidmətə görə *"&amp;I100&amp;" AZN* borcunuz qalmışdır . Ödəniş etməyiniz xahiş olunur. Ödəniş kartı  *"&amp;Məlumatlar!$O$3&amp;"* . Hörmətlə  *AlumPro*"</f>
        <v>Hörmətli *Fexreddin*  , göstərilən xidmətə görə *0 AZN* borcunuz qalmışdır . Ödəniş etməyiniz xahiş olunur. Ödəniş kartı  *4098584464110962* . Hörmətlə  *AlumPro*</v>
      </c>
      <c r="N100" s="46"/>
    </row>
    <row r="101" spans="4:14" ht="17.25">
      <c r="D101" s="214" t="s">
        <v>933</v>
      </c>
      <c r="E101" s="247" t="s">
        <v>934</v>
      </c>
      <c r="F101" s="15">
        <f>COUNTIF(Sifarisler!$H$3:$H$10346,D101)</f>
        <v>0</v>
      </c>
      <c r="G101" s="248">
        <f>SUMIF(Sifarisler!$H$3:$H$10346,D101,Sifarisler!$AM$3:$AM$10346)</f>
        <v>0</v>
      </c>
      <c r="H101" s="248">
        <f>SUMIF(Sifarisler!$H$3:$H$10346,D101,Sifarisler!$AO$3:$AO$10346)</f>
        <v>0</v>
      </c>
      <c r="I101" s="249">
        <f>SUMIF(Sifarisler!$H$3:$H$10346,D101,Sifarisler!$AP$3:$AP$10346)</f>
        <v>0</v>
      </c>
      <c r="J101" s="250" t="str">
        <f t="shared" si="83"/>
        <v>Mesaj</v>
      </c>
      <c r="K101" s="9" t="str">
        <f t="shared" si="82"/>
        <v>Ceyhun</v>
      </c>
      <c r="L101" s="10" t="str">
        <f t="shared" si="81"/>
        <v xml:space="preserve">Ceyhun </v>
      </c>
      <c r="M101" s="251" t="str">
        <f>"Hörmətli *"&amp;K101&amp;"*  , göstərilən xidmətə görə *"&amp;I101&amp;" AZN* borcunuz qalmışdır . Ödəniş etməyiniz xahiş olunur. Ödəniş kartı  *"&amp;Məlumatlar!$O$3&amp;"* . Hörmətlə  *AlumPro*"</f>
        <v>Hörmətli *Ceyhun*  , göstərilən xidmətə görə *0 AZN* borcunuz qalmışdır . Ödəniş etməyiniz xahiş olunur. Ödəniş kartı  *4098584464110962* . Hörmətlə  *AlumPro*</v>
      </c>
      <c r="N101" s="46"/>
    </row>
    <row r="102" spans="4:14" ht="17.25">
      <c r="D102" s="214" t="s">
        <v>935</v>
      </c>
      <c r="E102" s="247" t="s">
        <v>936</v>
      </c>
      <c r="F102" s="15">
        <f>COUNTIF(Sifarisler!$H$3:$H$10346,D102)</f>
        <v>0</v>
      </c>
      <c r="G102" s="248">
        <f>SUMIF(Sifarisler!$H$3:$H$10346,D102,Sifarisler!$AM$3:$AM$10346)</f>
        <v>0</v>
      </c>
      <c r="H102" s="248">
        <f>SUMIF(Sifarisler!$H$3:$H$10346,D102,Sifarisler!$AO$3:$AO$10346)</f>
        <v>0</v>
      </c>
      <c r="I102" s="249">
        <f>SUMIF(Sifarisler!$H$3:$H$10346,D102,Sifarisler!$AP$3:$AP$10346)</f>
        <v>0</v>
      </c>
      <c r="J102" s="250" t="str">
        <f t="shared" si="83"/>
        <v>Mesaj</v>
      </c>
      <c r="K102" s="9" t="str">
        <f t="shared" si="82"/>
        <v>Xalid</v>
      </c>
      <c r="L102" s="10" t="str">
        <f t="shared" si="81"/>
        <v xml:space="preserve">Xalid </v>
      </c>
      <c r="M102" s="251" t="str">
        <f>"Hörmətli *"&amp;K102&amp;"*  , göstərilən xidmətə görə *"&amp;I102&amp;" AZN* borcunuz qalmışdır . Ödəniş etməyiniz xahiş olunur. Ödəniş kartı  *"&amp;Məlumatlar!$O$3&amp;"* . Hörmətlə  *AlumPro*"</f>
        <v>Hörmətli *Xalid*  , göstərilən xidmətə görə *0 AZN* borcunuz qalmışdır . Ödəniş etməyiniz xahiş olunur. Ödəniş kartı  *4098584464110962* . Hörmətlə  *AlumPro*</v>
      </c>
      <c r="N102" s="46"/>
    </row>
    <row r="103" spans="4:14" ht="17.25">
      <c r="D103" s="214" t="s">
        <v>937</v>
      </c>
      <c r="E103" s="247" t="s">
        <v>938</v>
      </c>
      <c r="F103" s="15">
        <f>COUNTIF(Sifarisler!$H$3:$H$10346,D103)</f>
        <v>0</v>
      </c>
      <c r="G103" s="248">
        <f>SUMIF(Sifarisler!$H$3:$H$10346,D103,Sifarisler!$AM$3:$AM$10346)</f>
        <v>0</v>
      </c>
      <c r="H103" s="248">
        <f>SUMIF(Sifarisler!$H$3:$H$10346,D103,Sifarisler!$AO$3:$AO$10346)</f>
        <v>0</v>
      </c>
      <c r="I103" s="249">
        <f>SUMIF(Sifarisler!$H$3:$H$10346,D103,Sifarisler!$AP$3:$AP$10346)</f>
        <v>0</v>
      </c>
      <c r="J103" s="250" t="str">
        <f t="shared" si="83"/>
        <v>Mesaj</v>
      </c>
      <c r="K103" s="9" t="str">
        <f t="shared" si="82"/>
        <v>Cingizxan</v>
      </c>
      <c r="L103" s="10" t="str">
        <f t="shared" si="81"/>
        <v xml:space="preserve">Cingizxan </v>
      </c>
      <c r="M103" s="251" t="str">
        <f>"Hörmətli *"&amp;K103&amp;"*  , göstərilən xidmətə görə *"&amp;I103&amp;" AZN* borcunuz qalmışdır . Ödəniş etməyiniz xahiş olunur. Ödəniş kartı  *"&amp;Məlumatlar!$O$3&amp;"* . Hörmətlə  *AlumPro*"</f>
        <v>Hörmətli *Cingizxan*  , göstərilən xidmətə görə *0 AZN* borcunuz qalmışdır . Ödəniş etməyiniz xahiş olunur. Ödəniş kartı  *4098584464110962* . Hörmətlə  *AlumPro*</v>
      </c>
      <c r="N103" s="46"/>
    </row>
    <row r="104" spans="4:14" ht="17.25">
      <c r="D104" s="214" t="s">
        <v>575</v>
      </c>
      <c r="E104" s="247" t="s">
        <v>576</v>
      </c>
      <c r="F104" s="15">
        <f>COUNTIF(Sifarisler!$H$3:$H$10346,D104)</f>
        <v>1</v>
      </c>
      <c r="G104" s="248">
        <f>SUMIF(Sifarisler!$H$3:$H$10346,D104,Sifarisler!$AM$3:$AM$10346)</f>
        <v>408</v>
      </c>
      <c r="H104" s="248">
        <f>SUMIF(Sifarisler!$H$3:$H$10346,D104,Sifarisler!$AO$3:$AO$10346)</f>
        <v>408</v>
      </c>
      <c r="I104" s="249">
        <f>SUMIF(Sifarisler!$H$3:$H$10346,D104,Sifarisler!$AP$3:$AP$10346)</f>
        <v>0</v>
      </c>
      <c r="J104" s="250" t="str">
        <f t="shared" si="83"/>
        <v>Mesaj</v>
      </c>
      <c r="K104" s="9" t="str">
        <f t="shared" si="82"/>
        <v>Behruz</v>
      </c>
      <c r="L104" s="10" t="str">
        <f t="shared" si="81"/>
        <v xml:space="preserve">Behruz </v>
      </c>
      <c r="M104" s="251" t="str">
        <f>"Hörmətli *"&amp;K104&amp;"*  , göstərilən xidmətə görə *"&amp;I104&amp;" AZN* borcunuz qalmışdır . Ödəniş etməyiniz xahiş olunur. Ödəniş kartı  *"&amp;Məlumatlar!$O$3&amp;"* . Hörmətlə  *AlumPro*"</f>
        <v>Hörmətli *Behruz*  , göstərilən xidmətə görə *0 AZN* borcunuz qalmışdır . Ödəniş etməyiniz xahiş olunur. Ödəniş kartı  *4098584464110962* . Hörmətlə  *AlumPro*</v>
      </c>
      <c r="N104" s="46"/>
    </row>
    <row r="105" spans="4:14" ht="17.25">
      <c r="D105" s="214" t="s">
        <v>939</v>
      </c>
      <c r="E105" s="247" t="s">
        <v>940</v>
      </c>
      <c r="F105" s="15">
        <f>COUNTIF(Sifarisler!$H$3:$H$10346,D105)</f>
        <v>0</v>
      </c>
      <c r="G105" s="248">
        <f>SUMIF(Sifarisler!$H$3:$H$10346,D105,Sifarisler!$AM$3:$AM$10346)</f>
        <v>0</v>
      </c>
      <c r="H105" s="248">
        <f>SUMIF(Sifarisler!$H$3:$H$10346,D105,Sifarisler!$AO$3:$AO$10346)</f>
        <v>0</v>
      </c>
      <c r="I105" s="249">
        <f>SUMIF(Sifarisler!$H$3:$H$10346,D105,Sifarisler!$AP$3:$AP$10346)</f>
        <v>0</v>
      </c>
      <c r="J105" s="250" t="str">
        <f t="shared" si="83"/>
        <v>Mesaj</v>
      </c>
      <c r="K105" s="9" t="str">
        <f t="shared" si="82"/>
        <v>Vasif</v>
      </c>
      <c r="L105" s="10" t="str">
        <f t="shared" si="81"/>
        <v xml:space="preserve">Vasif </v>
      </c>
      <c r="M105" s="251" t="str">
        <f>"Hörmətli *"&amp;K105&amp;"*  , göstərilən xidmətə görə *"&amp;I105&amp;" AZN* borcunuz qalmışdır . Ödəniş etməyiniz xahiş olunur. Ödəniş kartı  *"&amp;Məlumatlar!$O$3&amp;"* . Hörmətlə  *AlumPro*"</f>
        <v>Hörmətli *Vasif*  , göstərilən xidmətə görə *0 AZN* borcunuz qalmışdır . Ödəniş etməyiniz xahiş olunur. Ödəniş kartı  *4098584464110962* . Hörmətlə  *AlumPro*</v>
      </c>
      <c r="N105" s="46"/>
    </row>
    <row r="106" spans="4:14" ht="17.25">
      <c r="D106" s="214" t="s">
        <v>941</v>
      </c>
      <c r="E106" s="247" t="s">
        <v>942</v>
      </c>
      <c r="F106" s="15">
        <f>COUNTIF(Sifarisler!$H$3:$H$10346,D106)</f>
        <v>0</v>
      </c>
      <c r="G106" s="248">
        <f>SUMIF(Sifarisler!$H$3:$H$10346,D106,Sifarisler!$AM$3:$AM$10346)</f>
        <v>0</v>
      </c>
      <c r="H106" s="248">
        <f>SUMIF(Sifarisler!$H$3:$H$10346,D106,Sifarisler!$AO$3:$AO$10346)</f>
        <v>0</v>
      </c>
      <c r="I106" s="249">
        <f>SUMIF(Sifarisler!$H$3:$H$10346,D106,Sifarisler!$AP$3:$AP$10346)</f>
        <v>0</v>
      </c>
      <c r="J106" s="250" t="str">
        <f t="shared" si="83"/>
        <v>Mesaj</v>
      </c>
      <c r="K106" s="9" t="str">
        <f t="shared" si="82"/>
        <v>Elsever</v>
      </c>
      <c r="L106" s="10" t="str">
        <f t="shared" si="81"/>
        <v xml:space="preserve">Elsever </v>
      </c>
      <c r="M106" s="251" t="str">
        <f>"Hörmətli *"&amp;K106&amp;"*  , göstərilən xidmətə görə *"&amp;I106&amp;" AZN* borcunuz qalmışdır . Ödəniş etməyiniz xahiş olunur. Ödəniş kartı  *"&amp;Məlumatlar!$O$3&amp;"* . Hörmətlə  *AlumPro*"</f>
        <v>Hörmətli *Elsever*  , göstərilən xidmətə görə *0 AZN* borcunuz qalmışdır . Ödəniş etməyiniz xahiş olunur. Ödəniş kartı  *4098584464110962* . Hörmətlə  *AlumPro*</v>
      </c>
      <c r="N106" s="46"/>
    </row>
    <row r="107" spans="4:14" ht="17.25">
      <c r="D107" s="214" t="s">
        <v>943</v>
      </c>
      <c r="E107" s="247" t="s">
        <v>944</v>
      </c>
      <c r="F107" s="15">
        <f>COUNTIF(Sifarisler!$H$3:$H$10346,D107)</f>
        <v>0</v>
      </c>
      <c r="G107" s="248">
        <f>SUMIF(Sifarisler!$H$3:$H$10346,D107,Sifarisler!$AM$3:$AM$10346)</f>
        <v>0</v>
      </c>
      <c r="H107" s="248">
        <f>SUMIF(Sifarisler!$H$3:$H$10346,D107,Sifarisler!$AO$3:$AO$10346)</f>
        <v>0</v>
      </c>
      <c r="I107" s="249">
        <f>SUMIF(Sifarisler!$H$3:$H$10346,D107,Sifarisler!$AP$3:$AP$10346)</f>
        <v>0</v>
      </c>
      <c r="J107" s="250" t="str">
        <f t="shared" si="83"/>
        <v>Mesaj</v>
      </c>
      <c r="K107" s="9" t="str">
        <f t="shared" si="82"/>
        <v>Kapiton</v>
      </c>
      <c r="L107" s="10" t="str">
        <f t="shared" si="81"/>
        <v xml:space="preserve">Kapiton </v>
      </c>
      <c r="M107" s="251" t="str">
        <f>"Hörmətli *"&amp;K107&amp;"*  , göstərilən xidmətə görə *"&amp;I107&amp;" AZN* borcunuz qalmışdır . Ödəniş etməyiniz xahiş olunur. Ödəniş kartı  *"&amp;Məlumatlar!$O$3&amp;"* . Hörmətlə  *AlumPro*"</f>
        <v>Hörmətli *Kapiton*  , göstərilən xidmətə görə *0 AZN* borcunuz qalmışdır . Ödəniş etməyiniz xahiş olunur. Ödəniş kartı  *4098584464110962* . Hörmətlə  *AlumPro*</v>
      </c>
      <c r="N107" s="46"/>
    </row>
    <row r="108" spans="4:14" ht="17.25">
      <c r="D108" s="214" t="s">
        <v>945</v>
      </c>
      <c r="E108" s="247" t="s">
        <v>946</v>
      </c>
      <c r="F108" s="15">
        <f>COUNTIF(Sifarisler!$H$3:$H$10346,D108)</f>
        <v>0</v>
      </c>
      <c r="G108" s="248">
        <f>SUMIF(Sifarisler!$H$3:$H$10346,D108,Sifarisler!$AM$3:$AM$10346)</f>
        <v>0</v>
      </c>
      <c r="H108" s="248">
        <f>SUMIF(Sifarisler!$H$3:$H$10346,D108,Sifarisler!$AO$3:$AO$10346)</f>
        <v>0</v>
      </c>
      <c r="I108" s="249">
        <f>SUMIF(Sifarisler!$H$3:$H$10346,D108,Sifarisler!$AP$3:$AP$10346)</f>
        <v>0</v>
      </c>
      <c r="J108" s="250" t="str">
        <f t="shared" si="83"/>
        <v>Mesaj</v>
      </c>
      <c r="K108" s="9" t="str">
        <f t="shared" si="82"/>
        <v>Elvin</v>
      </c>
      <c r="L108" s="10" t="str">
        <f t="shared" si="81"/>
        <v xml:space="preserve">Elvin </v>
      </c>
      <c r="M108" s="251" t="str">
        <f>"Hörmətli *"&amp;K108&amp;"*  , göstərilən xidmətə görə *"&amp;I108&amp;" AZN* borcunuz qalmışdır . Ödəniş etməyiniz xahiş olunur. Ödəniş kartı  *"&amp;Məlumatlar!$O$3&amp;"* . Hörmətlə  *AlumPro*"</f>
        <v>Hörmətli *Elvin*  , göstərilən xidmətə görə *0 AZN* borcunuz qalmışdır . Ödəniş etməyiniz xahiş olunur. Ödəniş kartı  *4098584464110962* . Hörmətlə  *AlumPro*</v>
      </c>
      <c r="N108" s="46"/>
    </row>
    <row r="109" spans="4:14" ht="17.25">
      <c r="D109" s="214" t="s">
        <v>947</v>
      </c>
      <c r="E109" s="247" t="s">
        <v>948</v>
      </c>
      <c r="F109" s="15">
        <f>COUNTIF(Sifarisler!$H$3:$H$10346,D109)</f>
        <v>0</v>
      </c>
      <c r="G109" s="248">
        <f>SUMIF(Sifarisler!$H$3:$H$10346,D109,Sifarisler!$AM$3:$AM$10346)</f>
        <v>0</v>
      </c>
      <c r="H109" s="248">
        <f>SUMIF(Sifarisler!$H$3:$H$10346,D109,Sifarisler!$AO$3:$AO$10346)</f>
        <v>0</v>
      </c>
      <c r="I109" s="249">
        <f>SUMIF(Sifarisler!$H$3:$H$10346,D109,Sifarisler!$AP$3:$AP$10346)</f>
        <v>0</v>
      </c>
      <c r="J109" s="250" t="str">
        <f t="shared" si="83"/>
        <v>Mesaj</v>
      </c>
      <c r="K109" s="9" t="str">
        <f t="shared" si="82"/>
        <v>Ibo</v>
      </c>
      <c r="L109" s="10" t="str">
        <f t="shared" si="81"/>
        <v xml:space="preserve">Ibo </v>
      </c>
      <c r="M109" s="251" t="str">
        <f>"Hörmətli *"&amp;K109&amp;"*  , göstərilən xidmətə görə *"&amp;I109&amp;" AZN* borcunuz qalmışdır . Ödəniş etməyiniz xahiş olunur. Ödəniş kartı  *"&amp;Məlumatlar!$O$3&amp;"* . Hörmətlə  *AlumPro*"</f>
        <v>Hörmətli *Ibo*  , göstərilən xidmətə görə *0 AZN* borcunuz qalmışdır . Ödəniş etməyiniz xahiş olunur. Ödəniş kartı  *4098584464110962* . Hörmətlə  *AlumPro*</v>
      </c>
      <c r="N109" s="46"/>
    </row>
    <row r="110" spans="4:14" ht="17.25">
      <c r="D110" s="214" t="s">
        <v>949</v>
      </c>
      <c r="E110" s="247" t="s">
        <v>950</v>
      </c>
      <c r="F110" s="15">
        <f>COUNTIF(Sifarisler!$H$3:$H$10346,D110)</f>
        <v>0</v>
      </c>
      <c r="G110" s="248">
        <f>SUMIF(Sifarisler!$H$3:$H$10346,D110,Sifarisler!$AM$3:$AM$10346)</f>
        <v>0</v>
      </c>
      <c r="H110" s="248">
        <f>SUMIF(Sifarisler!$H$3:$H$10346,D110,Sifarisler!$AO$3:$AO$10346)</f>
        <v>0</v>
      </c>
      <c r="I110" s="249">
        <f>SUMIF(Sifarisler!$H$3:$H$10346,D110,Sifarisler!$AP$3:$AP$10346)</f>
        <v>0</v>
      </c>
      <c r="J110" s="250" t="str">
        <f t="shared" si="83"/>
        <v>Mesaj</v>
      </c>
      <c r="K110" s="9" t="str">
        <f t="shared" si="82"/>
        <v>Arif</v>
      </c>
      <c r="L110" s="10" t="str">
        <f t="shared" si="81"/>
        <v xml:space="preserve">Arif </v>
      </c>
      <c r="M110" s="251" t="str">
        <f>"Hörmətli *"&amp;K110&amp;"*  , göstərilən xidmətə görə *"&amp;I110&amp;" AZN* borcunuz qalmışdır . Ödəniş etməyiniz xahiş olunur. Ödəniş kartı  *"&amp;Məlumatlar!$O$3&amp;"* . Hörmətlə  *AlumPro*"</f>
        <v>Hörmətli *Arif*  , göstərilən xidmətə görə *0 AZN* borcunuz qalmışdır . Ödəniş etməyiniz xahiş olunur. Ödəniş kartı  *4098584464110962* . Hörmətlə  *AlumPro*</v>
      </c>
      <c r="N110" s="46"/>
    </row>
    <row r="111" spans="4:14" ht="17.25">
      <c r="D111" s="214" t="s">
        <v>951</v>
      </c>
      <c r="E111" s="247" t="s">
        <v>952</v>
      </c>
      <c r="F111" s="15">
        <f>COUNTIF(Sifarisler!$H$3:$H$10346,D111)</f>
        <v>0</v>
      </c>
      <c r="G111" s="248">
        <f>SUMIF(Sifarisler!$H$3:$H$10346,D111,Sifarisler!$AM$3:$AM$10346)</f>
        <v>0</v>
      </c>
      <c r="H111" s="248">
        <f>SUMIF(Sifarisler!$H$3:$H$10346,D111,Sifarisler!$AO$3:$AO$10346)</f>
        <v>0</v>
      </c>
      <c r="I111" s="249">
        <f>SUMIF(Sifarisler!$H$3:$H$10346,D111,Sifarisler!$AP$3:$AP$10346)</f>
        <v>0</v>
      </c>
      <c r="J111" s="250" t="str">
        <f t="shared" si="83"/>
        <v>Mesaj</v>
      </c>
      <c r="K111" s="9" t="str">
        <f t="shared" si="82"/>
        <v>Rehim</v>
      </c>
      <c r="L111" s="10" t="str">
        <f t="shared" si="81"/>
        <v xml:space="preserve">Rehim </v>
      </c>
      <c r="M111" s="251" t="str">
        <f>"Hörmətli *"&amp;K111&amp;"*  , göstərilən xidmətə görə *"&amp;I111&amp;" AZN* borcunuz qalmışdır . Ödəniş etməyiniz xahiş olunur. Ödəniş kartı  *"&amp;Məlumatlar!$O$3&amp;"* . Hörmətlə  *AlumPro*"</f>
        <v>Hörmətli *Rehim*  , göstərilən xidmətə görə *0 AZN* borcunuz qalmışdır . Ödəniş etməyiniz xahiş olunur. Ödəniş kartı  *4098584464110962* . Hörmətlə  *AlumPro*</v>
      </c>
      <c r="N111" s="46"/>
    </row>
    <row r="112" spans="4:14" ht="17.25">
      <c r="D112" s="214" t="s">
        <v>953</v>
      </c>
      <c r="E112" s="247" t="s">
        <v>954</v>
      </c>
      <c r="F112" s="15">
        <f>COUNTIF(Sifarisler!$H$3:$H$10346,D112)</f>
        <v>0</v>
      </c>
      <c r="G112" s="248">
        <f>SUMIF(Sifarisler!$H$3:$H$10346,D112,Sifarisler!$AM$3:$AM$10346)</f>
        <v>0</v>
      </c>
      <c r="H112" s="248">
        <f>SUMIF(Sifarisler!$H$3:$H$10346,D112,Sifarisler!$AO$3:$AO$10346)</f>
        <v>0</v>
      </c>
      <c r="I112" s="249">
        <f>SUMIF(Sifarisler!$H$3:$H$10346,D112,Sifarisler!$AP$3:$AP$10346)</f>
        <v>0</v>
      </c>
      <c r="J112" s="250" t="str">
        <f t="shared" si="83"/>
        <v>Mesaj</v>
      </c>
      <c r="K112" s="9" t="str">
        <f t="shared" si="82"/>
        <v>Elxan</v>
      </c>
      <c r="L112" s="10" t="str">
        <f t="shared" si="81"/>
        <v xml:space="preserve">Elxan </v>
      </c>
      <c r="M112" s="251" t="str">
        <f>"Hörmətli *"&amp;K112&amp;"*  , göstərilən xidmətə görə *"&amp;I112&amp;" AZN* borcunuz qalmışdır . Ödəniş etməyiniz xahiş olunur. Ödəniş kartı  *"&amp;Məlumatlar!$O$3&amp;"* . Hörmətlə  *AlumPro*"</f>
        <v>Hörmətli *Elxan*  , göstərilən xidmətə görə *0 AZN* borcunuz qalmışdır . Ödəniş etməyiniz xahiş olunur. Ödəniş kartı  *4098584464110962* . Hörmətlə  *AlumPro*</v>
      </c>
      <c r="N112" s="46"/>
    </row>
    <row r="113" spans="4:14" ht="17.25">
      <c r="D113" s="214" t="s">
        <v>955</v>
      </c>
      <c r="E113" s="247" t="s">
        <v>956</v>
      </c>
      <c r="F113" s="15">
        <f>COUNTIF(Sifarisler!$H$3:$H$10346,D113)</f>
        <v>0</v>
      </c>
      <c r="G113" s="248">
        <f>SUMIF(Sifarisler!$H$3:$H$10346,D113,Sifarisler!$AM$3:$AM$10346)</f>
        <v>0</v>
      </c>
      <c r="H113" s="248">
        <f>SUMIF(Sifarisler!$H$3:$H$10346,D113,Sifarisler!$AO$3:$AO$10346)</f>
        <v>0</v>
      </c>
      <c r="I113" s="249">
        <f>SUMIF(Sifarisler!$H$3:$H$10346,D113,Sifarisler!$AP$3:$AP$10346)</f>
        <v>0</v>
      </c>
      <c r="J113" s="250" t="str">
        <f t="shared" si="83"/>
        <v>Mesaj</v>
      </c>
      <c r="K113" s="9" t="str">
        <f t="shared" si="82"/>
        <v>Nurlan</v>
      </c>
      <c r="L113" s="10" t="str">
        <f t="shared" si="81"/>
        <v xml:space="preserve">Nurlan </v>
      </c>
      <c r="M113" s="251" t="str">
        <f>"Hörmətli *"&amp;K113&amp;"*  , göstərilən xidmətə görə *"&amp;I113&amp;" AZN* borcunuz qalmışdır . Ödəniş etməyiniz xahiş olunur. Ödəniş kartı  *"&amp;Məlumatlar!$O$3&amp;"* . Hörmətlə  *AlumPro*"</f>
        <v>Hörmətli *Nurlan*  , göstərilən xidmətə görə *0 AZN* borcunuz qalmışdır . Ödəniş etməyiniz xahiş olunur. Ödəniş kartı  *4098584464110962* . Hörmətlə  *AlumPro*</v>
      </c>
      <c r="N113" s="46"/>
    </row>
    <row r="114" spans="4:14" ht="17.25">
      <c r="D114" s="214" t="s">
        <v>957</v>
      </c>
      <c r="E114" s="247" t="s">
        <v>958</v>
      </c>
      <c r="F114" s="15">
        <f>COUNTIF(Sifarisler!$H$3:$H$10346,D114)</f>
        <v>0</v>
      </c>
      <c r="G114" s="248">
        <f>SUMIF(Sifarisler!$H$3:$H$10346,D114,Sifarisler!$AM$3:$AM$10346)</f>
        <v>0</v>
      </c>
      <c r="H114" s="248">
        <f>SUMIF(Sifarisler!$H$3:$H$10346,D114,Sifarisler!$AO$3:$AO$10346)</f>
        <v>0</v>
      </c>
      <c r="I114" s="249">
        <f>SUMIF(Sifarisler!$H$3:$H$10346,D114,Sifarisler!$AP$3:$AP$10346)</f>
        <v>0</v>
      </c>
      <c r="J114" s="250" t="str">
        <f t="shared" si="83"/>
        <v>Mesaj</v>
      </c>
      <c r="K114" s="9" t="str">
        <f t="shared" si="82"/>
        <v>Vuqar</v>
      </c>
      <c r="L114" s="10" t="str">
        <f t="shared" si="81"/>
        <v xml:space="preserve">Vuqar </v>
      </c>
      <c r="M114" s="251" t="str">
        <f>"Hörmətli *"&amp;K114&amp;"*  , göstərilən xidmətə görə *"&amp;I114&amp;" AZN* borcunuz qalmışdır . Ödəniş etməyiniz xahiş olunur. Ödəniş kartı  *"&amp;Məlumatlar!$O$3&amp;"* . Hörmətlə  *AlumPro*"</f>
        <v>Hörmətli *Vuqar*  , göstərilən xidmətə görə *0 AZN* borcunuz qalmışdır . Ödəniş etməyiniz xahiş olunur. Ödəniş kartı  *4098584464110962* . Hörmətlə  *AlumPro*</v>
      </c>
      <c r="N114" s="46"/>
    </row>
    <row r="115" spans="4:14" ht="17.25">
      <c r="D115" s="214" t="s">
        <v>959</v>
      </c>
      <c r="E115" s="247" t="s">
        <v>960</v>
      </c>
      <c r="F115" s="15">
        <f>COUNTIF(Sifarisler!$H$3:$H$10346,D115)</f>
        <v>0</v>
      </c>
      <c r="G115" s="248">
        <f>SUMIF(Sifarisler!$H$3:$H$10346,D115,Sifarisler!$AM$3:$AM$10346)</f>
        <v>0</v>
      </c>
      <c r="H115" s="248">
        <f>SUMIF(Sifarisler!$H$3:$H$10346,D115,Sifarisler!$AO$3:$AO$10346)</f>
        <v>0</v>
      </c>
      <c r="I115" s="249">
        <f>SUMIF(Sifarisler!$H$3:$H$10346,D115,Sifarisler!$AP$3:$AP$10346)</f>
        <v>0</v>
      </c>
      <c r="J115" s="250" t="str">
        <f t="shared" si="83"/>
        <v>Mesaj</v>
      </c>
      <c r="K115" s="9" t="str">
        <f t="shared" si="82"/>
        <v>Orxan</v>
      </c>
      <c r="L115" s="10" t="str">
        <f t="shared" si="81"/>
        <v xml:space="preserve">Orxan </v>
      </c>
      <c r="M115" s="251" t="str">
        <f>"Hörmətli *"&amp;K115&amp;"*  , göstərilən xidmətə görə *"&amp;I115&amp;" AZN* borcunuz qalmışdır . Ödəniş etməyiniz xahiş olunur. Ödəniş kartı  *"&amp;Məlumatlar!$O$3&amp;"* . Hörmətlə  *AlumPro*"</f>
        <v>Hörmətli *Orxan*  , göstərilən xidmətə görə *0 AZN* borcunuz qalmışdır . Ödəniş etməyiniz xahiş olunur. Ödəniş kartı  *4098584464110962* . Hörmətlə  *AlumPro*</v>
      </c>
      <c r="N115" s="46"/>
    </row>
    <row r="116" spans="4:14" ht="17.25">
      <c r="D116" s="214" t="s">
        <v>961</v>
      </c>
      <c r="E116" s="247" t="s">
        <v>962</v>
      </c>
      <c r="F116" s="15">
        <f>COUNTIF(Sifarisler!$H$3:$H$10346,D116)</f>
        <v>0</v>
      </c>
      <c r="G116" s="248">
        <f>SUMIF(Sifarisler!$H$3:$H$10346,D116,Sifarisler!$AM$3:$AM$10346)</f>
        <v>0</v>
      </c>
      <c r="H116" s="248">
        <f>SUMIF(Sifarisler!$H$3:$H$10346,D116,Sifarisler!$AO$3:$AO$10346)</f>
        <v>0</v>
      </c>
      <c r="I116" s="249">
        <f>SUMIF(Sifarisler!$H$3:$H$10346,D116,Sifarisler!$AP$3:$AP$10346)</f>
        <v>0</v>
      </c>
      <c r="J116" s="250" t="str">
        <f t="shared" si="83"/>
        <v>Mesaj</v>
      </c>
      <c r="K116" s="9" t="str">
        <f t="shared" si="82"/>
        <v>Heyder</v>
      </c>
      <c r="L116" s="10" t="str">
        <f t="shared" si="81"/>
        <v xml:space="preserve">Heyder </v>
      </c>
      <c r="M116" s="251" t="str">
        <f>"Hörmətli *"&amp;K116&amp;"*  , göstərilən xidmətə görə *"&amp;I116&amp;" AZN* borcunuz qalmışdır . Ödəniş etməyiniz xahiş olunur. Ödəniş kartı  *"&amp;Məlumatlar!$O$3&amp;"* . Hörmətlə  *AlumPro*"</f>
        <v>Hörmətli *Heyder*  , göstərilən xidmətə görə *0 AZN* borcunuz qalmışdır . Ödəniş etməyiniz xahiş olunur. Ödəniş kartı  *4098584464110962* . Hörmətlə  *AlumPro*</v>
      </c>
      <c r="N116" s="46"/>
    </row>
    <row r="117" spans="4:14" ht="17.25">
      <c r="D117" s="214" t="s">
        <v>361</v>
      </c>
      <c r="E117" s="247" t="s">
        <v>362</v>
      </c>
      <c r="F117" s="15">
        <f>COUNTIF(Sifarisler!$H$3:$H$10346,D117)</f>
        <v>1</v>
      </c>
      <c r="G117" s="248">
        <f>SUMIF(Sifarisler!$H$3:$H$10346,D117,Sifarisler!$AM$3:$AM$10346)</f>
        <v>500</v>
      </c>
      <c r="H117" s="248">
        <f>SUMIF(Sifarisler!$H$3:$H$10346,D117,Sifarisler!$AO$3:$AO$10346)</f>
        <v>0</v>
      </c>
      <c r="I117" s="249">
        <f>SUMIF(Sifarisler!$H$3:$H$10346,D117,Sifarisler!$AP$3:$AP$10346)</f>
        <v>500</v>
      </c>
      <c r="J117" s="250" t="str">
        <f t="shared" si="83"/>
        <v>Mesaj</v>
      </c>
      <c r="K117" s="9" t="str">
        <f t="shared" si="82"/>
        <v>Rufet</v>
      </c>
      <c r="L117" s="10" t="str">
        <f t="shared" ref="L117:L180" si="84">LEFT(D117,FIND("*",SUBSTITUTE(D117," ","*",1)))</f>
        <v xml:space="preserve">Rufet </v>
      </c>
      <c r="M117" s="251" t="str">
        <f>"Hörmətli *"&amp;K117&amp;"*  , göstərilən xidmətə görə *"&amp;I117&amp;" AZN* borcunuz qalmışdır . Ödəniş etməyiniz xahiş olunur. Ödəniş kartı  *"&amp;Məlumatlar!$O$3&amp;"* . Hörmətlə  *AlumPro*"</f>
        <v>Hörmətli *Rufet*  , göstərilən xidmətə görə *500 AZN* borcunuz qalmışdır . Ödəniş etməyiniz xahiş olunur. Ödəniş kartı  *4098584464110962* . Hörmətlə  *AlumPro*</v>
      </c>
      <c r="N117" s="46"/>
    </row>
    <row r="118" spans="4:14" ht="17.25">
      <c r="D118" s="214" t="s">
        <v>963</v>
      </c>
      <c r="E118" s="247" t="s">
        <v>964</v>
      </c>
      <c r="F118" s="15">
        <f>COUNTIF(Sifarisler!$H$3:$H$10346,D118)</f>
        <v>0</v>
      </c>
      <c r="G118" s="248">
        <f>SUMIF(Sifarisler!$H$3:$H$10346,D118,Sifarisler!$AM$3:$AM$10346)</f>
        <v>0</v>
      </c>
      <c r="H118" s="248">
        <f>SUMIF(Sifarisler!$H$3:$H$10346,D118,Sifarisler!$AO$3:$AO$10346)</f>
        <v>0</v>
      </c>
      <c r="I118" s="249">
        <f>SUMIF(Sifarisler!$H$3:$H$10346,D118,Sifarisler!$AP$3:$AP$10346)</f>
        <v>0</v>
      </c>
      <c r="J118" s="250" t="str">
        <f t="shared" si="83"/>
        <v>Mesaj</v>
      </c>
      <c r="K118" s="9" t="str">
        <f t="shared" si="82"/>
        <v>Eldeniz</v>
      </c>
      <c r="L118" s="10" t="str">
        <f t="shared" si="84"/>
        <v xml:space="preserve">Eldeniz </v>
      </c>
      <c r="M118" s="251" t="str">
        <f>"Hörmətli *"&amp;K118&amp;"*  , göstərilən xidmətə görə *"&amp;I118&amp;" AZN* borcunuz qalmışdır . Ödəniş etməyiniz xahiş olunur. Ödəniş kartı  *"&amp;Məlumatlar!$O$3&amp;"* . Hörmətlə  *AlumPro*"</f>
        <v>Hörmətli *Eldeniz*  , göstərilən xidmətə görə *0 AZN* borcunuz qalmışdır . Ödəniş etməyiniz xahiş olunur. Ödəniş kartı  *4098584464110962* . Hörmətlə  *AlumPro*</v>
      </c>
      <c r="N118" s="46"/>
    </row>
    <row r="119" spans="4:14" ht="17.25">
      <c r="D119" s="214" t="s">
        <v>965</v>
      </c>
      <c r="E119" s="247" t="s">
        <v>966</v>
      </c>
      <c r="F119" s="15">
        <f>COUNTIF(Sifarisler!$H$3:$H$10346,D119)</f>
        <v>0</v>
      </c>
      <c r="G119" s="248">
        <f>SUMIF(Sifarisler!$H$3:$H$10346,D119,Sifarisler!$AM$3:$AM$10346)</f>
        <v>0</v>
      </c>
      <c r="H119" s="248">
        <f>SUMIF(Sifarisler!$H$3:$H$10346,D119,Sifarisler!$AO$3:$AO$10346)</f>
        <v>0</v>
      </c>
      <c r="I119" s="249">
        <f>SUMIF(Sifarisler!$H$3:$H$10346,D119,Sifarisler!$AP$3:$AP$10346)</f>
        <v>0</v>
      </c>
      <c r="J119" s="250" t="str">
        <f t="shared" si="83"/>
        <v>Mesaj</v>
      </c>
      <c r="K119" s="9" t="str">
        <f t="shared" si="82"/>
        <v>Zaur</v>
      </c>
      <c r="L119" s="10" t="str">
        <f t="shared" si="84"/>
        <v xml:space="preserve">Zaur </v>
      </c>
      <c r="M119" s="251" t="str">
        <f>"Hörmətli *"&amp;K119&amp;"*  , göstərilən xidmətə görə *"&amp;I119&amp;" AZN* borcunuz qalmışdır . Ödəniş etməyiniz xahiş olunur. Ödəniş kartı  *"&amp;Məlumatlar!$O$3&amp;"* . Hörmətlə  *AlumPro*"</f>
        <v>Hörmətli *Zaur*  , göstərilən xidmətə görə *0 AZN* borcunuz qalmışdır . Ödəniş etməyiniz xahiş olunur. Ödəniş kartı  *4098584464110962* . Hörmətlə  *AlumPro*</v>
      </c>
      <c r="N119" s="46"/>
    </row>
    <row r="120" spans="4:14" ht="17.25">
      <c r="D120" s="214" t="s">
        <v>967</v>
      </c>
      <c r="E120" s="247" t="s">
        <v>968</v>
      </c>
      <c r="F120" s="15">
        <f>COUNTIF(Sifarisler!$H$3:$H$10346,D120)</f>
        <v>0</v>
      </c>
      <c r="G120" s="248">
        <f>SUMIF(Sifarisler!$H$3:$H$10346,D120,Sifarisler!$AM$3:$AM$10346)</f>
        <v>0</v>
      </c>
      <c r="H120" s="248">
        <f>SUMIF(Sifarisler!$H$3:$H$10346,D120,Sifarisler!$AO$3:$AO$10346)</f>
        <v>0</v>
      </c>
      <c r="I120" s="249">
        <f>SUMIF(Sifarisler!$H$3:$H$10346,D120,Sifarisler!$AP$3:$AP$10346)</f>
        <v>0</v>
      </c>
      <c r="J120" s="250" t="str">
        <f t="shared" si="83"/>
        <v>Mesaj</v>
      </c>
      <c r="K120" s="9" t="str">
        <f t="shared" ref="K120:K183" si="85">SUBSTITUTE(L120," ","")</f>
        <v>Ferzeli</v>
      </c>
      <c r="L120" s="10" t="str">
        <f t="shared" si="84"/>
        <v xml:space="preserve">Ferzeli </v>
      </c>
      <c r="M120" s="251" t="str">
        <f>"Hörmətli *"&amp;K120&amp;"*  , göstərilən xidmətə görə *"&amp;I120&amp;" AZN* borcunuz qalmışdır . Ödəniş etməyiniz xahiş olunur. Ödəniş kartı  *"&amp;Məlumatlar!$O$3&amp;"* . Hörmətlə  *AlumPro*"</f>
        <v>Hörmətli *Ferzeli*  , göstərilən xidmətə görə *0 AZN* borcunuz qalmışdır . Ödəniş etməyiniz xahiş olunur. Ödəniş kartı  *4098584464110962* . Hörmətlə  *AlumPro*</v>
      </c>
      <c r="N120" s="46"/>
    </row>
    <row r="121" spans="4:14" ht="17.25">
      <c r="D121" s="214" t="s">
        <v>969</v>
      </c>
      <c r="E121" s="247" t="s">
        <v>970</v>
      </c>
      <c r="F121" s="15">
        <f>COUNTIF(Sifarisler!$H$3:$H$10346,D121)</f>
        <v>0</v>
      </c>
      <c r="G121" s="248">
        <f>SUMIF(Sifarisler!$H$3:$H$10346,D121,Sifarisler!$AM$3:$AM$10346)</f>
        <v>0</v>
      </c>
      <c r="H121" s="248">
        <f>SUMIF(Sifarisler!$H$3:$H$10346,D121,Sifarisler!$AO$3:$AO$10346)</f>
        <v>0</v>
      </c>
      <c r="I121" s="249">
        <f>SUMIF(Sifarisler!$H$3:$H$10346,D121,Sifarisler!$AP$3:$AP$10346)</f>
        <v>0</v>
      </c>
      <c r="J121" s="250" t="str">
        <f t="shared" si="83"/>
        <v>Mesaj</v>
      </c>
      <c r="K121" s="9" t="str">
        <f t="shared" si="85"/>
        <v>Vahid</v>
      </c>
      <c r="L121" s="10" t="str">
        <f t="shared" si="84"/>
        <v xml:space="preserve">Vahid </v>
      </c>
      <c r="M121" s="251" t="str">
        <f>"Hörmətli *"&amp;K121&amp;"*  , göstərilən xidmətə görə *"&amp;I121&amp;" AZN* borcunuz qalmışdır . Ödəniş etməyiniz xahiş olunur. Ödəniş kartı  *"&amp;Məlumatlar!$O$3&amp;"* . Hörmətlə  *AlumPro*"</f>
        <v>Hörmətli *Vahid*  , göstərilən xidmətə görə *0 AZN* borcunuz qalmışdır . Ödəniş etməyiniz xahiş olunur. Ödəniş kartı  *4098584464110962* . Hörmətlə  *AlumPro*</v>
      </c>
      <c r="N121" s="46"/>
    </row>
    <row r="122" spans="4:14" ht="17.25">
      <c r="D122" s="214" t="s">
        <v>971</v>
      </c>
      <c r="E122" s="247" t="s">
        <v>972</v>
      </c>
      <c r="F122" s="15">
        <f>COUNTIF(Sifarisler!$H$3:$H$10346,D122)</f>
        <v>0</v>
      </c>
      <c r="G122" s="248">
        <f>SUMIF(Sifarisler!$H$3:$H$10346,D122,Sifarisler!$AM$3:$AM$10346)</f>
        <v>0</v>
      </c>
      <c r="H122" s="248">
        <f>SUMIF(Sifarisler!$H$3:$H$10346,D122,Sifarisler!$AO$3:$AO$10346)</f>
        <v>0</v>
      </c>
      <c r="I122" s="249">
        <f>SUMIF(Sifarisler!$H$3:$H$10346,D122,Sifarisler!$AP$3:$AP$10346)</f>
        <v>0</v>
      </c>
      <c r="J122" s="250" t="str">
        <f t="shared" si="83"/>
        <v>Mesaj</v>
      </c>
      <c r="K122" s="9" t="str">
        <f t="shared" si="85"/>
        <v>Zaur</v>
      </c>
      <c r="L122" s="10" t="str">
        <f t="shared" si="84"/>
        <v xml:space="preserve">Zaur </v>
      </c>
      <c r="M122" s="251" t="str">
        <f>"Hörmətli *"&amp;K122&amp;"*  , göstərilən xidmətə görə *"&amp;I122&amp;" AZN* borcunuz qalmışdır . Ödəniş etməyiniz xahiş olunur. Ödəniş kartı  *"&amp;Məlumatlar!$O$3&amp;"* . Hörmətlə  *AlumPro*"</f>
        <v>Hörmətli *Zaur*  , göstərilən xidmətə görə *0 AZN* borcunuz qalmışdır . Ödəniş etməyiniz xahiş olunur. Ödəniş kartı  *4098584464110962* . Hörmətlə  *AlumPro*</v>
      </c>
      <c r="N122" s="46"/>
    </row>
    <row r="123" spans="4:14" ht="17.25">
      <c r="D123" s="214" t="s">
        <v>973</v>
      </c>
      <c r="E123" s="247" t="s">
        <v>974</v>
      </c>
      <c r="F123" s="15">
        <f>COUNTIF(Sifarisler!$H$3:$H$10346,D123)</f>
        <v>0</v>
      </c>
      <c r="G123" s="248">
        <f>SUMIF(Sifarisler!$H$3:$H$10346,D123,Sifarisler!$AM$3:$AM$10346)</f>
        <v>0</v>
      </c>
      <c r="H123" s="248">
        <f>SUMIF(Sifarisler!$H$3:$H$10346,D123,Sifarisler!$AO$3:$AO$10346)</f>
        <v>0</v>
      </c>
      <c r="I123" s="249">
        <f>SUMIF(Sifarisler!$H$3:$H$10346,D123,Sifarisler!$AP$3:$AP$10346)</f>
        <v>0</v>
      </c>
      <c r="J123" s="250" t="str">
        <f t="shared" si="83"/>
        <v>Mesaj</v>
      </c>
      <c r="K123" s="9" t="str">
        <f t="shared" si="85"/>
        <v>Kleynt</v>
      </c>
      <c r="L123" s="10" t="str">
        <f t="shared" si="84"/>
        <v xml:space="preserve">Kleynt </v>
      </c>
      <c r="M123" s="251" t="str">
        <f>"Hörmətli *"&amp;K123&amp;"*  , göstərilən xidmətə görə *"&amp;I123&amp;" AZN* borcunuz qalmışdır . Ödəniş etməyiniz xahiş olunur. Ödəniş kartı  *"&amp;Məlumatlar!$O$3&amp;"* . Hörmətlə  *AlumPro*"</f>
        <v>Hörmətli *Kleynt*  , göstərilən xidmətə görə *0 AZN* borcunuz qalmışdır . Ödəniş etməyiniz xahiş olunur. Ödəniş kartı  *4098584464110962* . Hörmətlə  *AlumPro*</v>
      </c>
      <c r="N123" s="46"/>
    </row>
    <row r="124" spans="4:14" ht="17.25">
      <c r="D124" s="214" t="s">
        <v>975</v>
      </c>
      <c r="E124" s="247" t="s">
        <v>976</v>
      </c>
      <c r="F124" s="15">
        <f>COUNTIF(Sifarisler!$H$3:$H$10346,D124)</f>
        <v>0</v>
      </c>
      <c r="G124" s="248">
        <f>SUMIF(Sifarisler!$H$3:$H$10346,D124,Sifarisler!$AM$3:$AM$10346)</f>
        <v>0</v>
      </c>
      <c r="H124" s="248">
        <f>SUMIF(Sifarisler!$H$3:$H$10346,D124,Sifarisler!$AO$3:$AO$10346)</f>
        <v>0</v>
      </c>
      <c r="I124" s="249">
        <f>SUMIF(Sifarisler!$H$3:$H$10346,D124,Sifarisler!$AP$3:$AP$10346)</f>
        <v>0</v>
      </c>
      <c r="J124" s="250" t="str">
        <f t="shared" si="83"/>
        <v>Mesaj</v>
      </c>
      <c r="K124" s="9" t="str">
        <f t="shared" si="85"/>
        <v>Eltun</v>
      </c>
      <c r="L124" s="10" t="str">
        <f t="shared" si="84"/>
        <v xml:space="preserve">Eltun </v>
      </c>
      <c r="M124" s="251" t="str">
        <f>"Hörmətli *"&amp;K124&amp;"*  , göstərilən xidmətə görə *"&amp;I124&amp;" AZN* borcunuz qalmışdır . Ödəniş etməyiniz xahiş olunur. Ödəniş kartı  *"&amp;Məlumatlar!$O$3&amp;"* . Hörmətlə  *AlumPro*"</f>
        <v>Hörmətli *Eltun*  , göstərilən xidmətə görə *0 AZN* borcunuz qalmışdır . Ödəniş etməyiniz xahiş olunur. Ödəniş kartı  *4098584464110962* . Hörmətlə  *AlumPro*</v>
      </c>
      <c r="N124" s="46"/>
    </row>
    <row r="125" spans="4:14" ht="17.25">
      <c r="D125" s="214" t="s">
        <v>977</v>
      </c>
      <c r="E125" s="247" t="s">
        <v>978</v>
      </c>
      <c r="F125" s="15">
        <f>COUNTIF(Sifarisler!$H$3:$H$10346,D125)</f>
        <v>0</v>
      </c>
      <c r="G125" s="248">
        <f>SUMIF(Sifarisler!$H$3:$H$10346,D125,Sifarisler!$AM$3:$AM$10346)</f>
        <v>0</v>
      </c>
      <c r="H125" s="248">
        <f>SUMIF(Sifarisler!$H$3:$H$10346,D125,Sifarisler!$AO$3:$AO$10346)</f>
        <v>0</v>
      </c>
      <c r="I125" s="249">
        <f>SUMIF(Sifarisler!$H$3:$H$10346,D125,Sifarisler!$AP$3:$AP$10346)</f>
        <v>0</v>
      </c>
      <c r="J125" s="250" t="str">
        <f t="shared" si="83"/>
        <v>Mesaj</v>
      </c>
      <c r="K125" s="9" t="str">
        <f t="shared" si="85"/>
        <v>Andery</v>
      </c>
      <c r="L125" s="10" t="str">
        <f t="shared" si="84"/>
        <v xml:space="preserve">Andery </v>
      </c>
      <c r="M125" s="251" t="str">
        <f>"Hörmətli *"&amp;K125&amp;"*  , göstərilən xidmətə görə *"&amp;I125&amp;" AZN* borcunuz qalmışdır . Ödəniş etməyiniz xahiş olunur. Ödəniş kartı  *"&amp;Məlumatlar!$O$3&amp;"* . Hörmətlə  *AlumPro*"</f>
        <v>Hörmətli *Andery*  , göstərilən xidmətə görə *0 AZN* borcunuz qalmışdır . Ödəniş etməyiniz xahiş olunur. Ödəniş kartı  *4098584464110962* . Hörmətlə  *AlumPro*</v>
      </c>
      <c r="N125" s="46"/>
    </row>
    <row r="126" spans="4:14" ht="17.25">
      <c r="D126" s="214" t="s">
        <v>979</v>
      </c>
      <c r="E126" s="247" t="s">
        <v>980</v>
      </c>
      <c r="F126" s="15">
        <f>COUNTIF(Sifarisler!$H$3:$H$10346,D126)</f>
        <v>0</v>
      </c>
      <c r="G126" s="248">
        <f>SUMIF(Sifarisler!$H$3:$H$10346,D126,Sifarisler!$AM$3:$AM$10346)</f>
        <v>0</v>
      </c>
      <c r="H126" s="248">
        <f>SUMIF(Sifarisler!$H$3:$H$10346,D126,Sifarisler!$AO$3:$AO$10346)</f>
        <v>0</v>
      </c>
      <c r="I126" s="249">
        <f>SUMIF(Sifarisler!$H$3:$H$10346,D126,Sifarisler!$AP$3:$AP$10346)</f>
        <v>0</v>
      </c>
      <c r="J126" s="250" t="str">
        <f t="shared" si="83"/>
        <v>Mesaj</v>
      </c>
      <c r="K126" s="9" t="str">
        <f t="shared" si="85"/>
        <v>Seyidov</v>
      </c>
      <c r="L126" s="10" t="str">
        <f t="shared" si="84"/>
        <v xml:space="preserve">Seyidov </v>
      </c>
      <c r="M126" s="251" t="str">
        <f>"Hörmətli *"&amp;K126&amp;"*  , göstərilən xidmətə görə *"&amp;I126&amp;" AZN* borcunuz qalmışdır . Ödəniş etməyiniz xahiş olunur. Ödəniş kartı  *"&amp;Məlumatlar!$O$3&amp;"* . Hörmətlə  *AlumPro*"</f>
        <v>Hörmətli *Seyidov*  , göstərilən xidmətə görə *0 AZN* borcunuz qalmışdır . Ödəniş etməyiniz xahiş olunur. Ödəniş kartı  *4098584464110962* . Hörmətlə  *AlumPro*</v>
      </c>
      <c r="N126" s="46"/>
    </row>
    <row r="127" spans="4:14" ht="17.25">
      <c r="D127" s="214" t="s">
        <v>981</v>
      </c>
      <c r="E127" s="247" t="s">
        <v>982</v>
      </c>
      <c r="F127" s="15">
        <f>COUNTIF(Sifarisler!$H$3:$H$10346,D127)</f>
        <v>0</v>
      </c>
      <c r="G127" s="248">
        <f>SUMIF(Sifarisler!$H$3:$H$10346,D127,Sifarisler!$AM$3:$AM$10346)</f>
        <v>0</v>
      </c>
      <c r="H127" s="248">
        <f>SUMIF(Sifarisler!$H$3:$H$10346,D127,Sifarisler!$AO$3:$AO$10346)</f>
        <v>0</v>
      </c>
      <c r="I127" s="249">
        <f>SUMIF(Sifarisler!$H$3:$H$10346,D127,Sifarisler!$AP$3:$AP$10346)</f>
        <v>0</v>
      </c>
      <c r="J127" s="250" t="str">
        <f t="shared" si="83"/>
        <v>Mesaj</v>
      </c>
      <c r="K127" s="9" t="str">
        <f t="shared" si="85"/>
        <v>Yusif</v>
      </c>
      <c r="L127" s="10" t="str">
        <f t="shared" si="84"/>
        <v xml:space="preserve">Yusif </v>
      </c>
      <c r="M127" s="251" t="str">
        <f>"Hörmətli *"&amp;K127&amp;"*  , göstərilən xidmətə görə *"&amp;I127&amp;" AZN* borcunuz qalmışdır . Ödəniş etməyiniz xahiş olunur. Ödəniş kartı  *"&amp;Məlumatlar!$O$3&amp;"* . Hörmətlə  *AlumPro*"</f>
        <v>Hörmətli *Yusif*  , göstərilən xidmətə görə *0 AZN* borcunuz qalmışdır . Ödəniş etməyiniz xahiş olunur. Ödəniş kartı  *4098584464110962* . Hörmətlə  *AlumPro*</v>
      </c>
      <c r="N127" s="46"/>
    </row>
    <row r="128" spans="4:14" ht="17.25">
      <c r="D128" s="214" t="s">
        <v>983</v>
      </c>
      <c r="E128" s="247" t="s">
        <v>984</v>
      </c>
      <c r="F128" s="15">
        <f>COUNTIF(Sifarisler!$H$3:$H$10346,D128)</f>
        <v>0</v>
      </c>
      <c r="G128" s="248">
        <f>SUMIF(Sifarisler!$H$3:$H$10346,D128,Sifarisler!$AM$3:$AM$10346)</f>
        <v>0</v>
      </c>
      <c r="H128" s="248">
        <f>SUMIF(Sifarisler!$H$3:$H$10346,D128,Sifarisler!$AO$3:$AO$10346)</f>
        <v>0</v>
      </c>
      <c r="I128" s="249">
        <f>SUMIF(Sifarisler!$H$3:$H$10346,D128,Sifarisler!$AP$3:$AP$10346)</f>
        <v>0</v>
      </c>
      <c r="J128" s="250" t="str">
        <f t="shared" si="83"/>
        <v>Mesaj</v>
      </c>
      <c r="K128" s="9" t="str">
        <f t="shared" si="85"/>
        <v>Heyder</v>
      </c>
      <c r="L128" s="10" t="str">
        <f t="shared" si="84"/>
        <v xml:space="preserve">Heyder </v>
      </c>
      <c r="M128" s="251" t="str">
        <f>"Hörmətli *"&amp;K128&amp;"*  , göstərilən xidmətə görə *"&amp;I128&amp;" AZN* borcunuz qalmışdır . Ödəniş etməyiniz xahiş olunur. Ödəniş kartı  *"&amp;Məlumatlar!$O$3&amp;"* . Hörmətlə  *AlumPro*"</f>
        <v>Hörmətli *Heyder*  , göstərilən xidmətə görə *0 AZN* borcunuz qalmışdır . Ödəniş etməyiniz xahiş olunur. Ödəniş kartı  *4098584464110962* . Hörmətlə  *AlumPro*</v>
      </c>
      <c r="N128" s="46"/>
    </row>
    <row r="129" spans="4:14" ht="17.25">
      <c r="D129" s="214" t="s">
        <v>985</v>
      </c>
      <c r="E129" s="247" t="s">
        <v>986</v>
      </c>
      <c r="F129" s="15">
        <f>COUNTIF(Sifarisler!$H$3:$H$10346,D129)</f>
        <v>0</v>
      </c>
      <c r="G129" s="248">
        <f>SUMIF(Sifarisler!$H$3:$H$10346,D129,Sifarisler!$AM$3:$AM$10346)</f>
        <v>0</v>
      </c>
      <c r="H129" s="248">
        <f>SUMIF(Sifarisler!$H$3:$H$10346,D129,Sifarisler!$AO$3:$AO$10346)</f>
        <v>0</v>
      </c>
      <c r="I129" s="249">
        <f>SUMIF(Sifarisler!$H$3:$H$10346,D129,Sifarisler!$AP$3:$AP$10346)</f>
        <v>0</v>
      </c>
      <c r="J129" s="250" t="str">
        <f t="shared" si="83"/>
        <v>Mesaj</v>
      </c>
      <c r="K129" s="9" t="str">
        <f t="shared" si="85"/>
        <v>Tural</v>
      </c>
      <c r="L129" s="10" t="str">
        <f t="shared" si="84"/>
        <v xml:space="preserve">Tural </v>
      </c>
      <c r="M129" s="251" t="str">
        <f>"Hörmətli *"&amp;K129&amp;"*  , göstərilən xidmətə görə *"&amp;I129&amp;" AZN* borcunuz qalmışdır . Ödəniş etməyiniz xahiş olunur. Ödəniş kartı  *"&amp;Məlumatlar!$O$3&amp;"* . Hörmətlə  *AlumPro*"</f>
        <v>Hörmətli *Tural*  , göstərilən xidmətə görə *0 AZN* borcunuz qalmışdır . Ödəniş etməyiniz xahiş olunur. Ödəniş kartı  *4098584464110962* . Hörmətlə  *AlumPro*</v>
      </c>
      <c r="N129" s="46"/>
    </row>
    <row r="130" spans="4:14" ht="17.25">
      <c r="D130" s="214" t="s">
        <v>987</v>
      </c>
      <c r="E130" s="247" t="s">
        <v>988</v>
      </c>
      <c r="F130" s="15">
        <f>COUNTIF(Sifarisler!$H$3:$H$10346,D130)</f>
        <v>0</v>
      </c>
      <c r="G130" s="248">
        <f>SUMIF(Sifarisler!$H$3:$H$10346,D130,Sifarisler!$AM$3:$AM$10346)</f>
        <v>0</v>
      </c>
      <c r="H130" s="248">
        <f>SUMIF(Sifarisler!$H$3:$H$10346,D130,Sifarisler!$AO$3:$AO$10346)</f>
        <v>0</v>
      </c>
      <c r="I130" s="249">
        <f>SUMIF(Sifarisler!$H$3:$H$10346,D130,Sifarisler!$AP$3:$AP$10346)</f>
        <v>0</v>
      </c>
      <c r="J130" s="250" t="str">
        <f t="shared" si="83"/>
        <v>Mesaj</v>
      </c>
      <c r="K130" s="9" t="str">
        <f t="shared" si="85"/>
        <v>Ismail</v>
      </c>
      <c r="L130" s="10" t="str">
        <f t="shared" si="84"/>
        <v xml:space="preserve">Ismail </v>
      </c>
      <c r="M130" s="251" t="str">
        <f>"Hörmətli *"&amp;K130&amp;"*  , göstərilən xidmətə görə *"&amp;I130&amp;" AZN* borcunuz qalmışdır . Ödəniş etməyiniz xahiş olunur. Ödəniş kartı  *"&amp;Məlumatlar!$O$3&amp;"* . Hörmətlə  *AlumPro*"</f>
        <v>Hörmətli *Ismail*  , göstərilən xidmətə görə *0 AZN* borcunuz qalmışdır . Ödəniş etməyiniz xahiş olunur. Ödəniş kartı  *4098584464110962* . Hörmətlə  *AlumPro*</v>
      </c>
      <c r="N130" s="46"/>
    </row>
    <row r="131" spans="4:14" ht="17.25">
      <c r="D131" s="214" t="s">
        <v>989</v>
      </c>
      <c r="E131" s="247" t="s">
        <v>990</v>
      </c>
      <c r="F131" s="15">
        <f>COUNTIF(Sifarisler!$H$3:$H$10346,D131)</f>
        <v>0</v>
      </c>
      <c r="G131" s="248">
        <f>SUMIF(Sifarisler!$H$3:$H$10346,D131,Sifarisler!$AM$3:$AM$10346)</f>
        <v>0</v>
      </c>
      <c r="H131" s="248">
        <f>SUMIF(Sifarisler!$H$3:$H$10346,D131,Sifarisler!$AO$3:$AO$10346)</f>
        <v>0</v>
      </c>
      <c r="I131" s="249">
        <f>SUMIF(Sifarisler!$H$3:$H$10346,D131,Sifarisler!$AP$3:$AP$10346)</f>
        <v>0</v>
      </c>
      <c r="J131" s="250" t="str">
        <f t="shared" ref="J131:J194" si="86">HYPERLINK("https://web.whatsapp.com/send?phone="&amp;E131&amp;"&amp;text="&amp;M131,"Mesaj")</f>
        <v>Mesaj</v>
      </c>
      <c r="K131" s="9" t="str">
        <f t="shared" si="85"/>
        <v>Miko</v>
      </c>
      <c r="L131" s="10" t="str">
        <f t="shared" si="84"/>
        <v xml:space="preserve">Miko </v>
      </c>
      <c r="M131" s="251" t="str">
        <f>"Hörmətli *"&amp;K131&amp;"*  , göstərilən xidmətə görə *"&amp;I131&amp;" AZN* borcunuz qalmışdır . Ödəniş etməyiniz xahiş olunur. Ödəniş kartı  *"&amp;Məlumatlar!$O$3&amp;"* . Hörmətlə  *AlumPro*"</f>
        <v>Hörmətli *Miko*  , göstərilən xidmətə görə *0 AZN* borcunuz qalmışdır . Ödəniş etməyiniz xahiş olunur. Ödəniş kartı  *4098584464110962* . Hörmətlə  *AlumPro*</v>
      </c>
      <c r="N131" s="46"/>
    </row>
    <row r="132" spans="4:14" ht="17.25">
      <c r="D132" s="214" t="s">
        <v>355</v>
      </c>
      <c r="E132" s="247" t="s">
        <v>356</v>
      </c>
      <c r="F132" s="15">
        <f>COUNTIF(Sifarisler!$H$3:$H$10346,D132)</f>
        <v>1</v>
      </c>
      <c r="G132" s="248">
        <f>SUMIF(Sifarisler!$H$3:$H$10346,D132,Sifarisler!$AM$3:$AM$10346)</f>
        <v>1265</v>
      </c>
      <c r="H132" s="248">
        <f>SUMIF(Sifarisler!$H$3:$H$10346,D132,Sifarisler!$AO$3:$AO$10346)</f>
        <v>0</v>
      </c>
      <c r="I132" s="249">
        <f>SUMIF(Sifarisler!$H$3:$H$10346,D132,Sifarisler!$AP$3:$AP$10346)</f>
        <v>1265</v>
      </c>
      <c r="J132" s="250" t="str">
        <f t="shared" si="86"/>
        <v>Mesaj</v>
      </c>
      <c r="K132" s="9" t="str">
        <f t="shared" si="85"/>
        <v>Sabir</v>
      </c>
      <c r="L132" s="10" t="str">
        <f t="shared" si="84"/>
        <v xml:space="preserve">Sabir </v>
      </c>
      <c r="M132" s="251" t="str">
        <f>"Hörmətli *"&amp;K132&amp;"*  , göstərilən xidmətə görə *"&amp;I132&amp;" AZN* borcunuz qalmışdır . Ödəniş etməyiniz xahiş olunur. Ödəniş kartı  *"&amp;Məlumatlar!$O$3&amp;"* . Hörmətlə  *AlumPro*"</f>
        <v>Hörmətli *Sabir*  , göstərilən xidmətə görə *1265 AZN* borcunuz qalmışdır . Ödəniş etməyiniz xahiş olunur. Ödəniş kartı  *4098584464110962* . Hörmətlə  *AlumPro*</v>
      </c>
      <c r="N132" s="46"/>
    </row>
    <row r="133" spans="4:14" ht="17.25">
      <c r="D133" s="214" t="s">
        <v>991</v>
      </c>
      <c r="E133" s="247" t="s">
        <v>992</v>
      </c>
      <c r="F133" s="15">
        <f>COUNTIF(Sifarisler!$H$3:$H$10346,D133)</f>
        <v>0</v>
      </c>
      <c r="G133" s="248">
        <f>SUMIF(Sifarisler!$H$3:$H$10346,D133,Sifarisler!$AM$3:$AM$10346)</f>
        <v>0</v>
      </c>
      <c r="H133" s="248">
        <f>SUMIF(Sifarisler!$H$3:$H$10346,D133,Sifarisler!$AO$3:$AO$10346)</f>
        <v>0</v>
      </c>
      <c r="I133" s="249">
        <f>SUMIF(Sifarisler!$H$3:$H$10346,D133,Sifarisler!$AP$3:$AP$10346)</f>
        <v>0</v>
      </c>
      <c r="J133" s="250" t="str">
        <f t="shared" si="86"/>
        <v>Mesaj</v>
      </c>
      <c r="K133" s="9" t="str">
        <f t="shared" si="85"/>
        <v>Gunduz</v>
      </c>
      <c r="L133" s="10" t="str">
        <f t="shared" si="84"/>
        <v xml:space="preserve">Gunduz </v>
      </c>
      <c r="M133" s="251" t="str">
        <f>"Hörmətli *"&amp;K133&amp;"*  , göstərilən xidmətə görə *"&amp;I133&amp;" AZN* borcunuz qalmışdır . Ödəniş etməyiniz xahiş olunur. Ödəniş kartı  *"&amp;Məlumatlar!$O$3&amp;"* . Hörmətlə  *AlumPro*"</f>
        <v>Hörmətli *Gunduz*  , göstərilən xidmətə görə *0 AZN* borcunuz qalmışdır . Ödəniş etməyiniz xahiş olunur. Ödəniş kartı  *4098584464110962* . Hörmətlə  *AlumPro*</v>
      </c>
      <c r="N133" s="46"/>
    </row>
    <row r="134" spans="4:14" ht="17.25">
      <c r="D134" s="214" t="s">
        <v>645</v>
      </c>
      <c r="E134" s="247" t="s">
        <v>646</v>
      </c>
      <c r="F134" s="15">
        <f>COUNTIF(Sifarisler!$H$3:$H$10346,D134)</f>
        <v>1</v>
      </c>
      <c r="G134" s="248">
        <f>SUMIF(Sifarisler!$H$3:$H$10346,D134,Sifarisler!$AM$3:$AM$10346)</f>
        <v>101</v>
      </c>
      <c r="H134" s="248">
        <f>SUMIF(Sifarisler!$H$3:$H$10346,D134,Sifarisler!$AO$3:$AO$10346)</f>
        <v>100</v>
      </c>
      <c r="I134" s="249">
        <f>SUMIF(Sifarisler!$H$3:$H$10346,D134,Sifarisler!$AP$3:$AP$10346)</f>
        <v>0</v>
      </c>
      <c r="J134" s="250" t="str">
        <f t="shared" si="86"/>
        <v>Mesaj</v>
      </c>
      <c r="K134" s="9" t="str">
        <f t="shared" si="85"/>
        <v>Emin</v>
      </c>
      <c r="L134" s="10" t="str">
        <f t="shared" si="84"/>
        <v xml:space="preserve">Emin </v>
      </c>
      <c r="M134" s="251" t="str">
        <f>"Hörmətli *"&amp;K134&amp;"*  , göstərilən xidmətə görə *"&amp;I134&amp;" AZN* borcunuz qalmışdır . Ödəniş etməyiniz xahiş olunur. Ödəniş kartı  *"&amp;Məlumatlar!$O$3&amp;"* . Hörmətlə  *AlumPro*"</f>
        <v>Hörmətli *Emin*  , göstərilən xidmətə görə *0 AZN* borcunuz qalmışdır . Ödəniş etməyiniz xahiş olunur. Ödəniş kartı  *4098584464110962* . Hörmətlə  *AlumPro*</v>
      </c>
      <c r="N134" s="46"/>
    </row>
    <row r="135" spans="4:14" ht="17.25">
      <c r="D135" s="214" t="s">
        <v>993</v>
      </c>
      <c r="E135" s="247" t="s">
        <v>994</v>
      </c>
      <c r="F135" s="15">
        <f>COUNTIF(Sifarisler!$H$3:$H$10346,D135)</f>
        <v>0</v>
      </c>
      <c r="G135" s="248">
        <f>SUMIF(Sifarisler!$H$3:$H$10346,D135,Sifarisler!$AM$3:$AM$10346)</f>
        <v>0</v>
      </c>
      <c r="H135" s="248">
        <f>SUMIF(Sifarisler!$H$3:$H$10346,D135,Sifarisler!$AO$3:$AO$10346)</f>
        <v>0</v>
      </c>
      <c r="I135" s="249">
        <f>SUMIF(Sifarisler!$H$3:$H$10346,D135,Sifarisler!$AP$3:$AP$10346)</f>
        <v>0</v>
      </c>
      <c r="J135" s="250" t="str">
        <f t="shared" si="86"/>
        <v>Mesaj</v>
      </c>
      <c r="K135" s="9" t="str">
        <f t="shared" si="85"/>
        <v>Irfan</v>
      </c>
      <c r="L135" s="10" t="str">
        <f t="shared" si="84"/>
        <v xml:space="preserve">Irfan </v>
      </c>
      <c r="M135" s="251" t="str">
        <f>"Hörmətli *"&amp;K135&amp;"*  , göstərilən xidmətə görə *"&amp;I135&amp;" AZN* borcunuz qalmışdır . Ödəniş etməyiniz xahiş olunur. Ödəniş kartı  *"&amp;Məlumatlar!$O$3&amp;"* . Hörmətlə  *AlumPro*"</f>
        <v>Hörmətli *Irfan*  , göstərilən xidmətə görə *0 AZN* borcunuz qalmışdır . Ödəniş etməyiniz xahiş olunur. Ödəniş kartı  *4098584464110962* . Hörmətlə  *AlumPro*</v>
      </c>
      <c r="N135" s="46"/>
    </row>
    <row r="136" spans="4:14" ht="17.25">
      <c r="D136" s="214" t="s">
        <v>995</v>
      </c>
      <c r="E136" s="247" t="s">
        <v>996</v>
      </c>
      <c r="F136" s="15">
        <f>COUNTIF(Sifarisler!$H$3:$H$10346,D136)</f>
        <v>0</v>
      </c>
      <c r="G136" s="248">
        <f>SUMIF(Sifarisler!$H$3:$H$10346,D136,Sifarisler!$AM$3:$AM$10346)</f>
        <v>0</v>
      </c>
      <c r="H136" s="248">
        <f>SUMIF(Sifarisler!$H$3:$H$10346,D136,Sifarisler!$AO$3:$AO$10346)</f>
        <v>0</v>
      </c>
      <c r="I136" s="249">
        <f>SUMIF(Sifarisler!$H$3:$H$10346,D136,Sifarisler!$AP$3:$AP$10346)</f>
        <v>0</v>
      </c>
      <c r="J136" s="250" t="str">
        <f t="shared" si="86"/>
        <v>Mesaj</v>
      </c>
      <c r="K136" s="9" t="str">
        <f t="shared" si="85"/>
        <v>Husyen</v>
      </c>
      <c r="L136" s="10" t="str">
        <f t="shared" si="84"/>
        <v xml:space="preserve">Husyen </v>
      </c>
      <c r="M136" s="251" t="str">
        <f>"Hörmətli *"&amp;K136&amp;"*  , göstərilən xidmətə görə *"&amp;I136&amp;" AZN* borcunuz qalmışdır . Ödəniş etməyiniz xahiş olunur. Ödəniş kartı  *"&amp;Məlumatlar!$O$3&amp;"* . Hörmətlə  *AlumPro*"</f>
        <v>Hörmətli *Husyen*  , göstərilən xidmətə görə *0 AZN* borcunuz qalmışdır . Ödəniş etməyiniz xahiş olunur. Ödəniş kartı  *4098584464110962* . Hörmətlə  *AlumPro*</v>
      </c>
      <c r="N136" s="46"/>
    </row>
    <row r="137" spans="4:14" ht="17.25">
      <c r="D137" s="214" t="s">
        <v>997</v>
      </c>
      <c r="E137" s="247" t="s">
        <v>998</v>
      </c>
      <c r="F137" s="15">
        <f>COUNTIF(Sifarisler!$H$3:$H$10346,D137)</f>
        <v>0</v>
      </c>
      <c r="G137" s="248">
        <f>SUMIF(Sifarisler!$H$3:$H$10346,D137,Sifarisler!$AM$3:$AM$10346)</f>
        <v>0</v>
      </c>
      <c r="H137" s="248">
        <f>SUMIF(Sifarisler!$H$3:$H$10346,D137,Sifarisler!$AO$3:$AO$10346)</f>
        <v>0</v>
      </c>
      <c r="I137" s="249">
        <f>SUMIF(Sifarisler!$H$3:$H$10346,D137,Sifarisler!$AP$3:$AP$10346)</f>
        <v>0</v>
      </c>
      <c r="J137" s="250" t="str">
        <f t="shared" si="86"/>
        <v>Mesaj</v>
      </c>
      <c r="K137" s="9" t="str">
        <f t="shared" si="85"/>
        <v>Tacir</v>
      </c>
      <c r="L137" s="10" t="str">
        <f t="shared" si="84"/>
        <v xml:space="preserve">Tacir </v>
      </c>
      <c r="M137" s="251" t="str">
        <f>"Hörmətli *"&amp;K137&amp;"*  , göstərilən xidmətə görə *"&amp;I137&amp;" AZN* borcunuz qalmışdır . Ödəniş etməyiniz xahiş olunur. Ödəniş kartı  *"&amp;Məlumatlar!$O$3&amp;"* . Hörmətlə  *AlumPro*"</f>
        <v>Hörmətli *Tacir*  , göstərilən xidmətə görə *0 AZN* borcunuz qalmışdır . Ödəniş etməyiniz xahiş olunur. Ödəniş kartı  *4098584464110962* . Hörmətlə  *AlumPro*</v>
      </c>
      <c r="N137" s="46"/>
    </row>
    <row r="138" spans="4:14" ht="17.25">
      <c r="D138" s="214" t="s">
        <v>999</v>
      </c>
      <c r="E138" s="247" t="s">
        <v>1000</v>
      </c>
      <c r="F138" s="15">
        <f>COUNTIF(Sifarisler!$H$3:$H$10346,D138)</f>
        <v>0</v>
      </c>
      <c r="G138" s="248">
        <f>SUMIF(Sifarisler!$H$3:$H$10346,D138,Sifarisler!$AM$3:$AM$10346)</f>
        <v>0</v>
      </c>
      <c r="H138" s="248">
        <f>SUMIF(Sifarisler!$H$3:$H$10346,D138,Sifarisler!$AO$3:$AO$10346)</f>
        <v>0</v>
      </c>
      <c r="I138" s="249">
        <f>SUMIF(Sifarisler!$H$3:$H$10346,D138,Sifarisler!$AP$3:$AP$10346)</f>
        <v>0</v>
      </c>
      <c r="J138" s="250" t="str">
        <f t="shared" si="86"/>
        <v>Mesaj</v>
      </c>
      <c r="K138" s="9" t="str">
        <f t="shared" si="85"/>
        <v>Mahir</v>
      </c>
      <c r="L138" s="10" t="str">
        <f t="shared" si="84"/>
        <v xml:space="preserve">Mahir </v>
      </c>
      <c r="M138" s="251" t="str">
        <f>"Hörmətli *"&amp;K138&amp;"*  , göstərilən xidmətə görə *"&amp;I138&amp;" AZN* borcunuz qalmışdır . Ödəniş etməyiniz xahiş olunur. Ödəniş kartı  *"&amp;Məlumatlar!$O$3&amp;"* . Hörmətlə  *AlumPro*"</f>
        <v>Hörmətli *Mahir*  , göstərilən xidmətə görə *0 AZN* borcunuz qalmışdır . Ödəniş etməyiniz xahiş olunur. Ödəniş kartı  *4098584464110962* . Hörmətlə  *AlumPro*</v>
      </c>
      <c r="N138" s="46"/>
    </row>
    <row r="139" spans="4:14" ht="17.25">
      <c r="D139" s="214" t="s">
        <v>1001</v>
      </c>
      <c r="E139" s="247" t="s">
        <v>1002</v>
      </c>
      <c r="F139" s="15">
        <f>COUNTIF(Sifarisler!$H$3:$H$10346,D139)</f>
        <v>0</v>
      </c>
      <c r="G139" s="248">
        <f>SUMIF(Sifarisler!$H$3:$H$10346,D139,Sifarisler!$AM$3:$AM$10346)</f>
        <v>0</v>
      </c>
      <c r="H139" s="248">
        <f>SUMIF(Sifarisler!$H$3:$H$10346,D139,Sifarisler!$AO$3:$AO$10346)</f>
        <v>0</v>
      </c>
      <c r="I139" s="249">
        <f>SUMIF(Sifarisler!$H$3:$H$10346,D139,Sifarisler!$AP$3:$AP$10346)</f>
        <v>0</v>
      </c>
      <c r="J139" s="250" t="str">
        <f t="shared" si="86"/>
        <v>Mesaj</v>
      </c>
      <c r="K139" s="9" t="str">
        <f t="shared" si="85"/>
        <v>Nicat</v>
      </c>
      <c r="L139" s="10" t="str">
        <f t="shared" si="84"/>
        <v xml:space="preserve">Nicat </v>
      </c>
      <c r="M139" s="251" t="str">
        <f>"Hörmətli *"&amp;K139&amp;"*  , göstərilən xidmətə görə *"&amp;I139&amp;" AZN* borcunuz qalmışdır . Ödəniş etməyiniz xahiş olunur. Ödəniş kartı  *"&amp;Məlumatlar!$O$3&amp;"* . Hörmətlə  *AlumPro*"</f>
        <v>Hörmətli *Nicat*  , göstərilən xidmətə görə *0 AZN* borcunuz qalmışdır . Ödəniş etməyiniz xahiş olunur. Ödəniş kartı  *4098584464110962* . Hörmətlə  *AlumPro*</v>
      </c>
      <c r="N139" s="46"/>
    </row>
    <row r="140" spans="4:14" ht="17.25">
      <c r="D140" s="214" t="s">
        <v>1003</v>
      </c>
      <c r="E140" s="247" t="s">
        <v>1004</v>
      </c>
      <c r="F140" s="15">
        <f>COUNTIF(Sifarisler!$H$3:$H$10346,D140)</f>
        <v>0</v>
      </c>
      <c r="G140" s="248">
        <f>SUMIF(Sifarisler!$H$3:$H$10346,D140,Sifarisler!$AM$3:$AM$10346)</f>
        <v>0</v>
      </c>
      <c r="H140" s="248">
        <f>SUMIF(Sifarisler!$H$3:$H$10346,D140,Sifarisler!$AO$3:$AO$10346)</f>
        <v>0</v>
      </c>
      <c r="I140" s="249">
        <f>SUMIF(Sifarisler!$H$3:$H$10346,D140,Sifarisler!$AP$3:$AP$10346)</f>
        <v>0</v>
      </c>
      <c r="J140" s="250" t="str">
        <f t="shared" si="86"/>
        <v>Mesaj</v>
      </c>
      <c r="K140" s="9" t="str">
        <f t="shared" si="85"/>
        <v>Xelil</v>
      </c>
      <c r="L140" s="10" t="str">
        <f t="shared" si="84"/>
        <v xml:space="preserve">Xelil </v>
      </c>
      <c r="M140" s="251" t="str">
        <f>"Hörmətli *"&amp;K140&amp;"*  , göstərilən xidmətə görə *"&amp;I140&amp;" AZN* borcunuz qalmışdır . Ödəniş etməyiniz xahiş olunur. Ödəniş kartı  *"&amp;Məlumatlar!$O$3&amp;"* . Hörmətlə  *AlumPro*"</f>
        <v>Hörmətli *Xelil*  , göstərilən xidmətə görə *0 AZN* borcunuz qalmışdır . Ödəniş etməyiniz xahiş olunur. Ödəniş kartı  *4098584464110962* . Hörmətlə  *AlumPro*</v>
      </c>
      <c r="N140" s="46"/>
    </row>
    <row r="141" spans="4:14" ht="17.25">
      <c r="D141" s="214" t="s">
        <v>1005</v>
      </c>
      <c r="E141" s="247" t="s">
        <v>1006</v>
      </c>
      <c r="F141" s="15">
        <f>COUNTIF(Sifarisler!$H$3:$H$10346,D141)</f>
        <v>0</v>
      </c>
      <c r="G141" s="248">
        <f>SUMIF(Sifarisler!$H$3:$H$10346,D141,Sifarisler!$AM$3:$AM$10346)</f>
        <v>0</v>
      </c>
      <c r="H141" s="248">
        <f>SUMIF(Sifarisler!$H$3:$H$10346,D141,Sifarisler!$AO$3:$AO$10346)</f>
        <v>0</v>
      </c>
      <c r="I141" s="249">
        <f>SUMIF(Sifarisler!$H$3:$H$10346,D141,Sifarisler!$AP$3:$AP$10346)</f>
        <v>0</v>
      </c>
      <c r="J141" s="250" t="str">
        <f t="shared" si="86"/>
        <v>Mesaj</v>
      </c>
      <c r="K141" s="9" t="str">
        <f t="shared" si="85"/>
        <v>Heyder</v>
      </c>
      <c r="L141" s="10" t="str">
        <f t="shared" si="84"/>
        <v xml:space="preserve">Heyder </v>
      </c>
      <c r="M141" s="251" t="str">
        <f>"Hörmətli *"&amp;K141&amp;"*  , göstərilən xidmətə görə *"&amp;I141&amp;" AZN* borcunuz qalmışdır . Ödəniş etməyiniz xahiş olunur. Ödəniş kartı  *"&amp;Məlumatlar!$O$3&amp;"* . Hörmətlə  *AlumPro*"</f>
        <v>Hörmətli *Heyder*  , göstərilən xidmətə görə *0 AZN* borcunuz qalmışdır . Ödəniş etməyiniz xahiş olunur. Ödəniş kartı  *4098584464110962* . Hörmətlə  *AlumPro*</v>
      </c>
      <c r="N141" s="46"/>
    </row>
    <row r="142" spans="4:14" ht="17.25">
      <c r="D142" s="214" t="s">
        <v>1007</v>
      </c>
      <c r="E142" s="247" t="s">
        <v>1008</v>
      </c>
      <c r="F142" s="15">
        <f>COUNTIF(Sifarisler!$H$3:$H$10346,D142)</f>
        <v>0</v>
      </c>
      <c r="G142" s="248">
        <f>SUMIF(Sifarisler!$H$3:$H$10346,D142,Sifarisler!$AM$3:$AM$10346)</f>
        <v>0</v>
      </c>
      <c r="H142" s="248">
        <f>SUMIF(Sifarisler!$H$3:$H$10346,D142,Sifarisler!$AO$3:$AO$10346)</f>
        <v>0</v>
      </c>
      <c r="I142" s="249">
        <f>SUMIF(Sifarisler!$H$3:$H$10346,D142,Sifarisler!$AP$3:$AP$10346)</f>
        <v>0</v>
      </c>
      <c r="J142" s="250" t="str">
        <f t="shared" si="86"/>
        <v>Mesaj</v>
      </c>
      <c r="K142" s="9" t="str">
        <f t="shared" si="85"/>
        <v>Aura</v>
      </c>
      <c r="L142" s="10" t="str">
        <f t="shared" si="84"/>
        <v xml:space="preserve">Aura </v>
      </c>
      <c r="M142" s="251" t="str">
        <f>"Hörmətli *"&amp;K142&amp;"*  , göstərilən xidmətə görə *"&amp;I142&amp;" AZN* borcunuz qalmışdır . Ödəniş etməyiniz xahiş olunur. Ödəniş kartı  *"&amp;Məlumatlar!$O$3&amp;"* . Hörmətlə  *AlumPro*"</f>
        <v>Hörmətli *Aura*  , göstərilən xidmətə görə *0 AZN* borcunuz qalmışdır . Ödəniş etməyiniz xahiş olunur. Ödəniş kartı  *4098584464110962* . Hörmətlə  *AlumPro*</v>
      </c>
      <c r="N142" s="46"/>
    </row>
    <row r="143" spans="4:14" ht="17.25">
      <c r="D143" s="214" t="s">
        <v>1009</v>
      </c>
      <c r="E143" s="247" t="s">
        <v>1010</v>
      </c>
      <c r="F143" s="15">
        <f>COUNTIF(Sifarisler!$H$3:$H$10346,D143)</f>
        <v>0</v>
      </c>
      <c r="G143" s="248">
        <f>SUMIF(Sifarisler!$H$3:$H$10346,D143,Sifarisler!$AM$3:$AM$10346)</f>
        <v>0</v>
      </c>
      <c r="H143" s="248">
        <f>SUMIF(Sifarisler!$H$3:$H$10346,D143,Sifarisler!$AO$3:$AO$10346)</f>
        <v>0</v>
      </c>
      <c r="I143" s="249">
        <f>SUMIF(Sifarisler!$H$3:$H$10346,D143,Sifarisler!$AP$3:$AP$10346)</f>
        <v>0</v>
      </c>
      <c r="J143" s="250" t="str">
        <f t="shared" si="86"/>
        <v>Mesaj</v>
      </c>
      <c r="K143" s="9" t="str">
        <f t="shared" si="85"/>
        <v>Elcin</v>
      </c>
      <c r="L143" s="10" t="str">
        <f t="shared" si="84"/>
        <v xml:space="preserve">Elcin </v>
      </c>
      <c r="M143" s="251" t="str">
        <f>"Hörmətli *"&amp;K143&amp;"*  , göstərilən xidmətə görə *"&amp;I143&amp;" AZN* borcunuz qalmışdır . Ödəniş etməyiniz xahiş olunur. Ödəniş kartı  *"&amp;Məlumatlar!$O$3&amp;"* . Hörmətlə  *AlumPro*"</f>
        <v>Hörmətli *Elcin*  , göstərilən xidmətə görə *0 AZN* borcunuz qalmışdır . Ödəniş etməyiniz xahiş olunur. Ödəniş kartı  *4098584464110962* . Hörmətlə  *AlumPro*</v>
      </c>
      <c r="N143" s="46"/>
    </row>
    <row r="144" spans="4:14" ht="17.25">
      <c r="D144" s="214" t="s">
        <v>1011</v>
      </c>
      <c r="E144" s="247" t="s">
        <v>1012</v>
      </c>
      <c r="F144" s="15">
        <f>COUNTIF(Sifarisler!$H$3:$H$10346,D144)</f>
        <v>0</v>
      </c>
      <c r="G144" s="248">
        <f>SUMIF(Sifarisler!$H$3:$H$10346,D144,Sifarisler!$AM$3:$AM$10346)</f>
        <v>0</v>
      </c>
      <c r="H144" s="248">
        <f>SUMIF(Sifarisler!$H$3:$H$10346,D144,Sifarisler!$AO$3:$AO$10346)</f>
        <v>0</v>
      </c>
      <c r="I144" s="249">
        <f>SUMIF(Sifarisler!$H$3:$H$10346,D144,Sifarisler!$AP$3:$AP$10346)</f>
        <v>0</v>
      </c>
      <c r="J144" s="250" t="str">
        <f t="shared" si="86"/>
        <v>Mesaj</v>
      </c>
      <c r="K144" s="9" t="str">
        <f t="shared" si="85"/>
        <v>Korona</v>
      </c>
      <c r="L144" s="10" t="str">
        <f t="shared" si="84"/>
        <v xml:space="preserve">Korona </v>
      </c>
      <c r="M144" s="251" t="str">
        <f>"Hörmətli *"&amp;K144&amp;"*  , göstərilən xidmətə görə *"&amp;I144&amp;" AZN* borcunuz qalmışdır . Ödəniş etməyiniz xahiş olunur. Ödəniş kartı  *"&amp;Məlumatlar!$O$3&amp;"* . Hörmətlə  *AlumPro*"</f>
        <v>Hörmətli *Korona*  , göstərilən xidmətə görə *0 AZN* borcunuz qalmışdır . Ödəniş etməyiniz xahiş olunur. Ödəniş kartı  *4098584464110962* . Hörmətlə  *AlumPro*</v>
      </c>
      <c r="N144" s="46"/>
    </row>
    <row r="145" spans="4:14" ht="17.25">
      <c r="D145" s="214" t="s">
        <v>1013</v>
      </c>
      <c r="E145" s="247" t="s">
        <v>1014</v>
      </c>
      <c r="F145" s="15">
        <f>COUNTIF(Sifarisler!$H$3:$H$10346,D145)</f>
        <v>0</v>
      </c>
      <c r="G145" s="248">
        <f>SUMIF(Sifarisler!$H$3:$H$10346,D145,Sifarisler!$AM$3:$AM$10346)</f>
        <v>0</v>
      </c>
      <c r="H145" s="248">
        <f>SUMIF(Sifarisler!$H$3:$H$10346,D145,Sifarisler!$AO$3:$AO$10346)</f>
        <v>0</v>
      </c>
      <c r="I145" s="249">
        <f>SUMIF(Sifarisler!$H$3:$H$10346,D145,Sifarisler!$AP$3:$AP$10346)</f>
        <v>0</v>
      </c>
      <c r="J145" s="250" t="str">
        <f t="shared" si="86"/>
        <v>Mesaj</v>
      </c>
      <c r="K145" s="9" t="str">
        <f t="shared" si="85"/>
        <v>Emin</v>
      </c>
      <c r="L145" s="10" t="str">
        <f t="shared" si="84"/>
        <v xml:space="preserve">Emin </v>
      </c>
      <c r="M145" s="251" t="str">
        <f>"Hörmətli *"&amp;K145&amp;"*  , göstərilən xidmətə görə *"&amp;I145&amp;" AZN* borcunuz qalmışdır . Ödəniş etməyiniz xahiş olunur. Ödəniş kartı  *"&amp;Məlumatlar!$O$3&amp;"* . Hörmətlə  *AlumPro*"</f>
        <v>Hörmətli *Emin*  , göstərilən xidmətə görə *0 AZN* borcunuz qalmışdır . Ödəniş etməyiniz xahiş olunur. Ödəniş kartı  *4098584464110962* . Hörmətlə  *AlumPro*</v>
      </c>
      <c r="N145" s="46"/>
    </row>
    <row r="146" spans="4:14" ht="17.25">
      <c r="D146" s="214" t="s">
        <v>1015</v>
      </c>
      <c r="E146" s="247" t="s">
        <v>1016</v>
      </c>
      <c r="F146" s="15">
        <f>COUNTIF(Sifarisler!$H$3:$H$10346,D146)</f>
        <v>0</v>
      </c>
      <c r="G146" s="248">
        <f>SUMIF(Sifarisler!$H$3:$H$10346,D146,Sifarisler!$AM$3:$AM$10346)</f>
        <v>0</v>
      </c>
      <c r="H146" s="248">
        <f>SUMIF(Sifarisler!$H$3:$H$10346,D146,Sifarisler!$AO$3:$AO$10346)</f>
        <v>0</v>
      </c>
      <c r="I146" s="249">
        <f>SUMIF(Sifarisler!$H$3:$H$10346,D146,Sifarisler!$AP$3:$AP$10346)</f>
        <v>0</v>
      </c>
      <c r="J146" s="250" t="str">
        <f t="shared" si="86"/>
        <v>Mesaj</v>
      </c>
      <c r="K146" s="9" t="str">
        <f t="shared" si="85"/>
        <v>Emin</v>
      </c>
      <c r="L146" s="10" t="str">
        <f t="shared" si="84"/>
        <v xml:space="preserve">Emin </v>
      </c>
      <c r="M146" s="251" t="str">
        <f>"Hörmətli *"&amp;K146&amp;"*  , göstərilən xidmətə görə *"&amp;I146&amp;" AZN* borcunuz qalmışdır . Ödəniş etməyiniz xahiş olunur. Ödəniş kartı  *"&amp;Məlumatlar!$O$3&amp;"* . Hörmətlə  *AlumPro*"</f>
        <v>Hörmətli *Emin*  , göstərilən xidmətə görə *0 AZN* borcunuz qalmışdır . Ödəniş etməyiniz xahiş olunur. Ödəniş kartı  *4098584464110962* . Hörmətlə  *AlumPro*</v>
      </c>
      <c r="N146" s="46"/>
    </row>
    <row r="147" spans="4:14" ht="17.25">
      <c r="D147" s="214" t="s">
        <v>1017</v>
      </c>
      <c r="E147" s="247" t="s">
        <v>1018</v>
      </c>
      <c r="F147" s="15">
        <f>COUNTIF(Sifarisler!$H$3:$H$10346,D147)</f>
        <v>0</v>
      </c>
      <c r="G147" s="248">
        <f>SUMIF(Sifarisler!$H$3:$H$10346,D147,Sifarisler!$AM$3:$AM$10346)</f>
        <v>0</v>
      </c>
      <c r="H147" s="248">
        <f>SUMIF(Sifarisler!$H$3:$H$10346,D147,Sifarisler!$AO$3:$AO$10346)</f>
        <v>0</v>
      </c>
      <c r="I147" s="249">
        <f>SUMIF(Sifarisler!$H$3:$H$10346,D147,Sifarisler!$AP$3:$AP$10346)</f>
        <v>0</v>
      </c>
      <c r="J147" s="250" t="str">
        <f t="shared" si="86"/>
        <v>Mesaj</v>
      </c>
      <c r="K147" s="9" t="str">
        <f t="shared" si="85"/>
        <v>Natiq</v>
      </c>
      <c r="L147" s="10" t="str">
        <f t="shared" si="84"/>
        <v xml:space="preserve">Natiq </v>
      </c>
      <c r="M147" s="251" t="str">
        <f>"Hörmətli *"&amp;K147&amp;"*  , göstərilən xidmətə görə *"&amp;I147&amp;" AZN* borcunuz qalmışdır . Ödəniş etməyiniz xahiş olunur. Ödəniş kartı  *"&amp;Məlumatlar!$O$3&amp;"* . Hörmətlə  *AlumPro*"</f>
        <v>Hörmətli *Natiq*  , göstərilən xidmətə görə *0 AZN* borcunuz qalmışdır . Ödəniş etməyiniz xahiş olunur. Ödəniş kartı  *4098584464110962* . Hörmətlə  *AlumPro*</v>
      </c>
      <c r="N147" s="46"/>
    </row>
    <row r="148" spans="4:14" ht="17.25">
      <c r="D148" s="214" t="s">
        <v>1019</v>
      </c>
      <c r="E148" s="247" t="s">
        <v>1020</v>
      </c>
      <c r="F148" s="15">
        <f>COUNTIF(Sifarisler!$H$3:$H$10346,D148)</f>
        <v>0</v>
      </c>
      <c r="G148" s="248">
        <f>SUMIF(Sifarisler!$H$3:$H$10346,D148,Sifarisler!$AM$3:$AM$10346)</f>
        <v>0</v>
      </c>
      <c r="H148" s="248">
        <f>SUMIF(Sifarisler!$H$3:$H$10346,D148,Sifarisler!$AO$3:$AO$10346)</f>
        <v>0</v>
      </c>
      <c r="I148" s="249">
        <f>SUMIF(Sifarisler!$H$3:$H$10346,D148,Sifarisler!$AP$3:$AP$10346)</f>
        <v>0</v>
      </c>
      <c r="J148" s="250" t="str">
        <f t="shared" si="86"/>
        <v>Mesaj</v>
      </c>
      <c r="K148" s="9" t="str">
        <f t="shared" si="85"/>
        <v>Ruslan</v>
      </c>
      <c r="L148" s="10" t="str">
        <f t="shared" si="84"/>
        <v xml:space="preserve">Ruslan </v>
      </c>
      <c r="M148" s="251" t="str">
        <f>"Hörmətli *"&amp;K148&amp;"*  , göstərilən xidmətə görə *"&amp;I148&amp;" AZN* borcunuz qalmışdır . Ödəniş etməyiniz xahiş olunur. Ödəniş kartı  *"&amp;Məlumatlar!$O$3&amp;"* . Hörmətlə  *AlumPro*"</f>
        <v>Hörmətli *Ruslan*  , göstərilən xidmətə görə *0 AZN* borcunuz qalmışdır . Ödəniş etməyiniz xahiş olunur. Ödəniş kartı  *4098584464110962* . Hörmətlə  *AlumPro*</v>
      </c>
      <c r="N148" s="46"/>
    </row>
    <row r="149" spans="4:14" ht="17.25">
      <c r="D149" s="214" t="s">
        <v>1021</v>
      </c>
      <c r="E149" s="247" t="s">
        <v>1022</v>
      </c>
      <c r="F149" s="15">
        <f>COUNTIF(Sifarisler!$H$3:$H$10346,D149)</f>
        <v>0</v>
      </c>
      <c r="G149" s="248">
        <f>SUMIF(Sifarisler!$H$3:$H$10346,D149,Sifarisler!$AM$3:$AM$10346)</f>
        <v>0</v>
      </c>
      <c r="H149" s="248">
        <f>SUMIF(Sifarisler!$H$3:$H$10346,D149,Sifarisler!$AO$3:$AO$10346)</f>
        <v>0</v>
      </c>
      <c r="I149" s="249">
        <f>SUMIF(Sifarisler!$H$3:$H$10346,D149,Sifarisler!$AP$3:$AP$10346)</f>
        <v>0</v>
      </c>
      <c r="J149" s="250" t="str">
        <f t="shared" si="86"/>
        <v>Mesaj</v>
      </c>
      <c r="K149" s="9" t="str">
        <f t="shared" si="85"/>
        <v>Vasif</v>
      </c>
      <c r="L149" s="10" t="str">
        <f t="shared" si="84"/>
        <v xml:space="preserve">Vasif </v>
      </c>
      <c r="M149" s="251" t="str">
        <f>"Hörmətli *"&amp;K149&amp;"*  , göstərilən xidmətə görə *"&amp;I149&amp;" AZN* borcunuz qalmışdır . Ödəniş etməyiniz xahiş olunur. Ödəniş kartı  *"&amp;Məlumatlar!$O$3&amp;"* . Hörmətlə  *AlumPro*"</f>
        <v>Hörmətli *Vasif*  , göstərilən xidmətə görə *0 AZN* borcunuz qalmışdır . Ödəniş etməyiniz xahiş olunur. Ödəniş kartı  *4098584464110962* . Hörmətlə  *AlumPro*</v>
      </c>
      <c r="N149" s="46"/>
    </row>
    <row r="150" spans="4:14" ht="17.25">
      <c r="D150" s="214" t="s">
        <v>1023</v>
      </c>
      <c r="E150" s="247" t="s">
        <v>1024</v>
      </c>
      <c r="F150" s="15">
        <f>COUNTIF(Sifarisler!$H$3:$H$10346,D150)</f>
        <v>0</v>
      </c>
      <c r="G150" s="248">
        <f>SUMIF(Sifarisler!$H$3:$H$10346,D150,Sifarisler!$AM$3:$AM$10346)</f>
        <v>0</v>
      </c>
      <c r="H150" s="248">
        <f>SUMIF(Sifarisler!$H$3:$H$10346,D150,Sifarisler!$AO$3:$AO$10346)</f>
        <v>0</v>
      </c>
      <c r="I150" s="249">
        <f>SUMIF(Sifarisler!$H$3:$H$10346,D150,Sifarisler!$AP$3:$AP$10346)</f>
        <v>0</v>
      </c>
      <c r="J150" s="250" t="str">
        <f t="shared" si="86"/>
        <v>Mesaj</v>
      </c>
      <c r="K150" s="9" t="str">
        <f t="shared" si="85"/>
        <v>Vusal</v>
      </c>
      <c r="L150" s="10" t="str">
        <f t="shared" si="84"/>
        <v xml:space="preserve">Vusal </v>
      </c>
      <c r="M150" s="251" t="str">
        <f>"Hörmətli *"&amp;K150&amp;"*  , göstərilən xidmətə görə *"&amp;I150&amp;" AZN* borcunuz qalmışdır . Ödəniş etməyiniz xahiş olunur. Ödəniş kartı  *"&amp;Məlumatlar!$O$3&amp;"* . Hörmətlə  *AlumPro*"</f>
        <v>Hörmətli *Vusal*  , göstərilən xidmətə görə *0 AZN* borcunuz qalmışdır . Ödəniş etməyiniz xahiş olunur. Ödəniş kartı  *4098584464110962* . Hörmətlə  *AlumPro*</v>
      </c>
      <c r="N150" s="46"/>
    </row>
    <row r="151" spans="4:14" ht="17.25">
      <c r="D151" s="214" t="s">
        <v>1025</v>
      </c>
      <c r="E151" s="247" t="s">
        <v>1026</v>
      </c>
      <c r="F151" s="15">
        <f>COUNTIF(Sifarisler!$H$3:$H$10346,D151)</f>
        <v>0</v>
      </c>
      <c r="G151" s="248">
        <f>SUMIF(Sifarisler!$H$3:$H$10346,D151,Sifarisler!$AM$3:$AM$10346)</f>
        <v>0</v>
      </c>
      <c r="H151" s="248">
        <f>SUMIF(Sifarisler!$H$3:$H$10346,D151,Sifarisler!$AO$3:$AO$10346)</f>
        <v>0</v>
      </c>
      <c r="I151" s="249">
        <f>SUMIF(Sifarisler!$H$3:$H$10346,D151,Sifarisler!$AP$3:$AP$10346)</f>
        <v>0</v>
      </c>
      <c r="J151" s="250" t="str">
        <f t="shared" si="86"/>
        <v>Mesaj</v>
      </c>
      <c r="K151" s="9" t="str">
        <f t="shared" si="85"/>
        <v>Asif</v>
      </c>
      <c r="L151" s="10" t="str">
        <f t="shared" si="84"/>
        <v xml:space="preserve">Asif </v>
      </c>
      <c r="M151" s="251" t="str">
        <f>"Hörmətli *"&amp;K151&amp;"*  , göstərilən xidmətə görə *"&amp;I151&amp;" AZN* borcunuz qalmışdır . Ödəniş etməyiniz xahiş olunur. Ödəniş kartı  *"&amp;Məlumatlar!$O$3&amp;"* . Hörmətlə  *AlumPro*"</f>
        <v>Hörmətli *Asif*  , göstərilən xidmətə görə *0 AZN* borcunuz qalmışdır . Ödəniş etməyiniz xahiş olunur. Ödəniş kartı  *4098584464110962* . Hörmətlə  *AlumPro*</v>
      </c>
      <c r="N151" s="46"/>
    </row>
    <row r="152" spans="4:14" ht="17.25">
      <c r="D152" s="214" t="s">
        <v>1027</v>
      </c>
      <c r="E152" s="247" t="s">
        <v>1028</v>
      </c>
      <c r="F152" s="15">
        <f>COUNTIF(Sifarisler!$H$3:$H$10346,D152)</f>
        <v>0</v>
      </c>
      <c r="G152" s="248">
        <f>SUMIF(Sifarisler!$H$3:$H$10346,D152,Sifarisler!$AM$3:$AM$10346)</f>
        <v>0</v>
      </c>
      <c r="H152" s="248">
        <f>SUMIF(Sifarisler!$H$3:$H$10346,D152,Sifarisler!$AO$3:$AO$10346)</f>
        <v>0</v>
      </c>
      <c r="I152" s="249">
        <f>SUMIF(Sifarisler!$H$3:$H$10346,D152,Sifarisler!$AP$3:$AP$10346)</f>
        <v>0</v>
      </c>
      <c r="J152" s="250" t="str">
        <f t="shared" si="86"/>
        <v>Mesaj</v>
      </c>
      <c r="K152" s="9" t="str">
        <f t="shared" si="85"/>
        <v>Nurxan</v>
      </c>
      <c r="L152" s="10" t="str">
        <f t="shared" si="84"/>
        <v xml:space="preserve">Nurxan </v>
      </c>
      <c r="M152" s="251" t="str">
        <f>"Hörmətli *"&amp;K152&amp;"*  , göstərilən xidmətə görə *"&amp;I152&amp;" AZN* borcunuz qalmışdır . Ödəniş etməyiniz xahiş olunur. Ödəniş kartı  *"&amp;Məlumatlar!$O$3&amp;"* . Hörmətlə  *AlumPro*"</f>
        <v>Hörmətli *Nurxan*  , göstərilən xidmətə görə *0 AZN* borcunuz qalmışdır . Ödəniş etməyiniz xahiş olunur. Ödəniş kartı  *4098584464110962* . Hörmətlə  *AlumPro*</v>
      </c>
      <c r="N152" s="46"/>
    </row>
    <row r="153" spans="4:14" ht="17.25">
      <c r="D153" s="214" t="s">
        <v>719</v>
      </c>
      <c r="E153" s="247" t="s">
        <v>720</v>
      </c>
      <c r="F153" s="15">
        <f>COUNTIF(Sifarisler!$H$3:$H$10346,D153)</f>
        <v>1</v>
      </c>
      <c r="G153" s="248">
        <f>SUMIF(Sifarisler!$H$3:$H$10346,D153,Sifarisler!$AM$3:$AM$10346)</f>
        <v>596</v>
      </c>
      <c r="H153" s="248">
        <f>SUMIF(Sifarisler!$H$3:$H$10346,D153,Sifarisler!$AO$3:$AO$10346)</f>
        <v>596</v>
      </c>
      <c r="I153" s="249">
        <f>SUMIF(Sifarisler!$H$3:$H$10346,D153,Sifarisler!$AP$3:$AP$10346)</f>
        <v>0</v>
      </c>
      <c r="J153" s="250" t="str">
        <f t="shared" si="86"/>
        <v>Mesaj</v>
      </c>
      <c r="K153" s="9" t="str">
        <f t="shared" si="85"/>
        <v>Muhiddin</v>
      </c>
      <c r="L153" s="10" t="str">
        <f t="shared" si="84"/>
        <v xml:space="preserve">Muhiddin </v>
      </c>
      <c r="M153" s="251" t="str">
        <f>"Hörmətli *"&amp;K153&amp;"*  , göstərilən xidmətə görə *"&amp;I153&amp;" AZN* borcunuz qalmışdır . Ödəniş etməyiniz xahiş olunur. Ödəniş kartı  *"&amp;Məlumatlar!$O$3&amp;"* . Hörmətlə  *AlumPro*"</f>
        <v>Hörmətli *Muhiddin*  , göstərilən xidmətə görə *0 AZN* borcunuz qalmışdır . Ödəniş etməyiniz xahiş olunur. Ödəniş kartı  *4098584464110962* . Hörmətlə  *AlumPro*</v>
      </c>
      <c r="N153" s="46"/>
    </row>
    <row r="154" spans="4:14" ht="17.25">
      <c r="D154" s="214" t="s">
        <v>1029</v>
      </c>
      <c r="E154" s="247" t="s">
        <v>1030</v>
      </c>
      <c r="F154" s="15">
        <f>COUNTIF(Sifarisler!$H$3:$H$10346,D154)</f>
        <v>0</v>
      </c>
      <c r="G154" s="248">
        <f>SUMIF(Sifarisler!$H$3:$H$10346,D154,Sifarisler!$AM$3:$AM$10346)</f>
        <v>0</v>
      </c>
      <c r="H154" s="248">
        <f>SUMIF(Sifarisler!$H$3:$H$10346,D154,Sifarisler!$AO$3:$AO$10346)</f>
        <v>0</v>
      </c>
      <c r="I154" s="249">
        <f>SUMIF(Sifarisler!$H$3:$H$10346,D154,Sifarisler!$AP$3:$AP$10346)</f>
        <v>0</v>
      </c>
      <c r="J154" s="250" t="str">
        <f t="shared" si="86"/>
        <v>Mesaj</v>
      </c>
      <c r="K154" s="9" t="str">
        <f t="shared" si="85"/>
        <v>Nicat</v>
      </c>
      <c r="L154" s="10" t="str">
        <f t="shared" si="84"/>
        <v xml:space="preserve">Nicat </v>
      </c>
      <c r="M154" s="251" t="str">
        <f>"Hörmətli *"&amp;K154&amp;"*  , göstərilən xidmətə görə *"&amp;I154&amp;" AZN* borcunuz qalmışdır . Ödəniş etməyiniz xahiş olunur. Ödəniş kartı  *"&amp;Məlumatlar!$O$3&amp;"* . Hörmətlə  *AlumPro*"</f>
        <v>Hörmətli *Nicat*  , göstərilən xidmətə görə *0 AZN* borcunuz qalmışdır . Ödəniş etməyiniz xahiş olunur. Ödəniş kartı  *4098584464110962* . Hörmətlə  *AlumPro*</v>
      </c>
      <c r="N154" s="46"/>
    </row>
    <row r="155" spans="4:14" ht="17.25">
      <c r="D155" s="214" t="s">
        <v>1031</v>
      </c>
      <c r="E155" s="247" t="s">
        <v>1032</v>
      </c>
      <c r="F155" s="15">
        <f>COUNTIF(Sifarisler!$H$3:$H$10346,D155)</f>
        <v>0</v>
      </c>
      <c r="G155" s="248">
        <f>SUMIF(Sifarisler!$H$3:$H$10346,D155,Sifarisler!$AM$3:$AM$10346)</f>
        <v>0</v>
      </c>
      <c r="H155" s="248">
        <f>SUMIF(Sifarisler!$H$3:$H$10346,D155,Sifarisler!$AO$3:$AO$10346)</f>
        <v>0</v>
      </c>
      <c r="I155" s="249">
        <f>SUMIF(Sifarisler!$H$3:$H$10346,D155,Sifarisler!$AP$3:$AP$10346)</f>
        <v>0</v>
      </c>
      <c r="J155" s="250" t="str">
        <f t="shared" si="86"/>
        <v>Mesaj</v>
      </c>
      <c r="K155" s="9" t="str">
        <f t="shared" si="85"/>
        <v>Tehmasib</v>
      </c>
      <c r="L155" s="10" t="str">
        <f t="shared" si="84"/>
        <v xml:space="preserve">Tehmasib </v>
      </c>
      <c r="M155" s="251" t="str">
        <f>"Hörmətli *"&amp;K155&amp;"*  , göstərilən xidmətə görə *"&amp;I155&amp;" AZN* borcunuz qalmışdır . Ödəniş etməyiniz xahiş olunur. Ödəniş kartı  *"&amp;Məlumatlar!$O$3&amp;"* . Hörmətlə  *AlumPro*"</f>
        <v>Hörmətli *Tehmasib*  , göstərilən xidmətə görə *0 AZN* borcunuz qalmışdır . Ödəniş etməyiniz xahiş olunur. Ödəniş kartı  *4098584464110962* . Hörmətlə  *AlumPro*</v>
      </c>
      <c r="N155" s="46"/>
    </row>
    <row r="156" spans="4:14" ht="17.25">
      <c r="D156" s="214" t="s">
        <v>239</v>
      </c>
      <c r="E156" s="247" t="s">
        <v>240</v>
      </c>
      <c r="F156" s="15">
        <f>COUNTIF(Sifarisler!$H$3:$H$10346,D156)</f>
        <v>3</v>
      </c>
      <c r="G156" s="248">
        <f>SUMIF(Sifarisler!$H$3:$H$10346,D156,Sifarisler!$AM$3:$AM$10346)</f>
        <v>285</v>
      </c>
      <c r="H156" s="248">
        <f>SUMIF(Sifarisler!$H$3:$H$10346,D156,Sifarisler!$AO$3:$AO$10346)</f>
        <v>200</v>
      </c>
      <c r="I156" s="249">
        <f>SUMIF(Sifarisler!$H$3:$H$10346,D156,Sifarisler!$AP$3:$AP$10346)</f>
        <v>85</v>
      </c>
      <c r="J156" s="250" t="str">
        <f t="shared" si="86"/>
        <v>Mesaj</v>
      </c>
      <c r="K156" s="9" t="str">
        <f t="shared" si="85"/>
        <v>Mansur</v>
      </c>
      <c r="L156" s="10" t="str">
        <f t="shared" si="84"/>
        <v xml:space="preserve">Mansur </v>
      </c>
      <c r="M156" s="251" t="str">
        <f>"Hörmətli *"&amp;K156&amp;"*  , göstərilən xidmətə görə *"&amp;I156&amp;" AZN* borcunuz qalmışdır . Ödəniş etməyiniz xahiş olunur. Ödəniş kartı  *"&amp;Məlumatlar!$O$3&amp;"* . Hörmətlə  *AlumPro*"</f>
        <v>Hörmətli *Mansur*  , göstərilən xidmətə görə *85 AZN* borcunuz qalmışdır . Ödəniş etməyiniz xahiş olunur. Ödəniş kartı  *4098584464110962* . Hörmətlə  *AlumPro*</v>
      </c>
      <c r="N156" s="46"/>
    </row>
    <row r="157" spans="4:14" ht="17.25">
      <c r="D157" s="214" t="s">
        <v>1033</v>
      </c>
      <c r="E157" s="247" t="s">
        <v>1034</v>
      </c>
      <c r="F157" s="15">
        <f>COUNTIF(Sifarisler!$H$3:$H$10346,D157)</f>
        <v>0</v>
      </c>
      <c r="G157" s="248">
        <f>SUMIF(Sifarisler!$H$3:$H$10346,D157,Sifarisler!$AM$3:$AM$10346)</f>
        <v>0</v>
      </c>
      <c r="H157" s="248">
        <f>SUMIF(Sifarisler!$H$3:$H$10346,D157,Sifarisler!$AO$3:$AO$10346)</f>
        <v>0</v>
      </c>
      <c r="I157" s="249">
        <f>SUMIF(Sifarisler!$H$3:$H$10346,D157,Sifarisler!$AP$3:$AP$10346)</f>
        <v>0</v>
      </c>
      <c r="J157" s="250" t="str">
        <f t="shared" si="86"/>
        <v>Mesaj</v>
      </c>
      <c r="K157" s="9" t="str">
        <f t="shared" si="85"/>
        <v>Elnur</v>
      </c>
      <c r="L157" s="10" t="str">
        <f t="shared" si="84"/>
        <v xml:space="preserve">Elnur </v>
      </c>
      <c r="M157" s="251" t="str">
        <f>"Hörmətli *"&amp;K157&amp;"*  , göstərilən xidmətə görə *"&amp;I157&amp;" AZN* borcunuz qalmışdır . Ödəniş etməyiniz xahiş olunur. Ödəniş kartı  *"&amp;Məlumatlar!$O$3&amp;"* . Hörmətlə  *AlumPro*"</f>
        <v>Hörmətli *Elnur*  , göstərilən xidmətə görə *0 AZN* borcunuz qalmışdır . Ödəniş etməyiniz xahiş olunur. Ödəniş kartı  *4098584464110962* . Hörmətlə  *AlumPro*</v>
      </c>
      <c r="N157" s="46"/>
    </row>
    <row r="158" spans="4:14" ht="17.25">
      <c r="D158" s="214" t="s">
        <v>341</v>
      </c>
      <c r="E158" s="247" t="s">
        <v>342</v>
      </c>
      <c r="F158" s="15">
        <f>COUNTIF(Sifarisler!$H$3:$H$10346,D158)</f>
        <v>4</v>
      </c>
      <c r="G158" s="248">
        <f>SUMIF(Sifarisler!$H$3:$H$10346,D158,Sifarisler!$AM$3:$AM$10346)</f>
        <v>4606</v>
      </c>
      <c r="H158" s="248">
        <f>SUMIF(Sifarisler!$H$3:$H$10346,D158,Sifarisler!$AO$3:$AO$10346)</f>
        <v>1476</v>
      </c>
      <c r="I158" s="249">
        <f>SUMIF(Sifarisler!$H$3:$H$10346,D158,Sifarisler!$AP$3:$AP$10346)</f>
        <v>3130</v>
      </c>
      <c r="J158" s="250" t="str">
        <f t="shared" si="86"/>
        <v>Mesaj</v>
      </c>
      <c r="K158" s="9" t="str">
        <f t="shared" si="85"/>
        <v>Cavid</v>
      </c>
      <c r="L158" s="10" t="str">
        <f t="shared" si="84"/>
        <v xml:space="preserve">Cavid </v>
      </c>
      <c r="M158" s="251" t="str">
        <f>"Hörmətli *"&amp;K158&amp;"*  , göstərilən xidmətə görə *"&amp;I158&amp;" AZN* borcunuz qalmışdır . Ödəniş etməyiniz xahiş olunur. Ödəniş kartı  *"&amp;Məlumatlar!$O$3&amp;"* . Hörmətlə  *AlumPro*"</f>
        <v>Hörmətli *Cavid*  , göstərilən xidmətə görə *3130 AZN* borcunuz qalmışdır . Ödəniş etməyiniz xahiş olunur. Ödəniş kartı  *4098584464110962* . Hörmətlə  *AlumPro*</v>
      </c>
      <c r="N158" s="46"/>
    </row>
    <row r="159" spans="4:14" ht="17.25">
      <c r="D159" s="214" t="s">
        <v>532</v>
      </c>
      <c r="E159" s="247" t="s">
        <v>533</v>
      </c>
      <c r="F159" s="15">
        <f>COUNTIF(Sifarisler!$H$3:$H$10346,D159)</f>
        <v>3</v>
      </c>
      <c r="G159" s="248">
        <f>SUMIF(Sifarisler!$H$3:$H$10346,D159,Sifarisler!$AM$3:$AM$10346)</f>
        <v>3890</v>
      </c>
      <c r="H159" s="248">
        <f>SUMIF(Sifarisler!$H$3:$H$10346,D159,Sifarisler!$AO$3:$AO$10346)</f>
        <v>3890</v>
      </c>
      <c r="I159" s="249">
        <f>SUMIF(Sifarisler!$H$3:$H$10346,D159,Sifarisler!$AP$3:$AP$10346)</f>
        <v>0</v>
      </c>
      <c r="J159" s="250" t="str">
        <f t="shared" si="86"/>
        <v>Mesaj</v>
      </c>
      <c r="K159" s="9" t="str">
        <f t="shared" si="85"/>
        <v>Natiq</v>
      </c>
      <c r="L159" s="10" t="str">
        <f t="shared" si="84"/>
        <v xml:space="preserve">Natiq </v>
      </c>
      <c r="M159" s="251" t="str">
        <f>"Hörmətli *"&amp;K159&amp;"*  , göstərilən xidmətə görə *"&amp;I159&amp;" AZN* borcunuz qalmışdır . Ödəniş etməyiniz xahiş olunur. Ödəniş kartı  *"&amp;Məlumatlar!$O$3&amp;"* . Hörmətlə  *AlumPro*"</f>
        <v>Hörmətli *Natiq*  , göstərilən xidmətə görə *0 AZN* borcunuz qalmışdır . Ödəniş etməyiniz xahiş olunur. Ödəniş kartı  *4098584464110962* . Hörmətlə  *AlumPro*</v>
      </c>
      <c r="N159" s="46"/>
    </row>
    <row r="160" spans="4:14" ht="17.25">
      <c r="D160" s="214" t="s">
        <v>1035</v>
      </c>
      <c r="E160" s="247" t="s">
        <v>1036</v>
      </c>
      <c r="F160" s="15">
        <f>COUNTIF(Sifarisler!$H$3:$H$10346,D160)</f>
        <v>0</v>
      </c>
      <c r="G160" s="248">
        <f>SUMIF(Sifarisler!$H$3:$H$10346,D160,Sifarisler!$AM$3:$AM$10346)</f>
        <v>0</v>
      </c>
      <c r="H160" s="248">
        <f>SUMIF(Sifarisler!$H$3:$H$10346,D160,Sifarisler!$AO$3:$AO$10346)</f>
        <v>0</v>
      </c>
      <c r="I160" s="249">
        <f>SUMIF(Sifarisler!$H$3:$H$10346,D160,Sifarisler!$AP$3:$AP$10346)</f>
        <v>0</v>
      </c>
      <c r="J160" s="250" t="str">
        <f t="shared" si="86"/>
        <v>Mesaj</v>
      </c>
      <c r="K160" s="9" t="str">
        <f t="shared" si="85"/>
        <v>Mehman</v>
      </c>
      <c r="L160" s="10" t="str">
        <f t="shared" si="84"/>
        <v xml:space="preserve">Mehman </v>
      </c>
      <c r="M160" s="251" t="str">
        <f>"Hörmətli *"&amp;K160&amp;"*  , göstərilən xidmətə görə *"&amp;I160&amp;" AZN* borcunuz qalmışdır . Ödəniş etməyiniz xahiş olunur. Ödəniş kartı  *"&amp;Məlumatlar!$O$3&amp;"* . Hörmətlə  *AlumPro*"</f>
        <v>Hörmətli *Mehman*  , göstərilən xidmətə görə *0 AZN* borcunuz qalmışdır . Ödəniş etməyiniz xahiş olunur. Ödəniş kartı  *4098584464110962* . Hörmətlə  *AlumPro*</v>
      </c>
      <c r="N160" s="46"/>
    </row>
    <row r="161" spans="4:14" ht="17.25">
      <c r="D161" s="214" t="s">
        <v>1037</v>
      </c>
      <c r="E161" s="247" t="s">
        <v>1038</v>
      </c>
      <c r="F161" s="15">
        <f>COUNTIF(Sifarisler!$H$3:$H$10346,D161)</f>
        <v>0</v>
      </c>
      <c r="G161" s="248">
        <f>SUMIF(Sifarisler!$H$3:$H$10346,D161,Sifarisler!$AM$3:$AM$10346)</f>
        <v>0</v>
      </c>
      <c r="H161" s="248">
        <f>SUMIF(Sifarisler!$H$3:$H$10346,D161,Sifarisler!$AO$3:$AO$10346)</f>
        <v>0</v>
      </c>
      <c r="I161" s="249">
        <f>SUMIF(Sifarisler!$H$3:$H$10346,D161,Sifarisler!$AP$3:$AP$10346)</f>
        <v>0</v>
      </c>
      <c r="J161" s="250" t="str">
        <f t="shared" si="86"/>
        <v>Mesaj</v>
      </c>
      <c r="K161" s="9" t="str">
        <f t="shared" si="85"/>
        <v>Tural</v>
      </c>
      <c r="L161" s="10" t="str">
        <f t="shared" si="84"/>
        <v xml:space="preserve">Tural </v>
      </c>
      <c r="M161" s="251" t="str">
        <f>"Hörmətli *"&amp;K161&amp;"*  , göstərilən xidmətə görə *"&amp;I161&amp;" AZN* borcunuz qalmışdır . Ödəniş etməyiniz xahiş olunur. Ödəniş kartı  *"&amp;Məlumatlar!$O$3&amp;"* . Hörmətlə  *AlumPro*"</f>
        <v>Hörmətli *Tural*  , göstərilən xidmətə görə *0 AZN* borcunuz qalmışdır . Ödəniş etməyiniz xahiş olunur. Ödəniş kartı  *4098584464110962* . Hörmətlə  *AlumPro*</v>
      </c>
      <c r="N161" s="46"/>
    </row>
    <row r="162" spans="4:14" ht="17.25">
      <c r="D162" s="214" t="s">
        <v>1039</v>
      </c>
      <c r="E162" s="247" t="s">
        <v>1040</v>
      </c>
      <c r="F162" s="15">
        <f>COUNTIF(Sifarisler!$H$3:$H$10346,D162)</f>
        <v>0</v>
      </c>
      <c r="G162" s="248">
        <f>SUMIF(Sifarisler!$H$3:$H$10346,D162,Sifarisler!$AM$3:$AM$10346)</f>
        <v>0</v>
      </c>
      <c r="H162" s="248">
        <f>SUMIF(Sifarisler!$H$3:$H$10346,D162,Sifarisler!$AO$3:$AO$10346)</f>
        <v>0</v>
      </c>
      <c r="I162" s="249">
        <f>SUMIF(Sifarisler!$H$3:$H$10346,D162,Sifarisler!$AP$3:$AP$10346)</f>
        <v>0</v>
      </c>
      <c r="J162" s="250" t="str">
        <f t="shared" si="86"/>
        <v>Mesaj</v>
      </c>
      <c r="K162" s="9" t="str">
        <f t="shared" si="85"/>
        <v>Cavidan</v>
      </c>
      <c r="L162" s="10" t="str">
        <f t="shared" si="84"/>
        <v xml:space="preserve">Cavidan </v>
      </c>
      <c r="M162" s="251" t="str">
        <f>"Hörmətli *"&amp;K162&amp;"*  , göstərilən xidmətə görə *"&amp;I162&amp;" AZN* borcunuz qalmışdır . Ödəniş etməyiniz xahiş olunur. Ödəniş kartı  *"&amp;Məlumatlar!$O$3&amp;"* . Hörmətlə  *AlumPro*"</f>
        <v>Hörmətli *Cavidan*  , göstərilən xidmətə görə *0 AZN* borcunuz qalmışdır . Ödəniş etməyiniz xahiş olunur. Ödəniş kartı  *4098584464110962* . Hörmətlə  *AlumPro*</v>
      </c>
      <c r="N162" s="46"/>
    </row>
    <row r="163" spans="4:14" ht="17.25">
      <c r="D163" s="214" t="s">
        <v>1041</v>
      </c>
      <c r="E163" s="247" t="s">
        <v>1042</v>
      </c>
      <c r="F163" s="15">
        <f>COUNTIF(Sifarisler!$H$3:$H$10346,D163)</f>
        <v>0</v>
      </c>
      <c r="G163" s="248">
        <f>SUMIF(Sifarisler!$H$3:$H$10346,D163,Sifarisler!$AM$3:$AM$10346)</f>
        <v>0</v>
      </c>
      <c r="H163" s="248">
        <f>SUMIF(Sifarisler!$H$3:$H$10346,D163,Sifarisler!$AO$3:$AO$10346)</f>
        <v>0</v>
      </c>
      <c r="I163" s="249">
        <f>SUMIF(Sifarisler!$H$3:$H$10346,D163,Sifarisler!$AP$3:$AP$10346)</f>
        <v>0</v>
      </c>
      <c r="J163" s="250" t="str">
        <f t="shared" si="86"/>
        <v>Mesaj</v>
      </c>
      <c r="K163" s="9" t="str">
        <f t="shared" si="85"/>
        <v>Samir</v>
      </c>
      <c r="L163" s="10" t="str">
        <f t="shared" si="84"/>
        <v xml:space="preserve">Samir </v>
      </c>
      <c r="M163" s="251" t="str">
        <f>"Hörmətli *"&amp;K163&amp;"*  , göstərilən xidmətə görə *"&amp;I163&amp;" AZN* borcunuz qalmışdır . Ödəniş etməyiniz xahiş olunur. Ödəniş kartı  *"&amp;Məlumatlar!$O$3&amp;"* . Hörmətlə  *AlumPro*"</f>
        <v>Hörmətli *Samir*  , göstərilən xidmətə görə *0 AZN* borcunuz qalmışdır . Ödəniş etməyiniz xahiş olunur. Ödəniş kartı  *4098584464110962* . Hörmətlə  *AlumPro*</v>
      </c>
      <c r="N163" s="46"/>
    </row>
    <row r="164" spans="4:14" ht="17.25">
      <c r="D164" s="214" t="s">
        <v>1043</v>
      </c>
      <c r="E164" s="247" t="s">
        <v>1044</v>
      </c>
      <c r="F164" s="15">
        <f>COUNTIF(Sifarisler!$H$3:$H$10346,D164)</f>
        <v>0</v>
      </c>
      <c r="G164" s="248">
        <f>SUMIF(Sifarisler!$H$3:$H$10346,D164,Sifarisler!$AM$3:$AM$10346)</f>
        <v>0</v>
      </c>
      <c r="H164" s="248">
        <f>SUMIF(Sifarisler!$H$3:$H$10346,D164,Sifarisler!$AO$3:$AO$10346)</f>
        <v>0</v>
      </c>
      <c r="I164" s="249">
        <f>SUMIF(Sifarisler!$H$3:$H$10346,D164,Sifarisler!$AP$3:$AP$10346)</f>
        <v>0</v>
      </c>
      <c r="J164" s="250" t="str">
        <f t="shared" si="86"/>
        <v>Mesaj</v>
      </c>
      <c r="K164" s="9" t="str">
        <f t="shared" si="85"/>
        <v>Nicat</v>
      </c>
      <c r="L164" s="10" t="str">
        <f t="shared" si="84"/>
        <v xml:space="preserve">Nicat </v>
      </c>
      <c r="M164" s="251" t="str">
        <f>"Hörmətli *"&amp;K164&amp;"*  , göstərilən xidmətə görə *"&amp;I164&amp;" AZN* borcunuz qalmışdır . Ödəniş etməyiniz xahiş olunur. Ödəniş kartı  *"&amp;Məlumatlar!$O$3&amp;"* . Hörmətlə  *AlumPro*"</f>
        <v>Hörmətli *Nicat*  , göstərilən xidmətə görə *0 AZN* borcunuz qalmışdır . Ödəniş etməyiniz xahiş olunur. Ödəniş kartı  *4098584464110962* . Hörmətlə  *AlumPro*</v>
      </c>
      <c r="N164" s="46"/>
    </row>
    <row r="165" spans="4:14" ht="17.25">
      <c r="D165" s="214" t="s">
        <v>1045</v>
      </c>
      <c r="E165" s="247" t="s">
        <v>1046</v>
      </c>
      <c r="F165" s="15">
        <f>COUNTIF(Sifarisler!$H$3:$H$10346,D165)</f>
        <v>0</v>
      </c>
      <c r="G165" s="248">
        <f>SUMIF(Sifarisler!$H$3:$H$10346,D165,Sifarisler!$AM$3:$AM$10346)</f>
        <v>0</v>
      </c>
      <c r="H165" s="248">
        <f>SUMIF(Sifarisler!$H$3:$H$10346,D165,Sifarisler!$AO$3:$AO$10346)</f>
        <v>0</v>
      </c>
      <c r="I165" s="249">
        <f>SUMIF(Sifarisler!$H$3:$H$10346,D165,Sifarisler!$AP$3:$AP$10346)</f>
        <v>0</v>
      </c>
      <c r="J165" s="250" t="str">
        <f t="shared" si="86"/>
        <v>Mesaj</v>
      </c>
      <c r="K165" s="9" t="str">
        <f t="shared" si="85"/>
        <v>Amid</v>
      </c>
      <c r="L165" s="10" t="str">
        <f t="shared" si="84"/>
        <v xml:space="preserve">Amid </v>
      </c>
      <c r="M165" s="251" t="str">
        <f>"Hörmətli *"&amp;K165&amp;"*  , göstərilən xidmətə görə *"&amp;I165&amp;" AZN* borcunuz qalmışdır . Ödəniş etməyiniz xahiş olunur. Ödəniş kartı  *"&amp;Məlumatlar!$O$3&amp;"* . Hörmətlə  *AlumPro*"</f>
        <v>Hörmətli *Amid*  , göstərilən xidmətə görə *0 AZN* borcunuz qalmışdır . Ödəniş etməyiniz xahiş olunur. Ödəniş kartı  *4098584464110962* . Hörmətlə  *AlumPro*</v>
      </c>
      <c r="N165" s="46"/>
    </row>
    <row r="166" spans="4:14" ht="17.25">
      <c r="D166" s="214" t="s">
        <v>443</v>
      </c>
      <c r="E166" s="247" t="s">
        <v>444</v>
      </c>
      <c r="F166" s="15">
        <f>COUNTIF(Sifarisler!$H$3:$H$10346,D166)</f>
        <v>1</v>
      </c>
      <c r="G166" s="248">
        <f>SUMIF(Sifarisler!$H$3:$H$10346,D166,Sifarisler!$AM$3:$AM$10346)</f>
        <v>274</v>
      </c>
      <c r="H166" s="248">
        <f>SUMIF(Sifarisler!$H$3:$H$10346,D166,Sifarisler!$AO$3:$AO$10346)</f>
        <v>0</v>
      </c>
      <c r="I166" s="249">
        <f>SUMIF(Sifarisler!$H$3:$H$10346,D166,Sifarisler!$AP$3:$AP$10346)</f>
        <v>274</v>
      </c>
      <c r="J166" s="250" t="str">
        <f t="shared" si="86"/>
        <v>Mesaj</v>
      </c>
      <c r="K166" s="9" t="str">
        <f t="shared" si="85"/>
        <v>Xezer</v>
      </c>
      <c r="L166" s="10" t="str">
        <f t="shared" si="84"/>
        <v xml:space="preserve">Xezer </v>
      </c>
      <c r="M166" s="251" t="str">
        <f>"Hörmətli *"&amp;K166&amp;"*  , göstərilən xidmətə görə *"&amp;I166&amp;" AZN* borcunuz qalmışdır . Ödəniş etməyiniz xahiş olunur. Ödəniş kartı  *"&amp;Məlumatlar!$O$3&amp;"* . Hörmətlə  *AlumPro*"</f>
        <v>Hörmətli *Xezer*  , göstərilən xidmətə görə *274 AZN* borcunuz qalmışdır . Ödəniş etməyiniz xahiş olunur. Ödəniş kartı  *4098584464110962* . Hörmətlə  *AlumPro*</v>
      </c>
      <c r="N166" s="46"/>
    </row>
    <row r="167" spans="4:14" ht="17.25">
      <c r="D167" s="214" t="s">
        <v>1047</v>
      </c>
      <c r="E167" s="247" t="s">
        <v>1048</v>
      </c>
      <c r="F167" s="15">
        <f>COUNTIF(Sifarisler!$H$3:$H$10346,D167)</f>
        <v>0</v>
      </c>
      <c r="G167" s="248">
        <f>SUMIF(Sifarisler!$H$3:$H$10346,D167,Sifarisler!$AM$3:$AM$10346)</f>
        <v>0</v>
      </c>
      <c r="H167" s="248">
        <f>SUMIF(Sifarisler!$H$3:$H$10346,D167,Sifarisler!$AO$3:$AO$10346)</f>
        <v>0</v>
      </c>
      <c r="I167" s="249">
        <f>SUMIF(Sifarisler!$H$3:$H$10346,D167,Sifarisler!$AP$3:$AP$10346)</f>
        <v>0</v>
      </c>
      <c r="J167" s="250" t="str">
        <f t="shared" si="86"/>
        <v>Mesaj</v>
      </c>
      <c r="K167" s="9" t="str">
        <f t="shared" si="85"/>
        <v>Perviz</v>
      </c>
      <c r="L167" s="10" t="str">
        <f t="shared" si="84"/>
        <v xml:space="preserve">Perviz </v>
      </c>
      <c r="M167" s="251" t="str">
        <f>"Hörmətli *"&amp;K167&amp;"*  , göstərilən xidmətə görə *"&amp;I167&amp;" AZN* borcunuz qalmışdır . Ödəniş etməyiniz xahiş olunur. Ödəniş kartı  *"&amp;Məlumatlar!$O$3&amp;"* . Hörmətlə  *AlumPro*"</f>
        <v>Hörmətli *Perviz*  , göstərilən xidmətə görə *0 AZN* borcunuz qalmışdır . Ödəniş etməyiniz xahiş olunur. Ödəniş kartı  *4098584464110962* . Hörmətlə  *AlumPro*</v>
      </c>
      <c r="N167" s="46"/>
    </row>
    <row r="168" spans="4:14" ht="17.25">
      <c r="D168" s="214" t="s">
        <v>1049</v>
      </c>
      <c r="E168" s="247" t="s">
        <v>1050</v>
      </c>
      <c r="F168" s="15">
        <f>COUNTIF(Sifarisler!$H$3:$H$10346,D168)</f>
        <v>0</v>
      </c>
      <c r="G168" s="248">
        <f>SUMIF(Sifarisler!$H$3:$H$10346,D168,Sifarisler!$AM$3:$AM$10346)</f>
        <v>0</v>
      </c>
      <c r="H168" s="248">
        <f>SUMIF(Sifarisler!$H$3:$H$10346,D168,Sifarisler!$AO$3:$AO$10346)</f>
        <v>0</v>
      </c>
      <c r="I168" s="249">
        <f>SUMIF(Sifarisler!$H$3:$H$10346,D168,Sifarisler!$AP$3:$AP$10346)</f>
        <v>0</v>
      </c>
      <c r="J168" s="250" t="str">
        <f t="shared" si="86"/>
        <v>Mesaj</v>
      </c>
      <c r="K168" s="9" t="str">
        <f t="shared" si="85"/>
        <v>Musfiq</v>
      </c>
      <c r="L168" s="10" t="str">
        <f t="shared" si="84"/>
        <v xml:space="preserve">Musfiq </v>
      </c>
      <c r="M168" s="251" t="str">
        <f>"Hörmətli *"&amp;K168&amp;"*  , göstərilən xidmətə görə *"&amp;I168&amp;" AZN* borcunuz qalmışdır . Ödəniş etməyiniz xahiş olunur. Ödəniş kartı  *"&amp;Məlumatlar!$O$3&amp;"* . Hörmətlə  *AlumPro*"</f>
        <v>Hörmətli *Musfiq*  , göstərilən xidmətə görə *0 AZN* borcunuz qalmışdır . Ödəniş etməyiniz xahiş olunur. Ödəniş kartı  *4098584464110962* . Hörmətlə  *AlumPro*</v>
      </c>
      <c r="N168" s="46"/>
    </row>
    <row r="169" spans="4:14" ht="17.25">
      <c r="D169" s="214" t="s">
        <v>821</v>
      </c>
      <c r="E169" s="247" t="s">
        <v>822</v>
      </c>
      <c r="F169" s="15">
        <f>COUNTIF(Sifarisler!$H$3:$H$10346,D169)</f>
        <v>1</v>
      </c>
      <c r="G169" s="248">
        <f>SUMIF(Sifarisler!$H$3:$H$10346,D169,Sifarisler!$AM$3:$AM$10346)</f>
        <v>2600</v>
      </c>
      <c r="H169" s="248">
        <f>SUMIF(Sifarisler!$H$3:$H$10346,D169,Sifarisler!$AO$3:$AO$10346)</f>
        <v>2600</v>
      </c>
      <c r="I169" s="249">
        <f>SUMIF(Sifarisler!$H$3:$H$10346,D169,Sifarisler!$AP$3:$AP$10346)</f>
        <v>0</v>
      </c>
      <c r="J169" s="250" t="str">
        <f t="shared" si="86"/>
        <v>Mesaj</v>
      </c>
      <c r="K169" s="9" t="str">
        <f t="shared" si="85"/>
        <v>Cefer</v>
      </c>
      <c r="L169" s="10" t="str">
        <f t="shared" si="84"/>
        <v xml:space="preserve">Cefer </v>
      </c>
      <c r="M169" s="251" t="str">
        <f>"Hörmətli *"&amp;K169&amp;"*  , göstərilən xidmətə görə *"&amp;I169&amp;" AZN* borcunuz qalmışdır . Ödəniş etməyiniz xahiş olunur. Ödəniş kartı  *"&amp;Məlumatlar!$O$3&amp;"* . Hörmətlə  *AlumPro*"</f>
        <v>Hörmətli *Cefer*  , göstərilən xidmətə görə *0 AZN* borcunuz qalmışdır . Ödəniş etməyiniz xahiş olunur. Ödəniş kartı  *4098584464110962* . Hörmətlə  *AlumPro*</v>
      </c>
      <c r="N169" s="46"/>
    </row>
    <row r="170" spans="4:14" ht="17.25">
      <c r="D170" s="214" t="s">
        <v>1051</v>
      </c>
      <c r="E170" s="247" t="s">
        <v>1052</v>
      </c>
      <c r="F170" s="15">
        <f>COUNTIF(Sifarisler!$H$3:$H$10346,D170)</f>
        <v>0</v>
      </c>
      <c r="G170" s="248">
        <f>SUMIF(Sifarisler!$H$3:$H$10346,D170,Sifarisler!$AM$3:$AM$10346)</f>
        <v>0</v>
      </c>
      <c r="H170" s="248">
        <f>SUMIF(Sifarisler!$H$3:$H$10346,D170,Sifarisler!$AO$3:$AO$10346)</f>
        <v>0</v>
      </c>
      <c r="I170" s="249">
        <f>SUMIF(Sifarisler!$H$3:$H$10346,D170,Sifarisler!$AP$3:$AP$10346)</f>
        <v>0</v>
      </c>
      <c r="J170" s="250" t="str">
        <f t="shared" si="86"/>
        <v>Mesaj</v>
      </c>
      <c r="K170" s="9" t="str">
        <f t="shared" si="85"/>
        <v>Emil</v>
      </c>
      <c r="L170" s="10" t="str">
        <f t="shared" si="84"/>
        <v xml:space="preserve">Emil </v>
      </c>
      <c r="M170" s="251" t="str">
        <f>"Hörmətli *"&amp;K170&amp;"*  , göstərilən xidmətə görə *"&amp;I170&amp;" AZN* borcunuz qalmışdır . Ödəniş etməyiniz xahiş olunur. Ödəniş kartı  *"&amp;Məlumatlar!$O$3&amp;"* . Hörmətlə  *AlumPro*"</f>
        <v>Hörmətli *Emil*  , göstərilən xidmətə görə *0 AZN* borcunuz qalmışdır . Ödəniş etməyiniz xahiş olunur. Ödəniş kartı  *4098584464110962* . Hörmətlə  *AlumPro*</v>
      </c>
      <c r="N170" s="46"/>
    </row>
    <row r="171" spans="4:14" ht="17.25">
      <c r="D171" s="214" t="s">
        <v>1053</v>
      </c>
      <c r="E171" s="247" t="s">
        <v>1054</v>
      </c>
      <c r="F171" s="15">
        <f>COUNTIF(Sifarisler!$H$3:$H$10346,D171)</f>
        <v>0</v>
      </c>
      <c r="G171" s="248">
        <f>SUMIF(Sifarisler!$H$3:$H$10346,D171,Sifarisler!$AM$3:$AM$10346)</f>
        <v>0</v>
      </c>
      <c r="H171" s="248">
        <f>SUMIF(Sifarisler!$H$3:$H$10346,D171,Sifarisler!$AO$3:$AO$10346)</f>
        <v>0</v>
      </c>
      <c r="I171" s="249">
        <f>SUMIF(Sifarisler!$H$3:$H$10346,D171,Sifarisler!$AP$3:$AP$10346)</f>
        <v>0</v>
      </c>
      <c r="J171" s="250" t="str">
        <f t="shared" si="86"/>
        <v>Mesaj</v>
      </c>
      <c r="K171" s="9" t="str">
        <f t="shared" si="85"/>
        <v>Mehman</v>
      </c>
      <c r="L171" s="10" t="str">
        <f t="shared" si="84"/>
        <v xml:space="preserve">Mehman </v>
      </c>
      <c r="M171" s="251" t="str">
        <f>"Hörmətli *"&amp;K171&amp;"*  , göstərilən xidmətə görə *"&amp;I171&amp;" AZN* borcunuz qalmışdır . Ödəniş etməyiniz xahiş olunur. Ödəniş kartı  *"&amp;Məlumatlar!$O$3&amp;"* . Hörmətlə  *AlumPro*"</f>
        <v>Hörmətli *Mehman*  , göstərilən xidmətə görə *0 AZN* borcunuz qalmışdır . Ödəniş etməyiniz xahiş olunur. Ödəniş kartı  *4098584464110962* . Hörmətlə  *AlumPro*</v>
      </c>
      <c r="N171" s="46"/>
    </row>
    <row r="172" spans="4:14" ht="17.25">
      <c r="D172" s="214" t="s">
        <v>1055</v>
      </c>
      <c r="E172" s="247" t="s">
        <v>1056</v>
      </c>
      <c r="F172" s="15">
        <f>COUNTIF(Sifarisler!$H$3:$H$10346,D172)</f>
        <v>0</v>
      </c>
      <c r="G172" s="248">
        <f>SUMIF(Sifarisler!$H$3:$H$10346,D172,Sifarisler!$AM$3:$AM$10346)</f>
        <v>0</v>
      </c>
      <c r="H172" s="248">
        <f>SUMIF(Sifarisler!$H$3:$H$10346,D172,Sifarisler!$AO$3:$AO$10346)</f>
        <v>0</v>
      </c>
      <c r="I172" s="249">
        <f>SUMIF(Sifarisler!$H$3:$H$10346,D172,Sifarisler!$AP$3:$AP$10346)</f>
        <v>0</v>
      </c>
      <c r="J172" s="250" t="str">
        <f t="shared" si="86"/>
        <v>Mesaj</v>
      </c>
      <c r="K172" s="9" t="str">
        <f t="shared" si="85"/>
        <v>Kenan</v>
      </c>
      <c r="L172" s="10" t="str">
        <f t="shared" si="84"/>
        <v xml:space="preserve">Kenan </v>
      </c>
      <c r="M172" s="251" t="str">
        <f>"Hörmətli *"&amp;K172&amp;"*  , göstərilən xidmətə görə *"&amp;I172&amp;" AZN* borcunuz qalmışdır . Ödəniş etməyiniz xahiş olunur. Ödəniş kartı  *"&amp;Məlumatlar!$O$3&amp;"* . Hörmətlə  *AlumPro*"</f>
        <v>Hörmətli *Kenan*  , göstərilən xidmətə görə *0 AZN* borcunuz qalmışdır . Ödəniş etməyiniz xahiş olunur. Ödəniş kartı  *4098584464110962* . Hörmətlə  *AlumPro*</v>
      </c>
      <c r="N172" s="46"/>
    </row>
    <row r="173" spans="4:14" ht="17.25">
      <c r="D173" s="214" t="s">
        <v>1057</v>
      </c>
      <c r="E173" s="247" t="s">
        <v>1058</v>
      </c>
      <c r="F173" s="15">
        <f>COUNTIF(Sifarisler!$H$3:$H$10346,D173)</f>
        <v>0</v>
      </c>
      <c r="G173" s="248">
        <f>SUMIF(Sifarisler!$H$3:$H$10346,D173,Sifarisler!$AM$3:$AM$10346)</f>
        <v>0</v>
      </c>
      <c r="H173" s="248">
        <f>SUMIF(Sifarisler!$H$3:$H$10346,D173,Sifarisler!$AO$3:$AO$10346)</f>
        <v>0</v>
      </c>
      <c r="I173" s="249">
        <f>SUMIF(Sifarisler!$H$3:$H$10346,D173,Sifarisler!$AP$3:$AP$10346)</f>
        <v>0</v>
      </c>
      <c r="J173" s="250" t="str">
        <f t="shared" si="86"/>
        <v>Mesaj</v>
      </c>
      <c r="K173" s="9" t="str">
        <f t="shared" si="85"/>
        <v>Vuqar</v>
      </c>
      <c r="L173" s="10" t="str">
        <f t="shared" si="84"/>
        <v xml:space="preserve">Vuqar </v>
      </c>
      <c r="M173" s="251" t="str">
        <f>"Hörmətli *"&amp;K173&amp;"*  , göstərilən xidmətə görə *"&amp;I173&amp;" AZN* borcunuz qalmışdır . Ödəniş etməyiniz xahiş olunur. Ödəniş kartı  *"&amp;Məlumatlar!$O$3&amp;"* . Hörmətlə  *AlumPro*"</f>
        <v>Hörmətli *Vuqar*  , göstərilən xidmətə görə *0 AZN* borcunuz qalmışdır . Ödəniş etməyiniz xahiş olunur. Ödəniş kartı  *4098584464110962* . Hörmətlə  *AlumPro*</v>
      </c>
      <c r="N173" s="46"/>
    </row>
    <row r="174" spans="4:14" ht="17.25">
      <c r="D174" s="214" t="s">
        <v>1059</v>
      </c>
      <c r="E174" s="247" t="s">
        <v>1060</v>
      </c>
      <c r="F174" s="15">
        <f>COUNTIF(Sifarisler!$H$3:$H$10346,D174)</f>
        <v>0</v>
      </c>
      <c r="G174" s="248">
        <f>SUMIF(Sifarisler!$H$3:$H$10346,D174,Sifarisler!$AM$3:$AM$10346)</f>
        <v>0</v>
      </c>
      <c r="H174" s="248">
        <f>SUMIF(Sifarisler!$H$3:$H$10346,D174,Sifarisler!$AO$3:$AO$10346)</f>
        <v>0</v>
      </c>
      <c r="I174" s="249">
        <f>SUMIF(Sifarisler!$H$3:$H$10346,D174,Sifarisler!$AP$3:$AP$10346)</f>
        <v>0</v>
      </c>
      <c r="J174" s="250" t="str">
        <f t="shared" si="86"/>
        <v>Mesaj</v>
      </c>
      <c r="K174" s="9" t="str">
        <f t="shared" si="85"/>
        <v>Adil</v>
      </c>
      <c r="L174" s="10" t="str">
        <f t="shared" si="84"/>
        <v xml:space="preserve">Adil </v>
      </c>
      <c r="M174" s="251" t="str">
        <f>"Hörmətli *"&amp;K174&amp;"*  , göstərilən xidmətə görə *"&amp;I174&amp;" AZN* borcunuz qalmışdır . Ödəniş etməyiniz xahiş olunur. Ödəniş kartı  *"&amp;Məlumatlar!$O$3&amp;"* . Hörmətlə  *AlumPro*"</f>
        <v>Hörmətli *Adil*  , göstərilən xidmətə görə *0 AZN* borcunuz qalmışdır . Ödəniş etməyiniz xahiş olunur. Ödəniş kartı  *4098584464110962* . Hörmətlə  *AlumPro*</v>
      </c>
      <c r="N174" s="46"/>
    </row>
    <row r="175" spans="4:14" ht="17.25">
      <c r="D175" s="214" t="s">
        <v>1061</v>
      </c>
      <c r="E175" s="247" t="s">
        <v>1062</v>
      </c>
      <c r="F175" s="15">
        <f>COUNTIF(Sifarisler!$H$3:$H$10346,D175)</f>
        <v>0</v>
      </c>
      <c r="G175" s="248">
        <f>SUMIF(Sifarisler!$H$3:$H$10346,D175,Sifarisler!$AM$3:$AM$10346)</f>
        <v>0</v>
      </c>
      <c r="H175" s="248">
        <f>SUMIF(Sifarisler!$H$3:$H$10346,D175,Sifarisler!$AO$3:$AO$10346)</f>
        <v>0</v>
      </c>
      <c r="I175" s="249">
        <f>SUMIF(Sifarisler!$H$3:$H$10346,D175,Sifarisler!$AP$3:$AP$10346)</f>
        <v>0</v>
      </c>
      <c r="J175" s="250" t="str">
        <f t="shared" si="86"/>
        <v>Mesaj</v>
      </c>
      <c r="K175" s="9" t="str">
        <f t="shared" si="85"/>
        <v>Ismet</v>
      </c>
      <c r="L175" s="10" t="str">
        <f t="shared" si="84"/>
        <v xml:space="preserve">Ismet </v>
      </c>
      <c r="M175" s="251" t="str">
        <f>"Hörmətli *"&amp;K175&amp;"*  , göstərilən xidmətə görə *"&amp;I175&amp;" AZN* borcunuz qalmışdır . Ödəniş etməyiniz xahiş olunur. Ödəniş kartı  *"&amp;Məlumatlar!$O$3&amp;"* . Hörmətlə  *AlumPro*"</f>
        <v>Hörmətli *Ismet*  , göstərilən xidmətə görə *0 AZN* borcunuz qalmışdır . Ödəniş etməyiniz xahiş olunur. Ödəniş kartı  *4098584464110962* . Hörmətlə  *AlumPro*</v>
      </c>
      <c r="N175" s="46"/>
    </row>
    <row r="176" spans="4:14" ht="17.25">
      <c r="D176" s="214" t="s">
        <v>1063</v>
      </c>
      <c r="E176" s="247" t="s">
        <v>1064</v>
      </c>
      <c r="F176" s="15">
        <f>COUNTIF(Sifarisler!$H$3:$H$10346,D176)</f>
        <v>0</v>
      </c>
      <c r="G176" s="248">
        <f>SUMIF(Sifarisler!$H$3:$H$10346,D176,Sifarisler!$AM$3:$AM$10346)</f>
        <v>0</v>
      </c>
      <c r="H176" s="248">
        <f>SUMIF(Sifarisler!$H$3:$H$10346,D176,Sifarisler!$AO$3:$AO$10346)</f>
        <v>0</v>
      </c>
      <c r="I176" s="249">
        <f>SUMIF(Sifarisler!$H$3:$H$10346,D176,Sifarisler!$AP$3:$AP$10346)</f>
        <v>0</v>
      </c>
      <c r="J176" s="250" t="str">
        <f t="shared" si="86"/>
        <v>Mesaj</v>
      </c>
      <c r="K176" s="9" t="str">
        <f t="shared" si="85"/>
        <v>Ilqar</v>
      </c>
      <c r="L176" s="10" t="str">
        <f t="shared" si="84"/>
        <v xml:space="preserve">Ilqar </v>
      </c>
      <c r="M176" s="251" t="str">
        <f>"Hörmətli *"&amp;K176&amp;"*  , göstərilən xidmətə görə *"&amp;I176&amp;" AZN* borcunuz qalmışdır . Ödəniş etməyiniz xahiş olunur. Ödəniş kartı  *"&amp;Məlumatlar!$O$3&amp;"* . Hörmətlə  *AlumPro*"</f>
        <v>Hörmətli *Ilqar*  , göstərilən xidmətə görə *0 AZN* borcunuz qalmışdır . Ödəniş etməyiniz xahiş olunur. Ödəniş kartı  *4098584464110962* . Hörmətlə  *AlumPro*</v>
      </c>
      <c r="N176" s="46"/>
    </row>
    <row r="177" spans="4:14" ht="17.25">
      <c r="D177" s="214" t="s">
        <v>564</v>
      </c>
      <c r="E177" s="247" t="s">
        <v>565</v>
      </c>
      <c r="F177" s="15">
        <f>COUNTIF(Sifarisler!$H$3:$H$10346,D177)</f>
        <v>1</v>
      </c>
      <c r="G177" s="248">
        <f>SUMIF(Sifarisler!$H$3:$H$10346,D177,Sifarisler!$AM$3:$AM$10346)</f>
        <v>220</v>
      </c>
      <c r="H177" s="248">
        <f>SUMIF(Sifarisler!$H$3:$H$10346,D177,Sifarisler!$AO$3:$AO$10346)</f>
        <v>220</v>
      </c>
      <c r="I177" s="249">
        <f>SUMIF(Sifarisler!$H$3:$H$10346,D177,Sifarisler!$AP$3:$AP$10346)</f>
        <v>0</v>
      </c>
      <c r="J177" s="250" t="str">
        <f t="shared" si="86"/>
        <v>Mesaj</v>
      </c>
      <c r="K177" s="9" t="str">
        <f t="shared" si="85"/>
        <v>Babek</v>
      </c>
      <c r="L177" s="10" t="str">
        <f t="shared" si="84"/>
        <v xml:space="preserve">Babek </v>
      </c>
      <c r="M177" s="251" t="str">
        <f>"Hörmətli *"&amp;K177&amp;"*  , göstərilən xidmətə görə *"&amp;I177&amp;" AZN* borcunuz qalmışdır . Ödəniş etməyiniz xahiş olunur. Ödəniş kartı  *"&amp;Məlumatlar!$O$3&amp;"* . Hörmətlə  *AlumPro*"</f>
        <v>Hörmətli *Babek*  , göstərilən xidmətə görə *0 AZN* borcunuz qalmışdır . Ödəniş etməyiniz xahiş olunur. Ödəniş kartı  *4098584464110962* . Hörmətlə  *AlumPro*</v>
      </c>
      <c r="N177" s="46"/>
    </row>
    <row r="178" spans="4:14" ht="17.25">
      <c r="D178" s="214" t="s">
        <v>1065</v>
      </c>
      <c r="E178" s="247" t="s">
        <v>1066</v>
      </c>
      <c r="F178" s="15">
        <f>COUNTIF(Sifarisler!$H$3:$H$10346,D178)</f>
        <v>0</v>
      </c>
      <c r="G178" s="248">
        <f>SUMIF(Sifarisler!$H$3:$H$10346,D178,Sifarisler!$AM$3:$AM$10346)</f>
        <v>0</v>
      </c>
      <c r="H178" s="248">
        <f>SUMIF(Sifarisler!$H$3:$H$10346,D178,Sifarisler!$AO$3:$AO$10346)</f>
        <v>0</v>
      </c>
      <c r="I178" s="249">
        <f>SUMIF(Sifarisler!$H$3:$H$10346,D178,Sifarisler!$AP$3:$AP$10346)</f>
        <v>0</v>
      </c>
      <c r="J178" s="250" t="str">
        <f t="shared" si="86"/>
        <v>Mesaj</v>
      </c>
      <c r="K178" s="9" t="str">
        <f t="shared" si="85"/>
        <v>Ramin</v>
      </c>
      <c r="L178" s="10" t="str">
        <f t="shared" si="84"/>
        <v xml:space="preserve">Ramin </v>
      </c>
      <c r="M178" s="251" t="str">
        <f>"Hörmətli *"&amp;K178&amp;"*  , göstərilən xidmətə görə *"&amp;I178&amp;" AZN* borcunuz qalmışdır . Ödəniş etməyiniz xahiş olunur. Ödəniş kartı  *"&amp;Məlumatlar!$O$3&amp;"* . Hörmətlə  *AlumPro*"</f>
        <v>Hörmətli *Ramin*  , göstərilən xidmətə görə *0 AZN* borcunuz qalmışdır . Ödəniş etməyiniz xahiş olunur. Ödəniş kartı  *4098584464110962* . Hörmətlə  *AlumPro*</v>
      </c>
      <c r="N178" s="46"/>
    </row>
    <row r="179" spans="4:14" ht="17.25">
      <c r="D179" s="214" t="s">
        <v>1067</v>
      </c>
      <c r="E179" s="247" t="s">
        <v>1068</v>
      </c>
      <c r="F179" s="15">
        <f>COUNTIF(Sifarisler!$H$3:$H$10346,D179)</f>
        <v>0</v>
      </c>
      <c r="G179" s="248">
        <f>SUMIF(Sifarisler!$H$3:$H$10346,D179,Sifarisler!$AM$3:$AM$10346)</f>
        <v>0</v>
      </c>
      <c r="H179" s="248">
        <f>SUMIF(Sifarisler!$H$3:$H$10346,D179,Sifarisler!$AO$3:$AO$10346)</f>
        <v>0</v>
      </c>
      <c r="I179" s="249">
        <f>SUMIF(Sifarisler!$H$3:$H$10346,D179,Sifarisler!$AP$3:$AP$10346)</f>
        <v>0</v>
      </c>
      <c r="J179" s="250" t="str">
        <f t="shared" si="86"/>
        <v>Mesaj</v>
      </c>
      <c r="K179" s="9" t="str">
        <f t="shared" si="85"/>
        <v>Nazim</v>
      </c>
      <c r="L179" s="10" t="str">
        <f t="shared" si="84"/>
        <v xml:space="preserve">Nazim </v>
      </c>
      <c r="M179" s="251" t="str">
        <f>"Hörmətli *"&amp;K179&amp;"*  , göstərilən xidmətə görə *"&amp;I179&amp;" AZN* borcunuz qalmışdır . Ödəniş etməyiniz xahiş olunur. Ödəniş kartı  *"&amp;Məlumatlar!$O$3&amp;"* . Hörmətlə  *AlumPro*"</f>
        <v>Hörmətli *Nazim*  , göstərilən xidmətə görə *0 AZN* borcunuz qalmışdır . Ödəniş etməyiniz xahiş olunur. Ödəniş kartı  *4098584464110962* . Hörmətlə  *AlumPro*</v>
      </c>
      <c r="N179" s="46"/>
    </row>
    <row r="180" spans="4:14" ht="17.25">
      <c r="D180" s="214" t="s">
        <v>1069</v>
      </c>
      <c r="E180" s="247" t="s">
        <v>1070</v>
      </c>
      <c r="F180" s="15">
        <f>COUNTIF(Sifarisler!$H$3:$H$10346,D180)</f>
        <v>0</v>
      </c>
      <c r="G180" s="248">
        <f>SUMIF(Sifarisler!$H$3:$H$10346,D180,Sifarisler!$AM$3:$AM$10346)</f>
        <v>0</v>
      </c>
      <c r="H180" s="248">
        <f>SUMIF(Sifarisler!$H$3:$H$10346,D180,Sifarisler!$AO$3:$AO$10346)</f>
        <v>0</v>
      </c>
      <c r="I180" s="249">
        <f>SUMIF(Sifarisler!$H$3:$H$10346,D180,Sifarisler!$AP$3:$AP$10346)</f>
        <v>0</v>
      </c>
      <c r="J180" s="250" t="str">
        <f t="shared" si="86"/>
        <v>Mesaj</v>
      </c>
      <c r="K180" s="9" t="str">
        <f t="shared" si="85"/>
        <v>Tural</v>
      </c>
      <c r="L180" s="10" t="str">
        <f t="shared" si="84"/>
        <v xml:space="preserve">Tural </v>
      </c>
      <c r="M180" s="251" t="str">
        <f>"Hörmətli *"&amp;K180&amp;"*  , göstərilən xidmətə görə *"&amp;I180&amp;" AZN* borcunuz qalmışdır . Ödəniş etməyiniz xahiş olunur. Ödəniş kartı  *"&amp;Məlumatlar!$O$3&amp;"* . Hörmətlə  *AlumPro*"</f>
        <v>Hörmətli *Tural*  , göstərilən xidmətə görə *0 AZN* borcunuz qalmışdır . Ödəniş etməyiniz xahiş olunur. Ödəniş kartı  *4098584464110962* . Hörmətlə  *AlumPro*</v>
      </c>
      <c r="N180" s="46"/>
    </row>
    <row r="181" spans="4:14" ht="17.25">
      <c r="D181" s="214" t="s">
        <v>528</v>
      </c>
      <c r="E181" s="247" t="s">
        <v>529</v>
      </c>
      <c r="F181" s="15">
        <f>COUNTIF(Sifarisler!$H$3:$H$10346,D181)</f>
        <v>1</v>
      </c>
      <c r="G181" s="248">
        <f>SUMIF(Sifarisler!$H$3:$H$10346,D181,Sifarisler!$AM$3:$AM$10346)</f>
        <v>1201</v>
      </c>
      <c r="H181" s="248">
        <f>SUMIF(Sifarisler!$H$3:$H$10346,D181,Sifarisler!$AO$3:$AO$10346)</f>
        <v>1200</v>
      </c>
      <c r="I181" s="249">
        <f>SUMIF(Sifarisler!$H$3:$H$10346,D181,Sifarisler!$AP$3:$AP$10346)</f>
        <v>0</v>
      </c>
      <c r="J181" s="250" t="str">
        <f t="shared" si="86"/>
        <v>Mesaj</v>
      </c>
      <c r="K181" s="9" t="str">
        <f t="shared" si="85"/>
        <v>Vuqar</v>
      </c>
      <c r="L181" s="10" t="str">
        <f t="shared" ref="L181:L244" si="87">LEFT(D181,FIND("*",SUBSTITUTE(D181," ","*",1)))</f>
        <v xml:space="preserve">Vuqar </v>
      </c>
      <c r="M181" s="251" t="str">
        <f>"Hörmətli *"&amp;K181&amp;"*  , göstərilən xidmətə görə *"&amp;I181&amp;" AZN* borcunuz qalmışdır . Ödəniş etməyiniz xahiş olunur. Ödəniş kartı  *"&amp;Məlumatlar!$O$3&amp;"* . Hörmətlə  *AlumPro*"</f>
        <v>Hörmətli *Vuqar*  , göstərilən xidmətə görə *0 AZN* borcunuz qalmışdır . Ödəniş etməyiniz xahiş olunur. Ödəniş kartı  *4098584464110962* . Hörmətlə  *AlumPro*</v>
      </c>
      <c r="N181" s="46"/>
    </row>
    <row r="182" spans="4:14" ht="17.25">
      <c r="D182" s="214" t="s">
        <v>1071</v>
      </c>
      <c r="E182" s="247" t="s">
        <v>1072</v>
      </c>
      <c r="F182" s="15">
        <f>COUNTIF(Sifarisler!$H$3:$H$10346,D182)</f>
        <v>0</v>
      </c>
      <c r="G182" s="248">
        <f>SUMIF(Sifarisler!$H$3:$H$10346,D182,Sifarisler!$AM$3:$AM$10346)</f>
        <v>0</v>
      </c>
      <c r="H182" s="248">
        <f>SUMIF(Sifarisler!$H$3:$H$10346,D182,Sifarisler!$AO$3:$AO$10346)</f>
        <v>0</v>
      </c>
      <c r="I182" s="249">
        <f>SUMIF(Sifarisler!$H$3:$H$10346,D182,Sifarisler!$AP$3:$AP$10346)</f>
        <v>0</v>
      </c>
      <c r="J182" s="250" t="str">
        <f t="shared" si="86"/>
        <v>Mesaj</v>
      </c>
      <c r="K182" s="9" t="str">
        <f t="shared" si="85"/>
        <v>Firat</v>
      </c>
      <c r="L182" s="10" t="str">
        <f t="shared" si="87"/>
        <v xml:space="preserve">Firat </v>
      </c>
      <c r="M182" s="251" t="str">
        <f>"Hörmətli *"&amp;K182&amp;"*  , göstərilən xidmətə görə *"&amp;I182&amp;" AZN* borcunuz qalmışdır . Ödəniş etməyiniz xahiş olunur. Ödəniş kartı  *"&amp;Məlumatlar!$O$3&amp;"* . Hörmətlə  *AlumPro*"</f>
        <v>Hörmətli *Firat*  , göstərilən xidmətə görə *0 AZN* borcunuz qalmışdır . Ödəniş etməyiniz xahiş olunur. Ödəniş kartı  *4098584464110962* . Hörmətlə  *AlumPro*</v>
      </c>
      <c r="N182" s="46"/>
    </row>
    <row r="183" spans="4:14" ht="17.25">
      <c r="D183" s="214" t="s">
        <v>1073</v>
      </c>
      <c r="E183" s="247" t="s">
        <v>1074</v>
      </c>
      <c r="F183" s="15">
        <f>COUNTIF(Sifarisler!$H$3:$H$10346,D183)</f>
        <v>0</v>
      </c>
      <c r="G183" s="248">
        <f>SUMIF(Sifarisler!$H$3:$H$10346,D183,Sifarisler!$AM$3:$AM$10346)</f>
        <v>0</v>
      </c>
      <c r="H183" s="248">
        <f>SUMIF(Sifarisler!$H$3:$H$10346,D183,Sifarisler!$AO$3:$AO$10346)</f>
        <v>0</v>
      </c>
      <c r="I183" s="249">
        <f>SUMIF(Sifarisler!$H$3:$H$10346,D183,Sifarisler!$AP$3:$AP$10346)</f>
        <v>0</v>
      </c>
      <c r="J183" s="250" t="str">
        <f t="shared" si="86"/>
        <v>Mesaj</v>
      </c>
      <c r="K183" s="9" t="str">
        <f t="shared" si="85"/>
        <v>Yalcin</v>
      </c>
      <c r="L183" s="10" t="str">
        <f t="shared" si="87"/>
        <v xml:space="preserve">Yalcin </v>
      </c>
      <c r="M183" s="251" t="str">
        <f>"Hörmətli *"&amp;K183&amp;"*  , göstərilən xidmətə görə *"&amp;I183&amp;" AZN* borcunuz qalmışdır . Ödəniş etməyiniz xahiş olunur. Ödəniş kartı  *"&amp;Məlumatlar!$O$3&amp;"* . Hörmətlə  *AlumPro*"</f>
        <v>Hörmətli *Yalcin*  , göstərilən xidmətə görə *0 AZN* borcunuz qalmışdır . Ödəniş etməyiniz xahiş olunur. Ödəniş kartı  *4098584464110962* . Hörmətlə  *AlumPro*</v>
      </c>
      <c r="N183" s="46"/>
    </row>
    <row r="184" spans="4:14" ht="17.25">
      <c r="D184" s="214" t="s">
        <v>1075</v>
      </c>
      <c r="E184" s="247" t="s">
        <v>1076</v>
      </c>
      <c r="F184" s="15">
        <f>COUNTIF(Sifarisler!$H$3:$H$10346,D184)</f>
        <v>0</v>
      </c>
      <c r="G184" s="248">
        <f>SUMIF(Sifarisler!$H$3:$H$10346,D184,Sifarisler!$AM$3:$AM$10346)</f>
        <v>0</v>
      </c>
      <c r="H184" s="248">
        <f>SUMIF(Sifarisler!$H$3:$H$10346,D184,Sifarisler!$AO$3:$AO$10346)</f>
        <v>0</v>
      </c>
      <c r="I184" s="249">
        <f>SUMIF(Sifarisler!$H$3:$H$10346,D184,Sifarisler!$AP$3:$AP$10346)</f>
        <v>0</v>
      </c>
      <c r="J184" s="250" t="str">
        <f t="shared" si="86"/>
        <v>Mesaj</v>
      </c>
      <c r="K184" s="9" t="str">
        <f t="shared" ref="K184:K247" si="88">SUBSTITUTE(L184," ","")</f>
        <v>Cosqun</v>
      </c>
      <c r="L184" s="10" t="str">
        <f t="shared" si="87"/>
        <v xml:space="preserve">Cosqun </v>
      </c>
      <c r="M184" s="251" t="str">
        <f>"Hörmətli *"&amp;K184&amp;"*  , göstərilən xidmətə görə *"&amp;I184&amp;" AZN* borcunuz qalmışdır . Ödəniş etməyiniz xahiş olunur. Ödəniş kartı  *"&amp;Məlumatlar!$O$3&amp;"* . Hörmətlə  *AlumPro*"</f>
        <v>Hörmətli *Cosqun*  , göstərilən xidmətə görə *0 AZN* borcunuz qalmışdır . Ödəniş etməyiniz xahiş olunur. Ödəniş kartı  *4098584464110962* . Hörmətlə  *AlumPro*</v>
      </c>
      <c r="N184" s="46"/>
    </row>
    <row r="185" spans="4:14" ht="17.25">
      <c r="D185" s="214" t="s">
        <v>1077</v>
      </c>
      <c r="E185" s="247" t="s">
        <v>1078</v>
      </c>
      <c r="F185" s="15">
        <f>COUNTIF(Sifarisler!$H$3:$H$10346,D185)</f>
        <v>0</v>
      </c>
      <c r="G185" s="248">
        <f>SUMIF(Sifarisler!$H$3:$H$10346,D185,Sifarisler!$AM$3:$AM$10346)</f>
        <v>0</v>
      </c>
      <c r="H185" s="248">
        <f>SUMIF(Sifarisler!$H$3:$H$10346,D185,Sifarisler!$AO$3:$AO$10346)</f>
        <v>0</v>
      </c>
      <c r="I185" s="249">
        <f>SUMIF(Sifarisler!$H$3:$H$10346,D185,Sifarisler!$AP$3:$AP$10346)</f>
        <v>0</v>
      </c>
      <c r="J185" s="250" t="str">
        <f t="shared" si="86"/>
        <v>Mesaj</v>
      </c>
      <c r="K185" s="9" t="str">
        <f t="shared" si="88"/>
        <v>Hemid</v>
      </c>
      <c r="L185" s="10" t="str">
        <f t="shared" si="87"/>
        <v xml:space="preserve">Hemid </v>
      </c>
      <c r="M185" s="251" t="str">
        <f>"Hörmətli *"&amp;K185&amp;"*  , göstərilən xidmətə görə *"&amp;I185&amp;" AZN* borcunuz qalmışdır . Ödəniş etməyiniz xahiş olunur. Ödəniş kartı  *"&amp;Məlumatlar!$O$3&amp;"* . Hörmətlə  *AlumPro*"</f>
        <v>Hörmətli *Hemid*  , göstərilən xidmətə görə *0 AZN* borcunuz qalmışdır . Ödəniş etməyiniz xahiş olunur. Ödəniş kartı  *4098584464110962* . Hörmətlə  *AlumPro*</v>
      </c>
      <c r="N185" s="46"/>
    </row>
    <row r="186" spans="4:14" ht="17.25">
      <c r="D186" s="214" t="s">
        <v>1079</v>
      </c>
      <c r="E186" s="247" t="s">
        <v>1080</v>
      </c>
      <c r="F186" s="15">
        <f>COUNTIF(Sifarisler!$H$3:$H$10346,D186)</f>
        <v>0</v>
      </c>
      <c r="G186" s="248">
        <f>SUMIF(Sifarisler!$H$3:$H$10346,D186,Sifarisler!$AM$3:$AM$10346)</f>
        <v>0</v>
      </c>
      <c r="H186" s="248">
        <f>SUMIF(Sifarisler!$H$3:$H$10346,D186,Sifarisler!$AO$3:$AO$10346)</f>
        <v>0</v>
      </c>
      <c r="I186" s="249">
        <f>SUMIF(Sifarisler!$H$3:$H$10346,D186,Sifarisler!$AP$3:$AP$10346)</f>
        <v>0</v>
      </c>
      <c r="J186" s="250" t="str">
        <f t="shared" si="86"/>
        <v>Mesaj</v>
      </c>
      <c r="K186" s="9" t="str">
        <f t="shared" si="88"/>
        <v>Namiq</v>
      </c>
      <c r="L186" s="10" t="str">
        <f t="shared" si="87"/>
        <v xml:space="preserve">Namiq </v>
      </c>
      <c r="M186" s="251" t="str">
        <f>"Hörmətli *"&amp;K186&amp;"*  , göstərilən xidmətə görə *"&amp;I186&amp;" AZN* borcunuz qalmışdır . Ödəniş etməyiniz xahiş olunur. Ödəniş kartı  *"&amp;Məlumatlar!$O$3&amp;"* . Hörmətlə  *AlumPro*"</f>
        <v>Hörmətli *Namiq*  , göstərilən xidmətə görə *0 AZN* borcunuz qalmışdır . Ödəniş etməyiniz xahiş olunur. Ödəniş kartı  *4098584464110962* . Hörmətlə  *AlumPro*</v>
      </c>
      <c r="N186" s="46"/>
    </row>
    <row r="187" spans="4:14" ht="17.25">
      <c r="D187" s="214" t="s">
        <v>141</v>
      </c>
      <c r="E187" s="247" t="s">
        <v>142</v>
      </c>
      <c r="F187" s="15">
        <f>COUNTIF(Sifarisler!$H$3:$H$10346,D187)</f>
        <v>1</v>
      </c>
      <c r="G187" s="248">
        <f>SUMIF(Sifarisler!$H$3:$H$10346,D187,Sifarisler!$AM$3:$AM$10346)</f>
        <v>99</v>
      </c>
      <c r="H187" s="248">
        <f>SUMIF(Sifarisler!$H$3:$H$10346,D187,Sifarisler!$AO$3:$AO$10346)</f>
        <v>45</v>
      </c>
      <c r="I187" s="249">
        <f>SUMIF(Sifarisler!$H$3:$H$10346,D187,Sifarisler!$AP$3:$AP$10346)</f>
        <v>54</v>
      </c>
      <c r="J187" s="250" t="str">
        <f t="shared" si="86"/>
        <v>Mesaj</v>
      </c>
      <c r="K187" s="9" t="str">
        <f t="shared" si="88"/>
        <v>Huseyn</v>
      </c>
      <c r="L187" s="10" t="str">
        <f t="shared" si="87"/>
        <v xml:space="preserve">Huseyn </v>
      </c>
      <c r="M187" s="251" t="str">
        <f>"Hörmətli *"&amp;K187&amp;"*  , göstərilən xidmətə görə *"&amp;I187&amp;" AZN* borcunuz qalmışdır . Ödəniş etməyiniz xahiş olunur. Ödəniş kartı  *"&amp;Məlumatlar!$O$3&amp;"* . Hörmətlə  *AlumPro*"</f>
        <v>Hörmətli *Huseyn*  , göstərilən xidmətə görə *54 AZN* borcunuz qalmışdır . Ödəniş etməyiniz xahiş olunur. Ödəniş kartı  *4098584464110962* . Hörmətlə  *AlumPro*</v>
      </c>
      <c r="N187" s="46"/>
    </row>
    <row r="188" spans="4:14" ht="17.25">
      <c r="D188" s="214" t="s">
        <v>1081</v>
      </c>
      <c r="E188" s="247" t="s">
        <v>1082</v>
      </c>
      <c r="F188" s="15">
        <f>COUNTIF(Sifarisler!$H$3:$H$10346,D188)</f>
        <v>0</v>
      </c>
      <c r="G188" s="248">
        <f>SUMIF(Sifarisler!$H$3:$H$10346,D188,Sifarisler!$AM$3:$AM$10346)</f>
        <v>0</v>
      </c>
      <c r="H188" s="248">
        <f>SUMIF(Sifarisler!$H$3:$H$10346,D188,Sifarisler!$AO$3:$AO$10346)</f>
        <v>0</v>
      </c>
      <c r="I188" s="249">
        <f>SUMIF(Sifarisler!$H$3:$H$10346,D188,Sifarisler!$AP$3:$AP$10346)</f>
        <v>0</v>
      </c>
      <c r="J188" s="250" t="str">
        <f t="shared" si="86"/>
        <v>Mesaj</v>
      </c>
      <c r="K188" s="9" t="str">
        <f t="shared" si="88"/>
        <v>Ramin</v>
      </c>
      <c r="L188" s="10" t="str">
        <f t="shared" si="87"/>
        <v xml:space="preserve">Ramin </v>
      </c>
      <c r="M188" s="251" t="str">
        <f>"Hörmətli *"&amp;K188&amp;"*  , göstərilən xidmətə görə *"&amp;I188&amp;" AZN* borcunuz qalmışdır . Ödəniş etməyiniz xahiş olunur. Ödəniş kartı  *"&amp;Məlumatlar!$O$3&amp;"* . Hörmətlə  *AlumPro*"</f>
        <v>Hörmətli *Ramin*  , göstərilən xidmətə görə *0 AZN* borcunuz qalmışdır . Ödəniş etməyiniz xahiş olunur. Ödəniş kartı  *4098584464110962* . Hörmətlə  *AlumPro*</v>
      </c>
      <c r="N188" s="46"/>
    </row>
    <row r="189" spans="4:14" ht="17.25">
      <c r="D189" s="214" t="s">
        <v>1083</v>
      </c>
      <c r="E189" s="247" t="s">
        <v>1084</v>
      </c>
      <c r="F189" s="15">
        <f>COUNTIF(Sifarisler!$H$3:$H$10346,D189)</f>
        <v>0</v>
      </c>
      <c r="G189" s="248">
        <f>SUMIF(Sifarisler!$H$3:$H$10346,D189,Sifarisler!$AM$3:$AM$10346)</f>
        <v>0</v>
      </c>
      <c r="H189" s="248">
        <f>SUMIF(Sifarisler!$H$3:$H$10346,D189,Sifarisler!$AO$3:$AO$10346)</f>
        <v>0</v>
      </c>
      <c r="I189" s="249">
        <f>SUMIF(Sifarisler!$H$3:$H$10346,D189,Sifarisler!$AP$3:$AP$10346)</f>
        <v>0</v>
      </c>
      <c r="J189" s="250" t="str">
        <f t="shared" si="86"/>
        <v>Mesaj</v>
      </c>
      <c r="K189" s="9" t="str">
        <f t="shared" si="88"/>
        <v>Ilyas</v>
      </c>
      <c r="L189" s="10" t="str">
        <f t="shared" si="87"/>
        <v xml:space="preserve">Ilyas </v>
      </c>
      <c r="M189" s="251" t="str">
        <f>"Hörmətli *"&amp;K189&amp;"*  , göstərilən xidmətə görə *"&amp;I189&amp;" AZN* borcunuz qalmışdır . Ödəniş etməyiniz xahiş olunur. Ödəniş kartı  *"&amp;Məlumatlar!$O$3&amp;"* . Hörmətlə  *AlumPro*"</f>
        <v>Hörmətli *Ilyas*  , göstərilən xidmətə görə *0 AZN* borcunuz qalmışdır . Ödəniş etməyiniz xahiş olunur. Ödəniş kartı  *4098584464110962* . Hörmətlə  *AlumPro*</v>
      </c>
      <c r="N189" s="46"/>
    </row>
    <row r="190" spans="4:14" ht="17.25">
      <c r="D190" s="214" t="s">
        <v>151</v>
      </c>
      <c r="E190" s="247" t="s">
        <v>152</v>
      </c>
      <c r="F190" s="15">
        <f>COUNTIF(Sifarisler!$H$3:$H$10346,D190)</f>
        <v>2</v>
      </c>
      <c r="G190" s="248">
        <f>SUMIF(Sifarisler!$H$3:$H$10346,D190,Sifarisler!$AM$3:$AM$10346)</f>
        <v>1133</v>
      </c>
      <c r="H190" s="248">
        <f>SUMIF(Sifarisler!$H$3:$H$10346,D190,Sifarisler!$AO$3:$AO$10346)</f>
        <v>0</v>
      </c>
      <c r="I190" s="249">
        <f>SUMIF(Sifarisler!$H$3:$H$10346,D190,Sifarisler!$AP$3:$AP$10346)</f>
        <v>1073</v>
      </c>
      <c r="J190" s="250" t="str">
        <f t="shared" si="86"/>
        <v>Mesaj</v>
      </c>
      <c r="K190" s="9" t="str">
        <f t="shared" si="88"/>
        <v>Ibrahim</v>
      </c>
      <c r="L190" s="10" t="str">
        <f t="shared" si="87"/>
        <v xml:space="preserve">Ibrahim </v>
      </c>
      <c r="M190" s="251" t="str">
        <f>"Hörmətli *"&amp;K190&amp;"*  , göstərilən xidmətə görə *"&amp;I190&amp;" AZN* borcunuz qalmışdır . Ödəniş etməyiniz xahiş olunur. Ödəniş kartı  *"&amp;Məlumatlar!$O$3&amp;"* . Hörmətlə  *AlumPro*"</f>
        <v>Hörmətli *Ibrahim*  , göstərilən xidmətə görə *1073 AZN* borcunuz qalmışdır . Ödəniş etməyiniz xahiş olunur. Ödəniş kartı  *4098584464110962* . Hörmətlə  *AlumPro*</v>
      </c>
      <c r="N190" s="46"/>
    </row>
    <row r="191" spans="4:14" ht="17.25">
      <c r="D191" s="214" t="s">
        <v>1085</v>
      </c>
      <c r="E191" s="247" t="s">
        <v>1086</v>
      </c>
      <c r="F191" s="15">
        <f>COUNTIF(Sifarisler!$H$3:$H$10346,D191)</f>
        <v>0</v>
      </c>
      <c r="G191" s="248">
        <f>SUMIF(Sifarisler!$H$3:$H$10346,D191,Sifarisler!$AM$3:$AM$10346)</f>
        <v>0</v>
      </c>
      <c r="H191" s="248">
        <f>SUMIF(Sifarisler!$H$3:$H$10346,D191,Sifarisler!$AO$3:$AO$10346)</f>
        <v>0</v>
      </c>
      <c r="I191" s="249">
        <f>SUMIF(Sifarisler!$H$3:$H$10346,D191,Sifarisler!$AP$3:$AP$10346)</f>
        <v>0</v>
      </c>
      <c r="J191" s="250" t="str">
        <f t="shared" si="86"/>
        <v>Mesaj</v>
      </c>
      <c r="K191" s="9" t="str">
        <f t="shared" si="88"/>
        <v>Valeh</v>
      </c>
      <c r="L191" s="10" t="str">
        <f t="shared" si="87"/>
        <v xml:space="preserve">Valeh </v>
      </c>
      <c r="M191" s="251" t="str">
        <f>"Hörmətli *"&amp;K191&amp;"*  , göstərilən xidmətə görə *"&amp;I191&amp;" AZN* borcunuz qalmışdır . Ödəniş etməyiniz xahiş olunur. Ödəniş kartı  *"&amp;Məlumatlar!$O$3&amp;"* . Hörmətlə  *AlumPro*"</f>
        <v>Hörmətli *Valeh*  , göstərilən xidmətə görə *0 AZN* borcunuz qalmışdır . Ödəniş etməyiniz xahiş olunur. Ödəniş kartı  *4098584464110962* . Hörmətlə  *AlumPro*</v>
      </c>
      <c r="N191" s="46"/>
    </row>
    <row r="192" spans="4:14" ht="17.25">
      <c r="D192" s="214" t="s">
        <v>1087</v>
      </c>
      <c r="E192" s="247" t="s">
        <v>1088</v>
      </c>
      <c r="F192" s="15">
        <f>COUNTIF(Sifarisler!$H$3:$H$10346,D192)</f>
        <v>0</v>
      </c>
      <c r="G192" s="248">
        <f>SUMIF(Sifarisler!$H$3:$H$10346,D192,Sifarisler!$AM$3:$AM$10346)</f>
        <v>0</v>
      </c>
      <c r="H192" s="248">
        <f>SUMIF(Sifarisler!$H$3:$H$10346,D192,Sifarisler!$AO$3:$AO$10346)</f>
        <v>0</v>
      </c>
      <c r="I192" s="249">
        <f>SUMIF(Sifarisler!$H$3:$H$10346,D192,Sifarisler!$AP$3:$AP$10346)</f>
        <v>0</v>
      </c>
      <c r="J192" s="250" t="str">
        <f t="shared" si="86"/>
        <v>Mesaj</v>
      </c>
      <c r="K192" s="9" t="str">
        <f t="shared" si="88"/>
        <v>Kamal</v>
      </c>
      <c r="L192" s="10" t="str">
        <f t="shared" si="87"/>
        <v xml:space="preserve">Kamal </v>
      </c>
      <c r="M192" s="251" t="str">
        <f>"Hörmətli *"&amp;K192&amp;"*  , göstərilən xidmətə görə *"&amp;I192&amp;" AZN* borcunuz qalmışdır . Ödəniş etməyiniz xahiş olunur. Ödəniş kartı  *"&amp;Məlumatlar!$O$3&amp;"* . Hörmətlə  *AlumPro*"</f>
        <v>Hörmətli *Kamal*  , göstərilən xidmətə görə *0 AZN* borcunuz qalmışdır . Ödəniş etməyiniz xahiş olunur. Ödəniş kartı  *4098584464110962* . Hörmətlə  *AlumPro*</v>
      </c>
      <c r="N192" s="46"/>
    </row>
    <row r="193" spans="4:14" ht="17.25">
      <c r="D193" s="214" t="s">
        <v>1089</v>
      </c>
      <c r="E193" s="247" t="s">
        <v>1090</v>
      </c>
      <c r="F193" s="15">
        <f>COUNTIF(Sifarisler!$H$3:$H$10346,D193)</f>
        <v>0</v>
      </c>
      <c r="G193" s="248">
        <f>SUMIF(Sifarisler!$H$3:$H$10346,D193,Sifarisler!$AM$3:$AM$10346)</f>
        <v>0</v>
      </c>
      <c r="H193" s="248">
        <f>SUMIF(Sifarisler!$H$3:$H$10346,D193,Sifarisler!$AO$3:$AO$10346)</f>
        <v>0</v>
      </c>
      <c r="I193" s="249">
        <f>SUMIF(Sifarisler!$H$3:$H$10346,D193,Sifarisler!$AP$3:$AP$10346)</f>
        <v>0</v>
      </c>
      <c r="J193" s="250" t="str">
        <f t="shared" si="86"/>
        <v>Mesaj</v>
      </c>
      <c r="K193" s="9" t="str">
        <f t="shared" si="88"/>
        <v>Agayev</v>
      </c>
      <c r="L193" s="10" t="str">
        <f t="shared" si="87"/>
        <v xml:space="preserve">Agayev </v>
      </c>
      <c r="M193" s="251" t="str">
        <f>"Hörmətli *"&amp;K193&amp;"*  , göstərilən xidmətə görə *"&amp;I193&amp;" AZN* borcunuz qalmışdır . Ödəniş etməyiniz xahiş olunur. Ödəniş kartı  *"&amp;Məlumatlar!$O$3&amp;"* . Hörmətlə  *AlumPro*"</f>
        <v>Hörmətli *Agayev*  , göstərilən xidmətə görə *0 AZN* borcunuz qalmışdır . Ödəniş etməyiniz xahiş olunur. Ödəniş kartı  *4098584464110962* . Hörmətlə  *AlumPro*</v>
      </c>
      <c r="N193" s="46"/>
    </row>
    <row r="194" spans="4:14" ht="17.25">
      <c r="D194" s="214" t="s">
        <v>1091</v>
      </c>
      <c r="E194" s="247" t="s">
        <v>1092</v>
      </c>
      <c r="F194" s="15">
        <f>COUNTIF(Sifarisler!$H$3:$H$10346,D194)</f>
        <v>0</v>
      </c>
      <c r="G194" s="248">
        <f>SUMIF(Sifarisler!$H$3:$H$10346,D194,Sifarisler!$AM$3:$AM$10346)</f>
        <v>0</v>
      </c>
      <c r="H194" s="248">
        <f>SUMIF(Sifarisler!$H$3:$H$10346,D194,Sifarisler!$AO$3:$AO$10346)</f>
        <v>0</v>
      </c>
      <c r="I194" s="249">
        <f>SUMIF(Sifarisler!$H$3:$H$10346,D194,Sifarisler!$AP$3:$AP$10346)</f>
        <v>0</v>
      </c>
      <c r="J194" s="250" t="str">
        <f t="shared" si="86"/>
        <v>Mesaj</v>
      </c>
      <c r="K194" s="9" t="str">
        <f t="shared" si="88"/>
        <v>Mebelci</v>
      </c>
      <c r="L194" s="10" t="str">
        <f t="shared" si="87"/>
        <v xml:space="preserve">Mebelci </v>
      </c>
      <c r="M194" s="251" t="str">
        <f>"Hörmətli *"&amp;K194&amp;"*  , göstərilən xidmətə görə *"&amp;I194&amp;" AZN* borcunuz qalmışdır . Ödəniş etməyiniz xahiş olunur. Ödəniş kartı  *"&amp;Məlumatlar!$O$3&amp;"* . Hörmətlə  *AlumPro*"</f>
        <v>Hörmətli *Mebelci*  , göstərilən xidmətə görə *0 AZN* borcunuz qalmışdır . Ödəniş etməyiniz xahiş olunur. Ödəniş kartı  *4098584464110962* . Hörmətlə  *AlumPro*</v>
      </c>
      <c r="N194" s="46"/>
    </row>
    <row r="195" spans="4:14" ht="17.25">
      <c r="D195" s="214" t="s">
        <v>608</v>
      </c>
      <c r="E195" s="247" t="s">
        <v>609</v>
      </c>
      <c r="F195" s="15">
        <f>COUNTIF(Sifarisler!$H$3:$H$10346,D195)</f>
        <v>2</v>
      </c>
      <c r="G195" s="248">
        <f>SUMIF(Sifarisler!$H$3:$H$10346,D195,Sifarisler!$AM$3:$AM$10346)</f>
        <v>1119</v>
      </c>
      <c r="H195" s="248">
        <f>SUMIF(Sifarisler!$H$3:$H$10346,D195,Sifarisler!$AO$3:$AO$10346)</f>
        <v>619</v>
      </c>
      <c r="I195" s="249">
        <f>SUMIF(Sifarisler!$H$3:$H$10346,D195,Sifarisler!$AP$3:$AP$10346)</f>
        <v>500</v>
      </c>
      <c r="J195" s="250" t="str">
        <f t="shared" ref="J195:J258" si="89">HYPERLINK("https://web.whatsapp.com/send?phone="&amp;E195&amp;"&amp;text="&amp;M195,"Mesaj")</f>
        <v>Mesaj</v>
      </c>
      <c r="K195" s="9" t="str">
        <f t="shared" si="88"/>
        <v>Resid</v>
      </c>
      <c r="L195" s="10" t="str">
        <f t="shared" si="87"/>
        <v xml:space="preserve">Resid </v>
      </c>
      <c r="M195" s="251" t="str">
        <f>"Hörmətli *"&amp;K195&amp;"*  , göstərilən xidmətə görə *"&amp;I195&amp;" AZN* borcunuz qalmışdır . Ödəniş etməyiniz xahiş olunur. Ödəniş kartı  *"&amp;Məlumatlar!$O$3&amp;"* . Hörmətlə  *AlumPro*"</f>
        <v>Hörmətli *Resid*  , göstərilən xidmətə görə *500 AZN* borcunuz qalmışdır . Ödəniş etməyiniz xahiş olunur. Ödəniş kartı  *4098584464110962* . Hörmətlə  *AlumPro*</v>
      </c>
      <c r="N195" s="46"/>
    </row>
    <row r="196" spans="4:14" ht="17.25">
      <c r="D196" s="214" t="s">
        <v>1093</v>
      </c>
      <c r="E196" s="247" t="s">
        <v>1094</v>
      </c>
      <c r="F196" s="15">
        <f>COUNTIF(Sifarisler!$H$3:$H$10346,D196)</f>
        <v>0</v>
      </c>
      <c r="G196" s="248">
        <f>SUMIF(Sifarisler!$H$3:$H$10346,D196,Sifarisler!$AM$3:$AM$10346)</f>
        <v>0</v>
      </c>
      <c r="H196" s="248">
        <f>SUMIF(Sifarisler!$H$3:$H$10346,D196,Sifarisler!$AO$3:$AO$10346)</f>
        <v>0</v>
      </c>
      <c r="I196" s="249">
        <f>SUMIF(Sifarisler!$H$3:$H$10346,D196,Sifarisler!$AP$3:$AP$10346)</f>
        <v>0</v>
      </c>
      <c r="J196" s="250" t="str">
        <f t="shared" si="89"/>
        <v>Mesaj</v>
      </c>
      <c r="K196" s="9" t="str">
        <f t="shared" si="88"/>
        <v>Sefa</v>
      </c>
      <c r="L196" s="10" t="str">
        <f t="shared" si="87"/>
        <v xml:space="preserve">Sefa </v>
      </c>
      <c r="M196" s="251" t="str">
        <f>"Hörmətli *"&amp;K196&amp;"*  , göstərilən xidmətə görə *"&amp;I196&amp;" AZN* borcunuz qalmışdır . Ödəniş etməyiniz xahiş olunur. Ödəniş kartı  *"&amp;Məlumatlar!$O$3&amp;"* . Hörmətlə  *AlumPro*"</f>
        <v>Hörmətli *Sefa*  , göstərilən xidmətə görə *0 AZN* borcunuz qalmışdır . Ödəniş etməyiniz xahiş olunur. Ödəniş kartı  *4098584464110962* . Hörmətlə  *AlumPro*</v>
      </c>
      <c r="N196" s="46"/>
    </row>
    <row r="197" spans="4:14" ht="17.25">
      <c r="D197" s="214" t="s">
        <v>1095</v>
      </c>
      <c r="E197" s="247" t="s">
        <v>1096</v>
      </c>
      <c r="F197" s="15">
        <f>COUNTIF(Sifarisler!$H$3:$H$10346,D197)</f>
        <v>0</v>
      </c>
      <c r="G197" s="248">
        <f>SUMIF(Sifarisler!$H$3:$H$10346,D197,Sifarisler!$AM$3:$AM$10346)</f>
        <v>0</v>
      </c>
      <c r="H197" s="248">
        <f>SUMIF(Sifarisler!$H$3:$H$10346,D197,Sifarisler!$AO$3:$AO$10346)</f>
        <v>0</v>
      </c>
      <c r="I197" s="249">
        <f>SUMIF(Sifarisler!$H$3:$H$10346,D197,Sifarisler!$AP$3:$AP$10346)</f>
        <v>0</v>
      </c>
      <c r="J197" s="250" t="str">
        <f t="shared" si="89"/>
        <v>Mesaj</v>
      </c>
      <c r="K197" s="9" t="str">
        <f t="shared" si="88"/>
        <v>Nail</v>
      </c>
      <c r="L197" s="10" t="str">
        <f t="shared" si="87"/>
        <v xml:space="preserve">Nail </v>
      </c>
      <c r="M197" s="251" t="str">
        <f>"Hörmətli *"&amp;K197&amp;"*  , göstərilən xidmətə görə *"&amp;I197&amp;" AZN* borcunuz qalmışdır . Ödəniş etməyiniz xahiş olunur. Ödəniş kartı  *"&amp;Məlumatlar!$O$3&amp;"* . Hörmətlə  *AlumPro*"</f>
        <v>Hörmətli *Nail*  , göstərilən xidmətə görə *0 AZN* borcunuz qalmışdır . Ödəniş etməyiniz xahiş olunur. Ödəniş kartı  *4098584464110962* . Hörmətlə  *AlumPro*</v>
      </c>
      <c r="N197" s="46"/>
    </row>
    <row r="198" spans="4:14" ht="17.25">
      <c r="D198" s="214" t="s">
        <v>1097</v>
      </c>
      <c r="E198" s="247" t="s">
        <v>1098</v>
      </c>
      <c r="F198" s="15">
        <f>COUNTIF(Sifarisler!$H$3:$H$10346,D198)</f>
        <v>0</v>
      </c>
      <c r="G198" s="248">
        <f>SUMIF(Sifarisler!$H$3:$H$10346,D198,Sifarisler!$AM$3:$AM$10346)</f>
        <v>0</v>
      </c>
      <c r="H198" s="248">
        <f>SUMIF(Sifarisler!$H$3:$H$10346,D198,Sifarisler!$AO$3:$AO$10346)</f>
        <v>0</v>
      </c>
      <c r="I198" s="249">
        <f>SUMIF(Sifarisler!$H$3:$H$10346,D198,Sifarisler!$AP$3:$AP$10346)</f>
        <v>0</v>
      </c>
      <c r="J198" s="250" t="str">
        <f t="shared" si="89"/>
        <v>Mesaj</v>
      </c>
      <c r="K198" s="9" t="str">
        <f t="shared" si="88"/>
        <v>Abbasov</v>
      </c>
      <c r="L198" s="10" t="str">
        <f t="shared" si="87"/>
        <v xml:space="preserve">Abbasov </v>
      </c>
      <c r="M198" s="251" t="str">
        <f>"Hörmətli *"&amp;K198&amp;"*  , göstərilən xidmətə görə *"&amp;I198&amp;" AZN* borcunuz qalmışdır . Ödəniş etməyiniz xahiş olunur. Ödəniş kartı  *"&amp;Məlumatlar!$O$3&amp;"* . Hörmətlə  *AlumPro*"</f>
        <v>Hörmətli *Abbasov*  , göstərilən xidmətə görə *0 AZN* borcunuz qalmışdır . Ödəniş etməyiniz xahiş olunur. Ödəniş kartı  *4098584464110962* . Hörmətlə  *AlumPro*</v>
      </c>
      <c r="N198" s="46"/>
    </row>
    <row r="199" spans="4:14" ht="17.25">
      <c r="D199" s="214" t="s">
        <v>1099</v>
      </c>
      <c r="E199" s="247" t="s">
        <v>1100</v>
      </c>
      <c r="F199" s="15">
        <f>COUNTIF(Sifarisler!$H$3:$H$10346,D199)</f>
        <v>0</v>
      </c>
      <c r="G199" s="248">
        <f>SUMIF(Sifarisler!$H$3:$H$10346,D199,Sifarisler!$AM$3:$AM$10346)</f>
        <v>0</v>
      </c>
      <c r="H199" s="248">
        <f>SUMIF(Sifarisler!$H$3:$H$10346,D199,Sifarisler!$AO$3:$AO$10346)</f>
        <v>0</v>
      </c>
      <c r="I199" s="249">
        <f>SUMIF(Sifarisler!$H$3:$H$10346,D199,Sifarisler!$AP$3:$AP$10346)</f>
        <v>0</v>
      </c>
      <c r="J199" s="250" t="str">
        <f t="shared" si="89"/>
        <v>Mesaj</v>
      </c>
      <c r="K199" s="9" t="str">
        <f t="shared" si="88"/>
        <v>Zaur</v>
      </c>
      <c r="L199" s="10" t="str">
        <f t="shared" si="87"/>
        <v xml:space="preserve">Zaur </v>
      </c>
      <c r="M199" s="251" t="str">
        <f>"Hörmətli *"&amp;K199&amp;"*  , göstərilən xidmətə görə *"&amp;I199&amp;" AZN* borcunuz qalmışdır . Ödəniş etməyiniz xahiş olunur. Ödəniş kartı  *"&amp;Məlumatlar!$O$3&amp;"* . Hörmətlə  *AlumPro*"</f>
        <v>Hörmətli *Zaur*  , göstərilən xidmətə görə *0 AZN* borcunuz qalmışdır . Ödəniş etməyiniz xahiş olunur. Ödəniş kartı  *4098584464110962* . Hörmətlə  *AlumPro*</v>
      </c>
      <c r="N199" s="46"/>
    </row>
    <row r="200" spans="4:14" ht="17.25">
      <c r="D200" s="214" t="s">
        <v>1101</v>
      </c>
      <c r="E200" s="247" t="s">
        <v>1102</v>
      </c>
      <c r="F200" s="15">
        <f>COUNTIF(Sifarisler!$H$3:$H$10346,D200)</f>
        <v>0</v>
      </c>
      <c r="G200" s="248">
        <f>SUMIF(Sifarisler!$H$3:$H$10346,D200,Sifarisler!$AM$3:$AM$10346)</f>
        <v>0</v>
      </c>
      <c r="H200" s="248">
        <f>SUMIF(Sifarisler!$H$3:$H$10346,D200,Sifarisler!$AO$3:$AO$10346)</f>
        <v>0</v>
      </c>
      <c r="I200" s="249">
        <f>SUMIF(Sifarisler!$H$3:$H$10346,D200,Sifarisler!$AP$3:$AP$10346)</f>
        <v>0</v>
      </c>
      <c r="J200" s="250" t="str">
        <f t="shared" si="89"/>
        <v>Mesaj</v>
      </c>
      <c r="K200" s="9" t="str">
        <f t="shared" si="88"/>
        <v>Yusif</v>
      </c>
      <c r="L200" s="10" t="str">
        <f t="shared" si="87"/>
        <v xml:space="preserve">Yusif </v>
      </c>
      <c r="M200" s="251" t="str">
        <f>"Hörmətli *"&amp;K200&amp;"*  , göstərilən xidmətə görə *"&amp;I200&amp;" AZN* borcunuz qalmışdır . Ödəniş etməyiniz xahiş olunur. Ödəniş kartı  *"&amp;Məlumatlar!$O$3&amp;"* . Hörmətlə  *AlumPro*"</f>
        <v>Hörmətli *Yusif*  , göstərilən xidmətə görə *0 AZN* borcunuz qalmışdır . Ödəniş etməyiniz xahiş olunur. Ödəniş kartı  *4098584464110962* . Hörmətlə  *AlumPro*</v>
      </c>
      <c r="N200" s="46"/>
    </row>
    <row r="201" spans="4:14" ht="17.25">
      <c r="D201" s="214" t="s">
        <v>1103</v>
      </c>
      <c r="E201" s="247" t="s">
        <v>1104</v>
      </c>
      <c r="F201" s="15">
        <f>COUNTIF(Sifarisler!$H$3:$H$10346,D201)</f>
        <v>0</v>
      </c>
      <c r="G201" s="248">
        <f>SUMIF(Sifarisler!$H$3:$H$10346,D201,Sifarisler!$AM$3:$AM$10346)</f>
        <v>0</v>
      </c>
      <c r="H201" s="248">
        <f>SUMIF(Sifarisler!$H$3:$H$10346,D201,Sifarisler!$AO$3:$AO$10346)</f>
        <v>0</v>
      </c>
      <c r="I201" s="249">
        <f>SUMIF(Sifarisler!$H$3:$H$10346,D201,Sifarisler!$AP$3:$AP$10346)</f>
        <v>0</v>
      </c>
      <c r="J201" s="250" t="str">
        <f t="shared" si="89"/>
        <v>Mesaj</v>
      </c>
      <c r="K201" s="9" t="str">
        <f t="shared" si="88"/>
        <v>Azer</v>
      </c>
      <c r="L201" s="10" t="str">
        <f t="shared" si="87"/>
        <v xml:space="preserve">Azer </v>
      </c>
      <c r="M201" s="251" t="str">
        <f>"Hörmətli *"&amp;K201&amp;"*  , göstərilən xidmətə görə *"&amp;I201&amp;" AZN* borcunuz qalmışdır . Ödəniş etməyiniz xahiş olunur. Ödəniş kartı  *"&amp;Məlumatlar!$O$3&amp;"* . Hörmətlə  *AlumPro*"</f>
        <v>Hörmətli *Azer*  , göstərilən xidmətə görə *0 AZN* borcunuz qalmışdır . Ödəniş etməyiniz xahiş olunur. Ödəniş kartı  *4098584464110962* . Hörmətlə  *AlumPro*</v>
      </c>
      <c r="N201" s="46"/>
    </row>
    <row r="202" spans="4:14" ht="17.25">
      <c r="D202" s="214" t="s">
        <v>373</v>
      </c>
      <c r="E202" s="247" t="s">
        <v>374</v>
      </c>
      <c r="F202" s="15">
        <f>COUNTIF(Sifarisler!$H$3:$H$10346,D202)</f>
        <v>1</v>
      </c>
      <c r="G202" s="248">
        <f>SUMIF(Sifarisler!$H$3:$H$10346,D202,Sifarisler!$AM$3:$AM$10346)</f>
        <v>6359</v>
      </c>
      <c r="H202" s="248">
        <f>SUMIF(Sifarisler!$H$3:$H$10346,D202,Sifarisler!$AO$3:$AO$10346)</f>
        <v>0</v>
      </c>
      <c r="I202" s="249">
        <f>SUMIF(Sifarisler!$H$3:$H$10346,D202,Sifarisler!$AP$3:$AP$10346)</f>
        <v>6359</v>
      </c>
      <c r="J202" s="250" t="str">
        <f t="shared" si="89"/>
        <v>Mesaj</v>
      </c>
      <c r="K202" s="9" t="str">
        <f t="shared" si="88"/>
        <v>Gulnare</v>
      </c>
      <c r="L202" s="10" t="str">
        <f t="shared" si="87"/>
        <v xml:space="preserve">Gulnare </v>
      </c>
      <c r="M202" s="251" t="str">
        <f>"Hörmətli *"&amp;K202&amp;"*  , göstərilən xidmətə görə *"&amp;I202&amp;" AZN* borcunuz qalmışdır . Ödəniş etməyiniz xahiş olunur. Ödəniş kartı  *"&amp;Məlumatlar!$O$3&amp;"* . Hörmətlə  *AlumPro*"</f>
        <v>Hörmətli *Gulnare*  , göstərilən xidmətə görə *6359 AZN* borcunuz qalmışdır . Ödəniş etməyiniz xahiş olunur. Ödəniş kartı  *4098584464110962* . Hörmətlə  *AlumPro*</v>
      </c>
      <c r="N202" s="46"/>
    </row>
    <row r="203" spans="4:14" ht="17.25">
      <c r="D203" s="214" t="s">
        <v>1105</v>
      </c>
      <c r="E203" s="247" t="s">
        <v>1106</v>
      </c>
      <c r="F203" s="15">
        <f>COUNTIF(Sifarisler!$H$3:$H$10346,D203)</f>
        <v>0</v>
      </c>
      <c r="G203" s="248">
        <f>SUMIF(Sifarisler!$H$3:$H$10346,D203,Sifarisler!$AM$3:$AM$10346)</f>
        <v>0</v>
      </c>
      <c r="H203" s="248">
        <f>SUMIF(Sifarisler!$H$3:$H$10346,D203,Sifarisler!$AO$3:$AO$10346)</f>
        <v>0</v>
      </c>
      <c r="I203" s="249">
        <f>SUMIF(Sifarisler!$H$3:$H$10346,D203,Sifarisler!$AP$3:$AP$10346)</f>
        <v>0</v>
      </c>
      <c r="J203" s="250" t="str">
        <f t="shared" si="89"/>
        <v>Mesaj</v>
      </c>
      <c r="K203" s="9" t="str">
        <f t="shared" si="88"/>
        <v>Shemsi</v>
      </c>
      <c r="L203" s="10" t="str">
        <f t="shared" si="87"/>
        <v xml:space="preserve">Shemsi </v>
      </c>
      <c r="M203" s="251" t="str">
        <f>"Hörmətli *"&amp;K203&amp;"*  , göstərilən xidmətə görə *"&amp;I203&amp;" AZN* borcunuz qalmışdır . Ödəniş etməyiniz xahiş olunur. Ödəniş kartı  *"&amp;Məlumatlar!$O$3&amp;"* . Hörmətlə  *AlumPro*"</f>
        <v>Hörmətli *Shemsi*  , göstərilən xidmətə görə *0 AZN* borcunuz qalmışdır . Ödəniş etməyiniz xahiş olunur. Ödəniş kartı  *4098584464110962* . Hörmətlə  *AlumPro*</v>
      </c>
      <c r="N203" s="46"/>
    </row>
    <row r="204" spans="4:14" ht="17.25">
      <c r="D204" s="214" t="s">
        <v>1107</v>
      </c>
      <c r="E204" s="247" t="s">
        <v>1108</v>
      </c>
      <c r="F204" s="15">
        <f>COUNTIF(Sifarisler!$H$3:$H$10346,D204)</f>
        <v>0</v>
      </c>
      <c r="G204" s="248">
        <f>SUMIF(Sifarisler!$H$3:$H$10346,D204,Sifarisler!$AM$3:$AM$10346)</f>
        <v>0</v>
      </c>
      <c r="H204" s="248">
        <f>SUMIF(Sifarisler!$H$3:$H$10346,D204,Sifarisler!$AO$3:$AO$10346)</f>
        <v>0</v>
      </c>
      <c r="I204" s="249">
        <f>SUMIF(Sifarisler!$H$3:$H$10346,D204,Sifarisler!$AP$3:$AP$10346)</f>
        <v>0</v>
      </c>
      <c r="J204" s="250" t="str">
        <f t="shared" si="89"/>
        <v>Mesaj</v>
      </c>
      <c r="K204" s="9" t="str">
        <f t="shared" si="88"/>
        <v>New</v>
      </c>
      <c r="L204" s="10" t="str">
        <f t="shared" si="87"/>
        <v xml:space="preserve">New </v>
      </c>
      <c r="M204" s="251" t="str">
        <f>"Hörmətli *"&amp;K204&amp;"*  , göstərilən xidmətə görə *"&amp;I204&amp;" AZN* borcunuz qalmışdır . Ödəniş etməyiniz xahiş olunur. Ödəniş kartı  *"&amp;Məlumatlar!$O$3&amp;"* . Hörmətlə  *AlumPro*"</f>
        <v>Hörmətli *New*  , göstərilən xidmətə görə *0 AZN* borcunuz qalmışdır . Ödəniş etməyiniz xahiş olunur. Ödəniş kartı  *4098584464110962* . Hörmətlə  *AlumPro*</v>
      </c>
      <c r="N204" s="46"/>
    </row>
    <row r="205" spans="4:14" ht="17.25">
      <c r="D205" s="214" t="s">
        <v>1109</v>
      </c>
      <c r="E205" s="247" t="s">
        <v>1110</v>
      </c>
      <c r="F205" s="15">
        <f>COUNTIF(Sifarisler!$H$3:$H$10346,D205)</f>
        <v>0</v>
      </c>
      <c r="G205" s="248">
        <f>SUMIF(Sifarisler!$H$3:$H$10346,D205,Sifarisler!$AM$3:$AM$10346)</f>
        <v>0</v>
      </c>
      <c r="H205" s="248">
        <f>SUMIF(Sifarisler!$H$3:$H$10346,D205,Sifarisler!$AO$3:$AO$10346)</f>
        <v>0</v>
      </c>
      <c r="I205" s="249">
        <f>SUMIF(Sifarisler!$H$3:$H$10346,D205,Sifarisler!$AP$3:$AP$10346)</f>
        <v>0</v>
      </c>
      <c r="J205" s="250" t="str">
        <f t="shared" si="89"/>
        <v>Mesaj</v>
      </c>
      <c r="K205" s="9" t="str">
        <f t="shared" si="88"/>
        <v>Azer</v>
      </c>
      <c r="L205" s="10" t="str">
        <f t="shared" si="87"/>
        <v xml:space="preserve">Azer </v>
      </c>
      <c r="M205" s="251" t="str">
        <f>"Hörmətli *"&amp;K205&amp;"*  , göstərilən xidmətə görə *"&amp;I205&amp;" AZN* borcunuz qalmışdır . Ödəniş etməyiniz xahiş olunur. Ödəniş kartı  *"&amp;Məlumatlar!$O$3&amp;"* . Hörmətlə  *AlumPro*"</f>
        <v>Hörmətli *Azer*  , göstərilən xidmətə görə *0 AZN* borcunuz qalmışdır . Ödəniş etməyiniz xahiş olunur. Ödəniş kartı  *4098584464110962* . Hörmətlə  *AlumPro*</v>
      </c>
      <c r="N205" s="46"/>
    </row>
    <row r="206" spans="4:14" ht="17.25">
      <c r="D206" s="214" t="s">
        <v>805</v>
      </c>
      <c r="E206" s="247" t="s">
        <v>806</v>
      </c>
      <c r="F206" s="15">
        <f>COUNTIF(Sifarisler!$H$3:$H$10346,D206)</f>
        <v>1</v>
      </c>
      <c r="G206" s="248">
        <f>SUMIF(Sifarisler!$H$3:$H$10346,D206,Sifarisler!$AM$3:$AM$10346)</f>
        <v>650</v>
      </c>
      <c r="H206" s="248">
        <f>SUMIF(Sifarisler!$H$3:$H$10346,D206,Sifarisler!$AO$3:$AO$10346)</f>
        <v>350</v>
      </c>
      <c r="I206" s="249">
        <f>SUMIF(Sifarisler!$H$3:$H$10346,D206,Sifarisler!$AP$3:$AP$10346)</f>
        <v>300</v>
      </c>
      <c r="J206" s="250" t="str">
        <f t="shared" si="89"/>
        <v>Mesaj</v>
      </c>
      <c r="K206" s="9" t="str">
        <f t="shared" si="88"/>
        <v>Xasay</v>
      </c>
      <c r="L206" s="10" t="str">
        <f t="shared" si="87"/>
        <v xml:space="preserve">Xasay </v>
      </c>
      <c r="M206" s="251" t="str">
        <f>"Hörmətli *"&amp;K206&amp;"*  , göstərilən xidmətə görə *"&amp;I206&amp;" AZN* borcunuz qalmışdır . Ödəniş etməyiniz xahiş olunur. Ödəniş kartı  *"&amp;Məlumatlar!$O$3&amp;"* . Hörmətlə  *AlumPro*"</f>
        <v>Hörmətli *Xasay*  , göstərilən xidmətə görə *300 AZN* borcunuz qalmışdır . Ödəniş etməyiniz xahiş olunur. Ödəniş kartı  *4098584464110962* . Hörmətlə  *AlumPro*</v>
      </c>
      <c r="N206" s="46"/>
    </row>
    <row r="207" spans="4:14" ht="17.25">
      <c r="D207" s="214" t="s">
        <v>1111</v>
      </c>
      <c r="E207" s="247" t="s">
        <v>1112</v>
      </c>
      <c r="F207" s="15">
        <f>COUNTIF(Sifarisler!$H$3:$H$10346,D207)</f>
        <v>0</v>
      </c>
      <c r="G207" s="248">
        <f>SUMIF(Sifarisler!$H$3:$H$10346,D207,Sifarisler!$AM$3:$AM$10346)</f>
        <v>0</v>
      </c>
      <c r="H207" s="248">
        <f>SUMIF(Sifarisler!$H$3:$H$10346,D207,Sifarisler!$AO$3:$AO$10346)</f>
        <v>0</v>
      </c>
      <c r="I207" s="249">
        <f>SUMIF(Sifarisler!$H$3:$H$10346,D207,Sifarisler!$AP$3:$AP$10346)</f>
        <v>0</v>
      </c>
      <c r="J207" s="250" t="str">
        <f t="shared" si="89"/>
        <v>Mesaj</v>
      </c>
      <c r="K207" s="9" t="str">
        <f t="shared" si="88"/>
        <v>Ramil</v>
      </c>
      <c r="L207" s="10" t="str">
        <f t="shared" si="87"/>
        <v xml:space="preserve">Ramil </v>
      </c>
      <c r="M207" s="251" t="str">
        <f>"Hörmətli *"&amp;K207&amp;"*  , göstərilən xidmətə görə *"&amp;I207&amp;" AZN* borcunuz qalmışdır . Ödəniş etməyiniz xahiş olunur. Ödəniş kartı  *"&amp;Məlumatlar!$O$3&amp;"* . Hörmətlə  *AlumPro*"</f>
        <v>Hörmətli *Ramil*  , göstərilən xidmətə görə *0 AZN* borcunuz qalmışdır . Ödəniş etməyiniz xahiş olunur. Ödəniş kartı  *4098584464110962* . Hörmətlə  *AlumPro*</v>
      </c>
      <c r="N207" s="46"/>
    </row>
    <row r="208" spans="4:14" ht="17.25">
      <c r="D208" s="214" t="s">
        <v>349</v>
      </c>
      <c r="E208" s="247" t="s">
        <v>350</v>
      </c>
      <c r="F208" s="15">
        <f>COUNTIF(Sifarisler!$H$3:$H$10346,D208)</f>
        <v>5</v>
      </c>
      <c r="G208" s="248">
        <f>SUMIF(Sifarisler!$H$3:$H$10346,D208,Sifarisler!$AM$3:$AM$10346)</f>
        <v>3262</v>
      </c>
      <c r="H208" s="248">
        <f>SUMIF(Sifarisler!$H$3:$H$10346,D208,Sifarisler!$AO$3:$AO$10346)</f>
        <v>3200</v>
      </c>
      <c r="I208" s="249">
        <f>SUMIF(Sifarisler!$H$3:$H$10346,D208,Sifarisler!$AP$3:$AP$10346)</f>
        <v>62</v>
      </c>
      <c r="J208" s="250" t="str">
        <f t="shared" si="89"/>
        <v>Mesaj</v>
      </c>
      <c r="K208" s="9" t="str">
        <f t="shared" si="88"/>
        <v>Cosqun</v>
      </c>
      <c r="L208" s="10" t="str">
        <f t="shared" si="87"/>
        <v xml:space="preserve">Cosqun </v>
      </c>
      <c r="M208" s="251" t="str">
        <f>"Hörmətli *"&amp;K208&amp;"*  , göstərilən xidmətə görə *"&amp;I208&amp;" AZN* borcunuz qalmışdır . Ödəniş etməyiniz xahiş olunur. Ödəniş kartı  *"&amp;Məlumatlar!$O$3&amp;"* . Hörmətlə  *AlumPro*"</f>
        <v>Hörmətli *Cosqun*  , göstərilən xidmətə görə *62 AZN* borcunuz qalmışdır . Ödəniş etməyiniz xahiş olunur. Ödəniş kartı  *4098584464110962* . Hörmətlə  *AlumPro*</v>
      </c>
      <c r="N208" s="46"/>
    </row>
    <row r="209" spans="4:14" ht="17.25">
      <c r="D209" s="214" t="s">
        <v>450</v>
      </c>
      <c r="E209" s="247" t="s">
        <v>451</v>
      </c>
      <c r="F209" s="15">
        <f>COUNTIF(Sifarisler!$H$3:$H$10346,D209)</f>
        <v>3</v>
      </c>
      <c r="G209" s="248">
        <f>SUMIF(Sifarisler!$H$3:$H$10346,D209,Sifarisler!$AM$3:$AM$10346)</f>
        <v>612</v>
      </c>
      <c r="H209" s="248">
        <f>SUMIF(Sifarisler!$H$3:$H$10346,D209,Sifarisler!$AO$3:$AO$10346)</f>
        <v>591</v>
      </c>
      <c r="I209" s="249">
        <f>SUMIF(Sifarisler!$H$3:$H$10346,D209,Sifarisler!$AP$3:$AP$10346)</f>
        <v>0</v>
      </c>
      <c r="J209" s="250" t="str">
        <f t="shared" si="89"/>
        <v>Mesaj</v>
      </c>
      <c r="K209" s="9" t="str">
        <f t="shared" si="88"/>
        <v>Rufet</v>
      </c>
      <c r="L209" s="10" t="str">
        <f t="shared" si="87"/>
        <v xml:space="preserve">Rufet </v>
      </c>
      <c r="M209" s="251" t="str">
        <f>"Hörmətli *"&amp;K209&amp;"*  , göstərilən xidmətə görə *"&amp;I209&amp;" AZN* borcunuz qalmışdır . Ödəniş etməyiniz xahiş olunur. Ödəniş kartı  *"&amp;Məlumatlar!$O$3&amp;"* . Hörmətlə  *AlumPro*"</f>
        <v>Hörmətli *Rufet*  , göstərilən xidmətə görə *0 AZN* borcunuz qalmışdır . Ödəniş etməyiniz xahiş olunur. Ödəniş kartı  *4098584464110962* . Hörmətlə  *AlumPro*</v>
      </c>
      <c r="N209" s="46"/>
    </row>
    <row r="210" spans="4:14" ht="17.25">
      <c r="D210" s="214" t="s">
        <v>1113</v>
      </c>
      <c r="E210" s="247" t="s">
        <v>1114</v>
      </c>
      <c r="F210" s="15">
        <f>COUNTIF(Sifarisler!$H$3:$H$10346,D210)</f>
        <v>0</v>
      </c>
      <c r="G210" s="248">
        <f>SUMIF(Sifarisler!$H$3:$H$10346,D210,Sifarisler!$AM$3:$AM$10346)</f>
        <v>0</v>
      </c>
      <c r="H210" s="248">
        <f>SUMIF(Sifarisler!$H$3:$H$10346,D210,Sifarisler!$AO$3:$AO$10346)</f>
        <v>0</v>
      </c>
      <c r="I210" s="249">
        <f>SUMIF(Sifarisler!$H$3:$H$10346,D210,Sifarisler!$AP$3:$AP$10346)</f>
        <v>0</v>
      </c>
      <c r="J210" s="250" t="str">
        <f t="shared" si="89"/>
        <v>Mesaj</v>
      </c>
      <c r="K210" s="9" t="str">
        <f t="shared" si="88"/>
        <v>Zulaleddin</v>
      </c>
      <c r="L210" s="10" t="str">
        <f t="shared" si="87"/>
        <v xml:space="preserve">Zulaleddin </v>
      </c>
      <c r="M210" s="251" t="str">
        <f>"Hörmətli *"&amp;K210&amp;"*  , göstərilən xidmətə görə *"&amp;I210&amp;" AZN* borcunuz qalmışdır . Ödəniş etməyiniz xahiş olunur. Ödəniş kartı  *"&amp;Məlumatlar!$O$3&amp;"* . Hörmətlə  *AlumPro*"</f>
        <v>Hörmətli *Zulaleddin*  , göstərilən xidmətə görə *0 AZN* borcunuz qalmışdır . Ödəniş etməyiniz xahiş olunur. Ödəniş kartı  *4098584464110962* . Hörmətlə  *AlumPro*</v>
      </c>
      <c r="N210" s="46"/>
    </row>
    <row r="211" spans="4:14" ht="17.25">
      <c r="D211" s="214" t="s">
        <v>945</v>
      </c>
      <c r="E211" s="247" t="s">
        <v>1115</v>
      </c>
      <c r="F211" s="15">
        <f>COUNTIF(Sifarisler!$H$3:$H$10346,D211)</f>
        <v>0</v>
      </c>
      <c r="G211" s="248">
        <f>SUMIF(Sifarisler!$H$3:$H$10346,D211,Sifarisler!$AM$3:$AM$10346)</f>
        <v>0</v>
      </c>
      <c r="H211" s="248">
        <f>SUMIF(Sifarisler!$H$3:$H$10346,D211,Sifarisler!$AO$3:$AO$10346)</f>
        <v>0</v>
      </c>
      <c r="I211" s="249">
        <f>SUMIF(Sifarisler!$H$3:$H$10346,D211,Sifarisler!$AP$3:$AP$10346)</f>
        <v>0</v>
      </c>
      <c r="J211" s="250" t="str">
        <f t="shared" si="89"/>
        <v>Mesaj</v>
      </c>
      <c r="K211" s="9" t="str">
        <f t="shared" si="88"/>
        <v>Elvin</v>
      </c>
      <c r="L211" s="10" t="str">
        <f t="shared" si="87"/>
        <v xml:space="preserve">Elvin </v>
      </c>
      <c r="M211" s="251" t="str">
        <f>"Hörmətli *"&amp;K211&amp;"*  , göstərilən xidmətə görə *"&amp;I211&amp;" AZN* borcunuz qalmışdır . Ödəniş etməyiniz xahiş olunur. Ödəniş kartı  *"&amp;Məlumatlar!$O$3&amp;"* . Hörmətlə  *AlumPro*"</f>
        <v>Hörmətli *Elvin*  , göstərilən xidmətə görə *0 AZN* borcunuz qalmışdır . Ödəniş etməyiniz xahiş olunur. Ödəniş kartı  *4098584464110962* . Hörmətlə  *AlumPro*</v>
      </c>
      <c r="N211" s="46"/>
    </row>
    <row r="212" spans="4:14" ht="17.25">
      <c r="D212" s="214" t="s">
        <v>314</v>
      </c>
      <c r="E212" s="247" t="s">
        <v>315</v>
      </c>
      <c r="F212" s="15">
        <f>COUNTIF(Sifarisler!$H$3:$H$10346,D212)</f>
        <v>3</v>
      </c>
      <c r="G212" s="248">
        <f>SUMIF(Sifarisler!$H$3:$H$10346,D212,Sifarisler!$AM$3:$AM$10346)</f>
        <v>2295</v>
      </c>
      <c r="H212" s="248">
        <f>SUMIF(Sifarisler!$H$3:$H$10346,D212,Sifarisler!$AO$3:$AO$10346)</f>
        <v>2295</v>
      </c>
      <c r="I212" s="249">
        <f>SUMIF(Sifarisler!$H$3:$H$10346,D212,Sifarisler!$AP$3:$AP$10346)</f>
        <v>0</v>
      </c>
      <c r="J212" s="250" t="str">
        <f t="shared" si="89"/>
        <v>Mesaj</v>
      </c>
      <c r="K212" s="9" t="str">
        <f t="shared" si="88"/>
        <v>Avni</v>
      </c>
      <c r="L212" s="10" t="str">
        <f t="shared" si="87"/>
        <v xml:space="preserve">Avni </v>
      </c>
      <c r="M212" s="251" t="str">
        <f>"Hörmətli *"&amp;K212&amp;"*  , göstərilən xidmətə görə *"&amp;I212&amp;" AZN* borcunuz qalmışdır . Ödəniş etməyiniz xahiş olunur. Ödəniş kartı  *"&amp;Məlumatlar!$O$3&amp;"* . Hörmətlə  *AlumPro*"</f>
        <v>Hörmətli *Avni*  , göstərilən xidmətə görə *0 AZN* borcunuz qalmışdır . Ödəniş etməyiniz xahiş olunur. Ödəniş kartı  *4098584464110962* . Hörmətlə  *AlumPro*</v>
      </c>
      <c r="N212" s="46"/>
    </row>
    <row r="213" spans="4:14" ht="17.25">
      <c r="D213" s="214" t="s">
        <v>1116</v>
      </c>
      <c r="E213" s="247" t="s">
        <v>1117</v>
      </c>
      <c r="F213" s="15">
        <f>COUNTIF(Sifarisler!$H$3:$H$10346,D213)</f>
        <v>0</v>
      </c>
      <c r="G213" s="248">
        <f>SUMIF(Sifarisler!$H$3:$H$10346,D213,Sifarisler!$AM$3:$AM$10346)</f>
        <v>0</v>
      </c>
      <c r="H213" s="248">
        <f>SUMIF(Sifarisler!$H$3:$H$10346,D213,Sifarisler!$AO$3:$AO$10346)</f>
        <v>0</v>
      </c>
      <c r="I213" s="249">
        <f>SUMIF(Sifarisler!$H$3:$H$10346,D213,Sifarisler!$AP$3:$AP$10346)</f>
        <v>0</v>
      </c>
      <c r="J213" s="250" t="str">
        <f t="shared" si="89"/>
        <v>Mesaj</v>
      </c>
      <c r="K213" s="9" t="str">
        <f t="shared" si="88"/>
        <v>Vaqif</v>
      </c>
      <c r="L213" s="10" t="str">
        <f t="shared" si="87"/>
        <v xml:space="preserve">Vaqif </v>
      </c>
      <c r="M213" s="251" t="str">
        <f>"Hörmətli *"&amp;K213&amp;"*  , göstərilən xidmətə görə *"&amp;I213&amp;" AZN* borcunuz qalmışdır . Ödəniş etməyiniz xahiş olunur. Ödəniş kartı  *"&amp;Məlumatlar!$O$3&amp;"* . Hörmətlə  *AlumPro*"</f>
        <v>Hörmətli *Vaqif*  , göstərilən xidmətə görə *0 AZN* borcunuz qalmışdır . Ödəniş etməyiniz xahiş olunur. Ödəniş kartı  *4098584464110962* . Hörmətlə  *AlumPro*</v>
      </c>
      <c r="N213" s="46"/>
    </row>
    <row r="214" spans="4:14" ht="17.25">
      <c r="D214" s="214" t="s">
        <v>1118</v>
      </c>
      <c r="E214" s="247" t="s">
        <v>1119</v>
      </c>
      <c r="F214" s="15">
        <f>COUNTIF(Sifarisler!$H$3:$H$10346,D214)</f>
        <v>0</v>
      </c>
      <c r="G214" s="248">
        <f>SUMIF(Sifarisler!$H$3:$H$10346,D214,Sifarisler!$AM$3:$AM$10346)</f>
        <v>0</v>
      </c>
      <c r="H214" s="248">
        <f>SUMIF(Sifarisler!$H$3:$H$10346,D214,Sifarisler!$AO$3:$AO$10346)</f>
        <v>0</v>
      </c>
      <c r="I214" s="249">
        <f>SUMIF(Sifarisler!$H$3:$H$10346,D214,Sifarisler!$AP$3:$AP$10346)</f>
        <v>0</v>
      </c>
      <c r="J214" s="250" t="str">
        <f t="shared" si="89"/>
        <v>Mesaj</v>
      </c>
      <c r="K214" s="9" t="str">
        <f t="shared" si="88"/>
        <v>Elmeddin</v>
      </c>
      <c r="L214" s="10" t="str">
        <f t="shared" si="87"/>
        <v xml:space="preserve">Elmeddin </v>
      </c>
      <c r="M214" s="251" t="str">
        <f>"Hörmətli *"&amp;K214&amp;"*  , göstərilən xidmətə görə *"&amp;I214&amp;" AZN* borcunuz qalmışdır . Ödəniş etməyiniz xahiş olunur. Ödəniş kartı  *"&amp;Məlumatlar!$O$3&amp;"* . Hörmətlə  *AlumPro*"</f>
        <v>Hörmətli *Elmeddin*  , göstərilən xidmətə görə *0 AZN* borcunuz qalmışdır . Ödəniş etməyiniz xahiş olunur. Ödəniş kartı  *4098584464110962* . Hörmətlə  *AlumPro*</v>
      </c>
      <c r="N214" s="46"/>
    </row>
    <row r="215" spans="4:14" ht="17.25">
      <c r="D215" s="214" t="s">
        <v>814</v>
      </c>
      <c r="E215" s="247" t="s">
        <v>1120</v>
      </c>
      <c r="F215" s="15">
        <f>COUNTIF(Sifarisler!$H$3:$H$10346,D215)</f>
        <v>1</v>
      </c>
      <c r="G215" s="248">
        <f>SUMIF(Sifarisler!$H$3:$H$10346,D215,Sifarisler!$AM$3:$AM$10346)</f>
        <v>1060</v>
      </c>
      <c r="H215" s="248">
        <f>SUMIF(Sifarisler!$H$3:$H$10346,D215,Sifarisler!$AO$3:$AO$10346)</f>
        <v>1060</v>
      </c>
      <c r="I215" s="249">
        <f>SUMIF(Sifarisler!$H$3:$H$10346,D215,Sifarisler!$AP$3:$AP$10346)</f>
        <v>0</v>
      </c>
      <c r="J215" s="250" t="str">
        <f t="shared" si="89"/>
        <v>Mesaj</v>
      </c>
      <c r="K215" s="9" t="str">
        <f t="shared" si="88"/>
        <v>Fexreddin</v>
      </c>
      <c r="L215" s="10" t="str">
        <f t="shared" si="87"/>
        <v xml:space="preserve">Fexreddin </v>
      </c>
      <c r="M215" s="251" t="str">
        <f>"Hörmətli *"&amp;K215&amp;"*  , göstərilən xidmətə görə *"&amp;I215&amp;" AZN* borcunuz qalmışdır . Ödəniş etməyiniz xahiş olunur. Ödəniş kartı  *"&amp;Məlumatlar!$O$3&amp;"* . Hörmətlə  *AlumPro*"</f>
        <v>Hörmətli *Fexreddin*  , göstərilən xidmətə görə *0 AZN* borcunuz qalmışdır . Ödəniş etməyiniz xahiş olunur. Ödəniş kartı  *4098584464110962* . Hörmətlə  *AlumPro*</v>
      </c>
      <c r="N215" s="46"/>
    </row>
    <row r="216" spans="4:14" ht="17.25">
      <c r="D216" s="214" t="s">
        <v>771</v>
      </c>
      <c r="E216" s="247" t="s">
        <v>772</v>
      </c>
      <c r="F216" s="15">
        <f>COUNTIF(Sifarisler!$H$3:$H$10346,D216)</f>
        <v>3</v>
      </c>
      <c r="G216" s="248">
        <f>SUMIF(Sifarisler!$H$3:$H$10346,D216,Sifarisler!$AM$3:$AM$10346)</f>
        <v>1080</v>
      </c>
      <c r="H216" s="248">
        <f>SUMIF(Sifarisler!$H$3:$H$10346,D216,Sifarisler!$AO$3:$AO$10346)</f>
        <v>1080</v>
      </c>
      <c r="I216" s="249">
        <f>SUMIF(Sifarisler!$H$3:$H$10346,D216,Sifarisler!$AP$3:$AP$10346)</f>
        <v>0</v>
      </c>
      <c r="J216" s="250" t="str">
        <f t="shared" si="89"/>
        <v>Mesaj</v>
      </c>
      <c r="K216" s="9" t="str">
        <f t="shared" si="88"/>
        <v>Orxan</v>
      </c>
      <c r="L216" s="10" t="str">
        <f t="shared" si="87"/>
        <v xml:space="preserve">Orxan </v>
      </c>
      <c r="M216" s="251" t="str">
        <f>"Hörmətli *"&amp;K216&amp;"*  , göstərilən xidmətə görə *"&amp;I216&amp;" AZN* borcunuz qalmışdır . Ödəniş etməyiniz xahiş olunur. Ödəniş kartı  *"&amp;Məlumatlar!$O$3&amp;"* . Hörmətlə  *AlumPro*"</f>
        <v>Hörmətli *Orxan*  , göstərilən xidmətə görə *0 AZN* borcunuz qalmışdır . Ödəniş etməyiniz xahiş olunur. Ödəniş kartı  *4098584464110962* . Hörmətlə  *AlumPro*</v>
      </c>
      <c r="N216" s="46"/>
    </row>
    <row r="217" spans="4:14" ht="17.25">
      <c r="D217" s="214" t="s">
        <v>461</v>
      </c>
      <c r="E217" s="247" t="s">
        <v>462</v>
      </c>
      <c r="F217" s="15">
        <f>COUNTIF(Sifarisler!$H$3:$H$10346,D217)</f>
        <v>1</v>
      </c>
      <c r="G217" s="248">
        <f>SUMIF(Sifarisler!$H$3:$H$10346,D217,Sifarisler!$AM$3:$AM$10346)</f>
        <v>289</v>
      </c>
      <c r="H217" s="248">
        <f>SUMIF(Sifarisler!$H$3:$H$10346,D217,Sifarisler!$AO$3:$AO$10346)</f>
        <v>289</v>
      </c>
      <c r="I217" s="249">
        <f>SUMIF(Sifarisler!$H$3:$H$10346,D217,Sifarisler!$AP$3:$AP$10346)</f>
        <v>0</v>
      </c>
      <c r="J217" s="250" t="str">
        <f t="shared" si="89"/>
        <v>Mesaj</v>
      </c>
      <c r="K217" s="9" t="str">
        <f t="shared" si="88"/>
        <v>Zaur</v>
      </c>
      <c r="L217" s="10" t="str">
        <f t="shared" si="87"/>
        <v xml:space="preserve">Zaur </v>
      </c>
      <c r="M217" s="251" t="str">
        <f>"Hörmətli *"&amp;K217&amp;"*  , göstərilən xidmətə görə *"&amp;I217&amp;" AZN* borcunuz qalmışdır . Ödəniş etməyiniz xahiş olunur. Ödəniş kartı  *"&amp;Məlumatlar!$O$3&amp;"* . Hörmətlə  *AlumPro*"</f>
        <v>Hörmətli *Zaur*  , göstərilən xidmətə görə *0 AZN* borcunuz qalmışdır . Ödəniş etməyiniz xahiş olunur. Ödəniş kartı  *4098584464110962* . Hörmətlə  *AlumPro*</v>
      </c>
      <c r="N217" s="46"/>
    </row>
    <row r="218" spans="4:14" ht="17.25">
      <c r="D218" s="214" t="s">
        <v>252</v>
      </c>
      <c r="E218" s="247" t="s">
        <v>253</v>
      </c>
      <c r="F218" s="15">
        <f>COUNTIF(Sifarisler!$H$3:$H$10346,D218)</f>
        <v>3</v>
      </c>
      <c r="G218" s="248">
        <f>SUMIF(Sifarisler!$H$3:$H$10346,D218,Sifarisler!$AM$3:$AM$10346)</f>
        <v>1495</v>
      </c>
      <c r="H218" s="248">
        <f>SUMIF(Sifarisler!$H$3:$H$10346,D218,Sifarisler!$AO$3:$AO$10346)</f>
        <v>334</v>
      </c>
      <c r="I218" s="249">
        <f>SUMIF(Sifarisler!$H$3:$H$10346,D218,Sifarisler!$AP$3:$AP$10346)</f>
        <v>913</v>
      </c>
      <c r="J218" s="250" t="str">
        <f t="shared" si="89"/>
        <v>Mesaj</v>
      </c>
      <c r="K218" s="9" t="str">
        <f t="shared" si="88"/>
        <v>Rovsen</v>
      </c>
      <c r="L218" s="10" t="str">
        <f t="shared" si="87"/>
        <v xml:space="preserve">Rovsen </v>
      </c>
      <c r="M218" s="251" t="str">
        <f>"Hörmətli *"&amp;K218&amp;"*  , göstərilən xidmətə görə *"&amp;I218&amp;" AZN* borcunuz qalmışdır . Ödəniş etməyiniz xahiş olunur. Ödəniş kartı  *"&amp;Məlumatlar!$O$3&amp;"* . Hörmətlə  *AlumPro*"</f>
        <v>Hörmətli *Rovsen*  , göstərilən xidmətə görə *913 AZN* borcunuz qalmışdır . Ödəniş etməyiniz xahiş olunur. Ödəniş kartı  *4098584464110962* . Hörmətlə  *AlumPro*</v>
      </c>
      <c r="N218" s="46"/>
    </row>
    <row r="219" spans="4:14" ht="17.25">
      <c r="D219" s="214" t="s">
        <v>1121</v>
      </c>
      <c r="E219" s="247" t="s">
        <v>1122</v>
      </c>
      <c r="F219" s="15">
        <f>COUNTIF(Sifarisler!$H$3:$H$10346,D219)</f>
        <v>0</v>
      </c>
      <c r="G219" s="248">
        <f>SUMIF(Sifarisler!$H$3:$H$10346,D219,Sifarisler!$AM$3:$AM$10346)</f>
        <v>0</v>
      </c>
      <c r="H219" s="248">
        <f>SUMIF(Sifarisler!$H$3:$H$10346,D219,Sifarisler!$AO$3:$AO$10346)</f>
        <v>0</v>
      </c>
      <c r="I219" s="249">
        <f>SUMIF(Sifarisler!$H$3:$H$10346,D219,Sifarisler!$AP$3:$AP$10346)</f>
        <v>0</v>
      </c>
      <c r="J219" s="250" t="str">
        <f t="shared" si="89"/>
        <v>Mesaj</v>
      </c>
      <c r="K219" s="9" t="str">
        <f t="shared" si="88"/>
        <v>Samir</v>
      </c>
      <c r="L219" s="10" t="str">
        <f t="shared" si="87"/>
        <v xml:space="preserve">Samir </v>
      </c>
      <c r="M219" s="251" t="str">
        <f>"Hörmətli *"&amp;K219&amp;"*  , göstərilən xidmətə görə *"&amp;I219&amp;" AZN* borcunuz qalmışdır . Ödəniş etməyiniz xahiş olunur. Ödəniş kartı  *"&amp;Məlumatlar!$O$3&amp;"* . Hörmətlə  *AlumPro*"</f>
        <v>Hörmətli *Samir*  , göstərilən xidmətə görə *0 AZN* borcunuz qalmışdır . Ödəniş etməyiniz xahiş olunur. Ödəniş kartı  *4098584464110962* . Hörmətlə  *AlumPro*</v>
      </c>
      <c r="N219" s="46"/>
    </row>
    <row r="220" spans="4:14" ht="17.25">
      <c r="D220" s="214" t="s">
        <v>1123</v>
      </c>
      <c r="E220" s="247" t="s">
        <v>1124</v>
      </c>
      <c r="F220" s="15">
        <f>COUNTIF(Sifarisler!$H$3:$H$10346,D220)</f>
        <v>0</v>
      </c>
      <c r="G220" s="248">
        <f>SUMIF(Sifarisler!$H$3:$H$10346,D220,Sifarisler!$AM$3:$AM$10346)</f>
        <v>0</v>
      </c>
      <c r="H220" s="248">
        <f>SUMIF(Sifarisler!$H$3:$H$10346,D220,Sifarisler!$AO$3:$AO$10346)</f>
        <v>0</v>
      </c>
      <c r="I220" s="249">
        <f>SUMIF(Sifarisler!$H$3:$H$10346,D220,Sifarisler!$AP$3:$AP$10346)</f>
        <v>0</v>
      </c>
      <c r="J220" s="250" t="str">
        <f t="shared" si="89"/>
        <v>Mesaj</v>
      </c>
      <c r="K220" s="9" t="str">
        <f t="shared" si="88"/>
        <v>Emin</v>
      </c>
      <c r="L220" s="10" t="str">
        <f t="shared" si="87"/>
        <v xml:space="preserve">Emin </v>
      </c>
      <c r="M220" s="251" t="str">
        <f>"Hörmətli *"&amp;K220&amp;"*  , göstərilən xidmətə görə *"&amp;I220&amp;" AZN* borcunuz qalmışdır . Ödəniş etməyiniz xahiş olunur. Ödəniş kartı  *"&amp;Məlumatlar!$O$3&amp;"* . Hörmətlə  *AlumPro*"</f>
        <v>Hörmətli *Emin*  , göstərilən xidmətə görə *0 AZN* borcunuz qalmışdır . Ödəniş etməyiniz xahiş olunur. Ödəniş kartı  *4098584464110962* . Hörmətlə  *AlumPro*</v>
      </c>
      <c r="N220" s="46"/>
    </row>
    <row r="221" spans="4:14" ht="17.25">
      <c r="D221" s="214" t="s">
        <v>808</v>
      </c>
      <c r="E221" s="247" t="s">
        <v>809</v>
      </c>
      <c r="F221" s="15">
        <f>COUNTIF(Sifarisler!$H$3:$H$10346,D221)</f>
        <v>2</v>
      </c>
      <c r="G221" s="248">
        <f>SUMIF(Sifarisler!$H$3:$H$10346,D221,Sifarisler!$AM$3:$AM$10346)</f>
        <v>1040</v>
      </c>
      <c r="H221" s="248">
        <f>SUMIF(Sifarisler!$H$3:$H$10346,D221,Sifarisler!$AO$3:$AO$10346)</f>
        <v>1040</v>
      </c>
      <c r="I221" s="249">
        <f>SUMIF(Sifarisler!$H$3:$H$10346,D221,Sifarisler!$AP$3:$AP$10346)</f>
        <v>0</v>
      </c>
      <c r="J221" s="250" t="str">
        <f t="shared" si="89"/>
        <v>Mesaj</v>
      </c>
      <c r="K221" s="9" t="str">
        <f t="shared" si="88"/>
        <v>Perviz</v>
      </c>
      <c r="L221" s="10" t="str">
        <f t="shared" si="87"/>
        <v xml:space="preserve">Perviz </v>
      </c>
      <c r="M221" s="251" t="str">
        <f>"Hörmətli *"&amp;K221&amp;"*  , göstərilən xidmətə görə *"&amp;I221&amp;" AZN* borcunuz qalmışdır . Ödəniş etməyiniz xahiş olunur. Ödəniş kartı  *"&amp;Məlumatlar!$O$3&amp;"* . Hörmətlə  *AlumPro*"</f>
        <v>Hörmətli *Perviz*  , göstərilən xidmətə görə *0 AZN* borcunuz qalmışdır . Ödəniş etməyiniz xahiş olunur. Ödəniş kartı  *4098584464110962* . Hörmətlə  *AlumPro*</v>
      </c>
      <c r="N221" s="46"/>
    </row>
    <row r="222" spans="4:14" ht="17.25">
      <c r="D222" s="214" t="s">
        <v>795</v>
      </c>
      <c r="E222" s="247" t="s">
        <v>796</v>
      </c>
      <c r="F222" s="15">
        <f>COUNTIF(Sifarisler!$H$3:$H$10346,D222)</f>
        <v>1</v>
      </c>
      <c r="G222" s="248">
        <f>SUMIF(Sifarisler!$H$3:$H$10346,D222,Sifarisler!$AM$3:$AM$10346)</f>
        <v>55</v>
      </c>
      <c r="H222" s="248">
        <f>SUMIF(Sifarisler!$H$3:$H$10346,D222,Sifarisler!$AO$3:$AO$10346)</f>
        <v>55</v>
      </c>
      <c r="I222" s="249">
        <f>SUMIF(Sifarisler!$H$3:$H$10346,D222,Sifarisler!$AP$3:$AP$10346)</f>
        <v>0</v>
      </c>
      <c r="J222" s="250" t="str">
        <f t="shared" si="89"/>
        <v>Mesaj</v>
      </c>
      <c r="K222" s="9" t="str">
        <f t="shared" si="88"/>
        <v>Sahveled</v>
      </c>
      <c r="L222" s="10" t="str">
        <f t="shared" si="87"/>
        <v xml:space="preserve">Sahveled </v>
      </c>
      <c r="M222" s="251" t="str">
        <f>"Hörmətli *"&amp;K222&amp;"*  , göstərilən xidmətə görə *"&amp;I222&amp;" AZN* borcunuz qalmışdır . Ödəniş etməyiniz xahiş olunur. Ödəniş kartı  *"&amp;Məlumatlar!$O$3&amp;"* . Hörmətlə  *AlumPro*"</f>
        <v>Hörmətli *Sahveled*  , göstərilən xidmətə görə *0 AZN* borcunuz qalmışdır . Ödəniş etməyiniz xahiş olunur. Ödəniş kartı  *4098584464110962* . Hörmətlə  *AlumPro*</v>
      </c>
      <c r="N222" s="46"/>
    </row>
    <row r="223" spans="4:14" ht="17.25">
      <c r="D223" s="214" t="s">
        <v>1125</v>
      </c>
      <c r="E223" s="247" t="s">
        <v>1126</v>
      </c>
      <c r="F223" s="15">
        <f>COUNTIF(Sifarisler!$H$3:$H$10346,D223)</f>
        <v>0</v>
      </c>
      <c r="G223" s="248">
        <f>SUMIF(Sifarisler!$H$3:$H$10346,D223,Sifarisler!$AM$3:$AM$10346)</f>
        <v>0</v>
      </c>
      <c r="H223" s="248">
        <f>SUMIF(Sifarisler!$H$3:$H$10346,D223,Sifarisler!$AO$3:$AO$10346)</f>
        <v>0</v>
      </c>
      <c r="I223" s="249">
        <f>SUMIF(Sifarisler!$H$3:$H$10346,D223,Sifarisler!$AP$3:$AP$10346)</f>
        <v>0</v>
      </c>
      <c r="J223" s="250" t="str">
        <f t="shared" si="89"/>
        <v>Mesaj</v>
      </c>
      <c r="K223" s="9" t="str">
        <f t="shared" si="88"/>
        <v>Meherrem</v>
      </c>
      <c r="L223" s="10" t="str">
        <f t="shared" si="87"/>
        <v xml:space="preserve">Meherrem </v>
      </c>
      <c r="M223" s="251" t="str">
        <f>"Hörmətli *"&amp;K223&amp;"*  , göstərilən xidmətə görə *"&amp;I223&amp;" AZN* borcunuz qalmışdır . Ödəniş etməyiniz xahiş olunur. Ödəniş kartı  *"&amp;Məlumatlar!$O$3&amp;"* . Hörmətlə  *AlumPro*"</f>
        <v>Hörmətli *Meherrem*  , göstərilən xidmətə görə *0 AZN* borcunuz qalmışdır . Ödəniş etməyiniz xahiş olunur. Ödəniş kartı  *4098584464110962* . Hörmətlə  *AlumPro*</v>
      </c>
      <c r="N223" s="46"/>
    </row>
    <row r="224" spans="4:14" ht="17.25">
      <c r="D224" s="214" t="s">
        <v>1127</v>
      </c>
      <c r="E224" s="247" t="s">
        <v>1128</v>
      </c>
      <c r="F224" s="15">
        <f>COUNTIF(Sifarisler!$H$3:$H$10346,D224)</f>
        <v>0</v>
      </c>
      <c r="G224" s="248">
        <f>SUMIF(Sifarisler!$H$3:$H$10346,D224,Sifarisler!$AM$3:$AM$10346)</f>
        <v>0</v>
      </c>
      <c r="H224" s="248">
        <f>SUMIF(Sifarisler!$H$3:$H$10346,D224,Sifarisler!$AO$3:$AO$10346)</f>
        <v>0</v>
      </c>
      <c r="I224" s="249">
        <f>SUMIF(Sifarisler!$H$3:$H$10346,D224,Sifarisler!$AP$3:$AP$10346)</f>
        <v>0</v>
      </c>
      <c r="J224" s="250" t="str">
        <f t="shared" si="89"/>
        <v>Mesaj</v>
      </c>
      <c r="K224" s="9" t="str">
        <f t="shared" si="88"/>
        <v>Amorfati</v>
      </c>
      <c r="L224" s="10" t="str">
        <f t="shared" si="87"/>
        <v xml:space="preserve">Amorfati </v>
      </c>
      <c r="M224" s="251" t="str">
        <f>"Hörmətli *"&amp;K224&amp;"*  , göstərilən xidmətə görə *"&amp;I224&amp;" AZN* borcunuz qalmışdır . Ödəniş etməyiniz xahiş olunur. Ödəniş kartı  *"&amp;Məlumatlar!$O$3&amp;"* . Hörmətlə  *AlumPro*"</f>
        <v>Hörmətli *Amorfati*  , göstərilən xidmətə görə *0 AZN* borcunuz qalmışdır . Ödəniş etməyiniz xahiş olunur. Ödəniş kartı  *4098584464110962* . Hörmətlə  *AlumPro*</v>
      </c>
      <c r="N224" s="46"/>
    </row>
    <row r="225" spans="4:14" ht="17.25">
      <c r="D225" s="214" t="s">
        <v>1129</v>
      </c>
      <c r="E225" s="247" t="s">
        <v>1130</v>
      </c>
      <c r="F225" s="15">
        <f>COUNTIF(Sifarisler!$H$3:$H$10346,D225)</f>
        <v>0</v>
      </c>
      <c r="G225" s="248">
        <f>SUMIF(Sifarisler!$H$3:$H$10346,D225,Sifarisler!$AM$3:$AM$10346)</f>
        <v>0</v>
      </c>
      <c r="H225" s="248">
        <f>SUMIF(Sifarisler!$H$3:$H$10346,D225,Sifarisler!$AO$3:$AO$10346)</f>
        <v>0</v>
      </c>
      <c r="I225" s="249">
        <f>SUMIF(Sifarisler!$H$3:$H$10346,D225,Sifarisler!$AP$3:$AP$10346)</f>
        <v>0</v>
      </c>
      <c r="J225" s="250" t="str">
        <f t="shared" si="89"/>
        <v>Mesaj</v>
      </c>
      <c r="K225" s="9" t="str">
        <f t="shared" si="88"/>
        <v>Sahin</v>
      </c>
      <c r="L225" s="10" t="str">
        <f t="shared" si="87"/>
        <v xml:space="preserve">Sahin </v>
      </c>
      <c r="M225" s="251" t="str">
        <f>"Hörmətli *"&amp;K225&amp;"*  , göstərilən xidmətə görə *"&amp;I225&amp;" AZN* borcunuz qalmışdır . Ödəniş etməyiniz xahiş olunur. Ödəniş kartı  *"&amp;Məlumatlar!$O$3&amp;"* . Hörmətlə  *AlumPro*"</f>
        <v>Hörmətli *Sahin*  , göstərilən xidmətə görə *0 AZN* borcunuz qalmışdır . Ödəniş etməyiniz xahiş olunur. Ödəniş kartı  *4098584464110962* . Hörmətlə  *AlumPro*</v>
      </c>
      <c r="N225" s="46"/>
    </row>
    <row r="226" spans="4:14" ht="17.25">
      <c r="D226" s="214" t="s">
        <v>1131</v>
      </c>
      <c r="E226" s="247" t="s">
        <v>1132</v>
      </c>
      <c r="F226" s="15">
        <f>COUNTIF(Sifarisler!$H$3:$H$10346,D226)</f>
        <v>0</v>
      </c>
      <c r="G226" s="248">
        <f>SUMIF(Sifarisler!$H$3:$H$10346,D226,Sifarisler!$AM$3:$AM$10346)</f>
        <v>0</v>
      </c>
      <c r="H226" s="248">
        <f>SUMIF(Sifarisler!$H$3:$H$10346,D226,Sifarisler!$AO$3:$AO$10346)</f>
        <v>0</v>
      </c>
      <c r="I226" s="249">
        <f>SUMIF(Sifarisler!$H$3:$H$10346,D226,Sifarisler!$AP$3:$AP$10346)</f>
        <v>0</v>
      </c>
      <c r="J226" s="250" t="str">
        <f t="shared" si="89"/>
        <v>Mesaj</v>
      </c>
      <c r="K226" s="9" t="str">
        <f t="shared" si="88"/>
        <v>Qara</v>
      </c>
      <c r="L226" s="10" t="str">
        <f t="shared" si="87"/>
        <v xml:space="preserve">Qara </v>
      </c>
      <c r="M226" s="251" t="str">
        <f>"Hörmətli *"&amp;K226&amp;"*  , göstərilən xidmətə görə *"&amp;I226&amp;" AZN* borcunuz qalmışdır . Ödəniş etməyiniz xahiş olunur. Ödəniş kartı  *"&amp;Məlumatlar!$O$3&amp;"* . Hörmətlə  *AlumPro*"</f>
        <v>Hörmətli *Qara*  , göstərilən xidmətə görə *0 AZN* borcunuz qalmışdır . Ödəniş etməyiniz xahiş olunur. Ödəniş kartı  *4098584464110962* . Hörmətlə  *AlumPro*</v>
      </c>
      <c r="N226" s="46"/>
    </row>
    <row r="227" spans="4:14" ht="17.25">
      <c r="D227" s="214" t="s">
        <v>824</v>
      </c>
      <c r="E227" s="247" t="s">
        <v>825</v>
      </c>
      <c r="F227" s="15">
        <f>COUNTIF(Sifarisler!$H$3:$H$10346,D227)</f>
        <v>1</v>
      </c>
      <c r="G227" s="248">
        <f>SUMIF(Sifarisler!$H$3:$H$10346,D227,Sifarisler!$AM$3:$AM$10346)</f>
        <v>501</v>
      </c>
      <c r="H227" s="248">
        <f>SUMIF(Sifarisler!$H$3:$H$10346,D227,Sifarisler!$AO$3:$AO$10346)</f>
        <v>183</v>
      </c>
      <c r="I227" s="249">
        <f>SUMIF(Sifarisler!$H$3:$H$10346,D227,Sifarisler!$AP$3:$AP$10346)</f>
        <v>318</v>
      </c>
      <c r="J227" s="250" t="str">
        <f t="shared" si="89"/>
        <v>Mesaj</v>
      </c>
      <c r="K227" s="9" t="str">
        <f t="shared" si="88"/>
        <v>Surxay</v>
      </c>
      <c r="L227" s="10" t="str">
        <f t="shared" si="87"/>
        <v xml:space="preserve">Surxay </v>
      </c>
      <c r="M227" s="251" t="str">
        <f>"Hörmətli *"&amp;K227&amp;"*  , göstərilən xidmətə görə *"&amp;I227&amp;" AZN* borcunuz qalmışdır . Ödəniş etməyiniz xahiş olunur. Ödəniş kartı  *"&amp;Məlumatlar!$O$3&amp;"* . Hörmətlə  *AlumPro*"</f>
        <v>Hörmətli *Surxay*  , göstərilən xidmətə görə *318 AZN* borcunuz qalmışdır . Ödəniş etməyiniz xahiş olunur. Ödəniş kartı  *4098584464110962* . Hörmətlə  *AlumPro*</v>
      </c>
      <c r="N227" s="46"/>
    </row>
    <row r="228" spans="4:14" ht="17.25">
      <c r="D228" s="214" t="s">
        <v>1133</v>
      </c>
      <c r="E228" s="247" t="s">
        <v>1134</v>
      </c>
      <c r="F228" s="15">
        <f>COUNTIF(Sifarisler!$H$3:$H$10346,D228)</f>
        <v>0</v>
      </c>
      <c r="G228" s="248">
        <f>SUMIF(Sifarisler!$H$3:$H$10346,D228,Sifarisler!$AM$3:$AM$10346)</f>
        <v>0</v>
      </c>
      <c r="H228" s="248">
        <f>SUMIF(Sifarisler!$H$3:$H$10346,D228,Sifarisler!$AO$3:$AO$10346)</f>
        <v>0</v>
      </c>
      <c r="I228" s="249">
        <f>SUMIF(Sifarisler!$H$3:$H$10346,D228,Sifarisler!$AP$3:$AP$10346)</f>
        <v>0</v>
      </c>
      <c r="J228" s="250" t="str">
        <f t="shared" si="89"/>
        <v>Mesaj</v>
      </c>
      <c r="K228" s="9" t="str">
        <f t="shared" si="88"/>
        <v>Ulvi</v>
      </c>
      <c r="L228" s="10" t="str">
        <f t="shared" si="87"/>
        <v xml:space="preserve">Ulvi </v>
      </c>
      <c r="M228" s="251" t="str">
        <f>"Hörmətli *"&amp;K228&amp;"*  , göstərilən xidmətə görə *"&amp;I228&amp;" AZN* borcunuz qalmışdır . Ödəniş etməyiniz xahiş olunur. Ödəniş kartı  *"&amp;Məlumatlar!$O$3&amp;"* . Hörmətlə  *AlumPro*"</f>
        <v>Hörmətli *Ulvi*  , göstərilən xidmətə görə *0 AZN* borcunuz qalmışdır . Ödəniş etməyiniz xahiş olunur. Ödəniş kartı  *4098584464110962* . Hörmətlə  *AlumPro*</v>
      </c>
      <c r="N228" s="46"/>
    </row>
    <row r="229" spans="4:14" ht="17.25">
      <c r="D229" s="214" t="s">
        <v>1135</v>
      </c>
      <c r="E229" s="247" t="s">
        <v>1136</v>
      </c>
      <c r="F229" s="15">
        <f>COUNTIF(Sifarisler!$H$3:$H$10346,D229)</f>
        <v>0</v>
      </c>
      <c r="G229" s="248">
        <f>SUMIF(Sifarisler!$H$3:$H$10346,D229,Sifarisler!$AM$3:$AM$10346)</f>
        <v>0</v>
      </c>
      <c r="H229" s="248">
        <f>SUMIF(Sifarisler!$H$3:$H$10346,D229,Sifarisler!$AO$3:$AO$10346)</f>
        <v>0</v>
      </c>
      <c r="I229" s="249">
        <f>SUMIF(Sifarisler!$H$3:$H$10346,D229,Sifarisler!$AP$3:$AP$10346)</f>
        <v>0</v>
      </c>
      <c r="J229" s="250" t="str">
        <f t="shared" si="89"/>
        <v>Mesaj</v>
      </c>
      <c r="K229" s="9" t="str">
        <f t="shared" si="88"/>
        <v>Cavansir</v>
      </c>
      <c r="L229" s="10" t="str">
        <f t="shared" si="87"/>
        <v xml:space="preserve">Cavansir </v>
      </c>
      <c r="M229" s="251" t="str">
        <f>"Hörmətli *"&amp;K229&amp;"*  , göstərilən xidmətə görə *"&amp;I229&amp;" AZN* borcunuz qalmışdır . Ödəniş etməyiniz xahiş olunur. Ödəniş kartı  *"&amp;Məlumatlar!$O$3&amp;"* . Hörmətlə  *AlumPro*"</f>
        <v>Hörmətli *Cavansir*  , göstərilən xidmətə görə *0 AZN* borcunuz qalmışdır . Ödəniş etməyiniz xahiş olunur. Ödəniş kartı  *4098584464110962* . Hörmətlə  *AlumPro*</v>
      </c>
      <c r="N229" s="46"/>
    </row>
    <row r="230" spans="4:14" ht="17.25">
      <c r="D230" s="214" t="s">
        <v>147</v>
      </c>
      <c r="E230" s="247" t="s">
        <v>148</v>
      </c>
      <c r="F230" s="15">
        <f>COUNTIF(Sifarisler!$H$3:$H$10346,D230)</f>
        <v>3</v>
      </c>
      <c r="G230" s="248">
        <f>SUMIF(Sifarisler!$H$3:$H$10346,D230,Sifarisler!$AM$3:$AM$10346)</f>
        <v>2980</v>
      </c>
      <c r="H230" s="248">
        <f>SUMIF(Sifarisler!$H$3:$H$10346,D230,Sifarisler!$AO$3:$AO$10346)</f>
        <v>400</v>
      </c>
      <c r="I230" s="249">
        <f>SUMIF(Sifarisler!$H$3:$H$10346,D230,Sifarisler!$AP$3:$AP$10346)</f>
        <v>2500</v>
      </c>
      <c r="J230" s="250" t="str">
        <f t="shared" si="89"/>
        <v>Mesaj</v>
      </c>
      <c r="K230" s="9" t="str">
        <f t="shared" si="88"/>
        <v>Samir</v>
      </c>
      <c r="L230" s="10" t="str">
        <f t="shared" si="87"/>
        <v xml:space="preserve">Samir </v>
      </c>
      <c r="M230" s="251" t="str">
        <f>"Hörmətli *"&amp;K230&amp;"*  , göstərilən xidmətə görə *"&amp;I230&amp;" AZN* borcunuz qalmışdır . Ödəniş etməyiniz xahiş olunur. Ödəniş kartı  *"&amp;Məlumatlar!$O$3&amp;"* . Hörmətlə  *AlumPro*"</f>
        <v>Hörmətli *Samir*  , göstərilən xidmətə görə *2500 AZN* borcunuz qalmışdır . Ödəniş etməyiniz xahiş olunur. Ödəniş kartı  *4098584464110962* . Hörmətlə  *AlumPro*</v>
      </c>
      <c r="N230" s="46"/>
    </row>
    <row r="231" spans="4:14" ht="17.25">
      <c r="D231" s="214" t="s">
        <v>1137</v>
      </c>
      <c r="E231" s="247" t="s">
        <v>1138</v>
      </c>
      <c r="F231" s="15">
        <f>COUNTIF(Sifarisler!$H$3:$H$10346,D231)</f>
        <v>0</v>
      </c>
      <c r="G231" s="248">
        <f>SUMIF(Sifarisler!$H$3:$H$10346,D231,Sifarisler!$AM$3:$AM$10346)</f>
        <v>0</v>
      </c>
      <c r="H231" s="248">
        <f>SUMIF(Sifarisler!$H$3:$H$10346,D231,Sifarisler!$AO$3:$AO$10346)</f>
        <v>0</v>
      </c>
      <c r="I231" s="249">
        <f>SUMIF(Sifarisler!$H$3:$H$10346,D231,Sifarisler!$AP$3:$AP$10346)</f>
        <v>0</v>
      </c>
      <c r="J231" s="250" t="str">
        <f t="shared" si="89"/>
        <v>Mesaj</v>
      </c>
      <c r="K231" s="9" t="str">
        <f t="shared" si="88"/>
        <v>Ilham</v>
      </c>
      <c r="L231" s="10" t="str">
        <f t="shared" si="87"/>
        <v xml:space="preserve">Ilham </v>
      </c>
      <c r="M231" s="251" t="str">
        <f>"Hörmətli *"&amp;K231&amp;"*  , göstərilən xidmətə görə *"&amp;I231&amp;" AZN* borcunuz qalmışdır . Ödəniş etməyiniz xahiş olunur. Ödəniş kartı  *"&amp;Məlumatlar!$O$3&amp;"* . Hörmətlə  *AlumPro*"</f>
        <v>Hörmətli *Ilham*  , göstərilən xidmətə görə *0 AZN* borcunuz qalmışdır . Ödəniş etməyiniz xahiş olunur. Ödəniş kartı  *4098584464110962* . Hörmətlə  *AlumPro*</v>
      </c>
      <c r="N231" s="46"/>
    </row>
    <row r="232" spans="4:14" ht="17.25">
      <c r="D232" s="214" t="s">
        <v>1139</v>
      </c>
      <c r="E232" s="247" t="s">
        <v>1140</v>
      </c>
      <c r="F232" s="15">
        <f>COUNTIF(Sifarisler!$H$3:$H$10346,D232)</f>
        <v>0</v>
      </c>
      <c r="G232" s="248">
        <f>SUMIF(Sifarisler!$H$3:$H$10346,D232,Sifarisler!$AM$3:$AM$10346)</f>
        <v>0</v>
      </c>
      <c r="H232" s="248">
        <f>SUMIF(Sifarisler!$H$3:$H$10346,D232,Sifarisler!$AO$3:$AO$10346)</f>
        <v>0</v>
      </c>
      <c r="I232" s="249">
        <f>SUMIF(Sifarisler!$H$3:$H$10346,D232,Sifarisler!$AP$3:$AP$10346)</f>
        <v>0</v>
      </c>
      <c r="J232" s="250" t="str">
        <f t="shared" si="89"/>
        <v>Mesaj</v>
      </c>
      <c r="K232" s="9" t="str">
        <f t="shared" si="88"/>
        <v>Yadigar</v>
      </c>
      <c r="L232" s="10" t="str">
        <f t="shared" si="87"/>
        <v xml:space="preserve">Yadigar </v>
      </c>
      <c r="M232" s="251" t="str">
        <f>"Hörmətli *"&amp;K232&amp;"*  , göstərilən xidmətə görə *"&amp;I232&amp;" AZN* borcunuz qalmışdır . Ödəniş etməyiniz xahiş olunur. Ödəniş kartı  *"&amp;Məlumatlar!$O$3&amp;"* . Hörmətlə  *AlumPro*"</f>
        <v>Hörmətli *Yadigar*  , göstərilən xidmətə görə *0 AZN* borcunuz qalmışdır . Ödəniş etməyiniz xahiş olunur. Ödəniş kartı  *4098584464110962* . Hörmətlə  *AlumPro*</v>
      </c>
      <c r="N232" s="46"/>
    </row>
    <row r="233" spans="4:14" ht="17.25">
      <c r="D233" s="214" t="s">
        <v>1141</v>
      </c>
      <c r="E233" s="247" t="s">
        <v>1142</v>
      </c>
      <c r="F233" s="15">
        <f>COUNTIF(Sifarisler!$H$3:$H$10346,D233)</f>
        <v>0</v>
      </c>
      <c r="G233" s="248">
        <f>SUMIF(Sifarisler!$H$3:$H$10346,D233,Sifarisler!$AM$3:$AM$10346)</f>
        <v>0</v>
      </c>
      <c r="H233" s="248">
        <f>SUMIF(Sifarisler!$H$3:$H$10346,D233,Sifarisler!$AO$3:$AO$10346)</f>
        <v>0</v>
      </c>
      <c r="I233" s="249">
        <f>SUMIF(Sifarisler!$H$3:$H$10346,D233,Sifarisler!$AP$3:$AP$10346)</f>
        <v>0</v>
      </c>
      <c r="J233" s="250" t="str">
        <f t="shared" si="89"/>
        <v>Mesaj</v>
      </c>
      <c r="K233" s="9" t="str">
        <f t="shared" si="88"/>
        <v>Ramin</v>
      </c>
      <c r="L233" s="10" t="str">
        <f t="shared" si="87"/>
        <v xml:space="preserve">Ramin </v>
      </c>
      <c r="M233" s="251" t="str">
        <f>"Hörmətli *"&amp;K233&amp;"*  , göstərilən xidmətə görə *"&amp;I233&amp;" AZN* borcunuz qalmışdır . Ödəniş etməyiniz xahiş olunur. Ödəniş kartı  *"&amp;Məlumatlar!$O$3&amp;"* . Hörmətlə  *AlumPro*"</f>
        <v>Hörmətli *Ramin*  , göstərilən xidmətə görə *0 AZN* borcunuz qalmışdır . Ödəniş etməyiniz xahiş olunur. Ödəniş kartı  *4098584464110962* . Hörmətlə  *AlumPro*</v>
      </c>
      <c r="N233" s="46"/>
    </row>
    <row r="234" spans="4:14" ht="17.25">
      <c r="D234" s="214" t="s">
        <v>1143</v>
      </c>
      <c r="E234" s="247" t="s">
        <v>1144</v>
      </c>
      <c r="F234" s="15">
        <f>COUNTIF(Sifarisler!$H$3:$H$10346,D234)</f>
        <v>0</v>
      </c>
      <c r="G234" s="248">
        <f>SUMIF(Sifarisler!$H$3:$H$10346,D234,Sifarisler!$AM$3:$AM$10346)</f>
        <v>0</v>
      </c>
      <c r="H234" s="248">
        <f>SUMIF(Sifarisler!$H$3:$H$10346,D234,Sifarisler!$AO$3:$AO$10346)</f>
        <v>0</v>
      </c>
      <c r="I234" s="249">
        <f>SUMIF(Sifarisler!$H$3:$H$10346,D234,Sifarisler!$AP$3:$AP$10346)</f>
        <v>0</v>
      </c>
      <c r="J234" s="250" t="str">
        <f t="shared" si="89"/>
        <v>Mesaj</v>
      </c>
      <c r="K234" s="9" t="str">
        <f t="shared" si="88"/>
        <v>Bextiyar</v>
      </c>
      <c r="L234" s="10" t="str">
        <f t="shared" si="87"/>
        <v xml:space="preserve">Bextiyar </v>
      </c>
      <c r="M234" s="251" t="str">
        <f>"Hörmətli *"&amp;K234&amp;"*  , göstərilən xidmətə görə *"&amp;I234&amp;" AZN* borcunuz qalmışdır . Ödəniş etməyiniz xahiş olunur. Ödəniş kartı  *"&amp;Məlumatlar!$O$3&amp;"* . Hörmətlə  *AlumPro*"</f>
        <v>Hörmətli *Bextiyar*  , göstərilən xidmətə görə *0 AZN* borcunuz qalmışdır . Ödəniş etməyiniz xahiş olunur. Ödəniş kartı  *4098584464110962* . Hörmətlə  *AlumPro*</v>
      </c>
      <c r="N234" s="46"/>
    </row>
    <row r="235" spans="4:14" ht="17.25">
      <c r="D235" s="214" t="s">
        <v>1145</v>
      </c>
      <c r="E235" s="247" t="s">
        <v>1146</v>
      </c>
      <c r="F235" s="15">
        <f>COUNTIF(Sifarisler!$H$3:$H$10346,D235)</f>
        <v>0</v>
      </c>
      <c r="G235" s="248">
        <f>SUMIF(Sifarisler!$H$3:$H$10346,D235,Sifarisler!$AM$3:$AM$10346)</f>
        <v>0</v>
      </c>
      <c r="H235" s="248">
        <f>SUMIF(Sifarisler!$H$3:$H$10346,D235,Sifarisler!$AO$3:$AO$10346)</f>
        <v>0</v>
      </c>
      <c r="I235" s="249">
        <f>SUMIF(Sifarisler!$H$3:$H$10346,D235,Sifarisler!$AP$3:$AP$10346)</f>
        <v>0</v>
      </c>
      <c r="J235" s="250" t="str">
        <f t="shared" si="89"/>
        <v>Mesaj</v>
      </c>
      <c r="K235" s="9" t="str">
        <f t="shared" si="88"/>
        <v>Vusal</v>
      </c>
      <c r="L235" s="10" t="str">
        <f t="shared" si="87"/>
        <v xml:space="preserve">Vusal </v>
      </c>
      <c r="M235" s="251" t="str">
        <f>"Hörmətli *"&amp;K235&amp;"*  , göstərilən xidmətə görə *"&amp;I235&amp;" AZN* borcunuz qalmışdır . Ödəniş etməyiniz xahiş olunur. Ödəniş kartı  *"&amp;Məlumatlar!$O$3&amp;"* . Hörmətlə  *AlumPro*"</f>
        <v>Hörmətli *Vusal*  , göstərilən xidmətə görə *0 AZN* borcunuz qalmışdır . Ödəniş etməyiniz xahiş olunur. Ödəniş kartı  *4098584464110962* . Hörmətlə  *AlumPro*</v>
      </c>
      <c r="N235" s="46"/>
    </row>
    <row r="236" spans="4:14" ht="17.25">
      <c r="D236" s="214" t="s">
        <v>1147</v>
      </c>
      <c r="E236" s="247" t="s">
        <v>1148</v>
      </c>
      <c r="F236" s="15">
        <f>COUNTIF(Sifarisler!$H$3:$H$10346,D236)</f>
        <v>0</v>
      </c>
      <c r="G236" s="248">
        <f>SUMIF(Sifarisler!$H$3:$H$10346,D236,Sifarisler!$AM$3:$AM$10346)</f>
        <v>0</v>
      </c>
      <c r="H236" s="248">
        <f>SUMIF(Sifarisler!$H$3:$H$10346,D236,Sifarisler!$AO$3:$AO$10346)</f>
        <v>0</v>
      </c>
      <c r="I236" s="249">
        <f>SUMIF(Sifarisler!$H$3:$H$10346,D236,Sifarisler!$AP$3:$AP$10346)</f>
        <v>0</v>
      </c>
      <c r="J236" s="250" t="str">
        <f t="shared" si="89"/>
        <v>Mesaj</v>
      </c>
      <c r="K236" s="9" t="str">
        <f t="shared" si="88"/>
        <v>Kamil</v>
      </c>
      <c r="L236" s="10" t="str">
        <f t="shared" si="87"/>
        <v xml:space="preserve">Kamil </v>
      </c>
      <c r="M236" s="251" t="str">
        <f>"Hörmətli *"&amp;K236&amp;"*  , göstərilən xidmətə görə *"&amp;I236&amp;" AZN* borcunuz qalmışdır . Ödəniş etməyiniz xahiş olunur. Ödəniş kartı  *"&amp;Məlumatlar!$O$3&amp;"* . Hörmətlə  *AlumPro*"</f>
        <v>Hörmətli *Kamil*  , göstərilən xidmətə görə *0 AZN* borcunuz qalmışdır . Ödəniş etməyiniz xahiş olunur. Ödəniş kartı  *4098584464110962* . Hörmətlə  *AlumPro*</v>
      </c>
      <c r="N236" s="46"/>
    </row>
    <row r="237" spans="4:14" ht="17.25">
      <c r="D237" s="214" t="s">
        <v>617</v>
      </c>
      <c r="E237" s="247" t="s">
        <v>618</v>
      </c>
      <c r="F237" s="15">
        <f>COUNTIF(Sifarisler!$H$3:$H$10346,D237)</f>
        <v>2</v>
      </c>
      <c r="G237" s="248">
        <f>SUMIF(Sifarisler!$H$3:$H$10346,D237,Sifarisler!$AM$3:$AM$10346)</f>
        <v>352</v>
      </c>
      <c r="H237" s="248">
        <f>SUMIF(Sifarisler!$H$3:$H$10346,D237,Sifarisler!$AO$3:$AO$10346)</f>
        <v>326</v>
      </c>
      <c r="I237" s="249">
        <f>SUMIF(Sifarisler!$H$3:$H$10346,D237,Sifarisler!$AP$3:$AP$10346)</f>
        <v>0</v>
      </c>
      <c r="J237" s="250" t="str">
        <f t="shared" si="89"/>
        <v>Mesaj</v>
      </c>
      <c r="K237" s="9" t="str">
        <f t="shared" si="88"/>
        <v>Abbas</v>
      </c>
      <c r="L237" s="10" t="str">
        <f t="shared" si="87"/>
        <v xml:space="preserve">Abbas </v>
      </c>
      <c r="M237" s="251" t="str">
        <f>"Hörmətli *"&amp;K237&amp;"*  , göstərilən xidmətə görə *"&amp;I237&amp;" AZN* borcunuz qalmışdır . Ödəniş etməyiniz xahiş olunur. Ödəniş kartı  *"&amp;Məlumatlar!$O$3&amp;"* . Hörmətlə  *AlumPro*"</f>
        <v>Hörmətli *Abbas*  , göstərilən xidmətə görə *0 AZN* borcunuz qalmışdır . Ödəniş etməyiniz xahiş olunur. Ödəniş kartı  *4098584464110962* . Hörmətlə  *AlumPro*</v>
      </c>
      <c r="N237" s="46"/>
    </row>
    <row r="238" spans="4:14" ht="17.25">
      <c r="D238" s="214" t="s">
        <v>192</v>
      </c>
      <c r="E238" s="247" t="s">
        <v>193</v>
      </c>
      <c r="F238" s="15">
        <f>COUNTIF(Sifarisler!$H$3:$H$10346,D238)</f>
        <v>8</v>
      </c>
      <c r="G238" s="248">
        <f>SUMIF(Sifarisler!$H$3:$H$10346,D238,Sifarisler!$AM$3:$AM$10346)</f>
        <v>1986</v>
      </c>
      <c r="H238" s="248">
        <f>SUMIF(Sifarisler!$H$3:$H$10346,D238,Sifarisler!$AO$3:$AO$10346)</f>
        <v>1607</v>
      </c>
      <c r="I238" s="249">
        <f>SUMIF(Sifarisler!$H$3:$H$10346,D238,Sifarisler!$AP$3:$AP$10346)</f>
        <v>377</v>
      </c>
      <c r="J238" s="250" t="str">
        <f t="shared" si="89"/>
        <v>Mesaj</v>
      </c>
      <c r="K238" s="9" t="str">
        <f t="shared" si="88"/>
        <v>Aksin</v>
      </c>
      <c r="L238" s="10" t="str">
        <f t="shared" si="87"/>
        <v xml:space="preserve">Aksin </v>
      </c>
      <c r="M238" s="251" t="str">
        <f>"Hörmətli *"&amp;K238&amp;"*  , göstərilən xidmətə görə *"&amp;I238&amp;" AZN* borcunuz qalmışdır . Ödəniş etməyiniz xahiş olunur. Ödəniş kartı  *"&amp;Məlumatlar!$O$3&amp;"* . Hörmətlə  *AlumPro*"</f>
        <v>Hörmətli *Aksin*  , göstərilən xidmətə görə *377 AZN* borcunuz qalmışdır . Ödəniş etməyiniz xahiş olunur. Ödəniş kartı  *4098584464110962* . Hörmətlə  *AlumPro*</v>
      </c>
      <c r="N238" s="46"/>
    </row>
    <row r="239" spans="4:14" ht="17.25">
      <c r="D239" s="214" t="s">
        <v>738</v>
      </c>
      <c r="E239" s="247" t="s">
        <v>739</v>
      </c>
      <c r="F239" s="15">
        <f>COUNTIF(Sifarisler!$H$3:$H$10346,D239)</f>
        <v>1</v>
      </c>
      <c r="G239" s="248">
        <f>SUMIF(Sifarisler!$H$3:$H$10346,D239,Sifarisler!$AM$3:$AM$10346)</f>
        <v>371</v>
      </c>
      <c r="H239" s="248">
        <f>SUMIF(Sifarisler!$H$3:$H$10346,D239,Sifarisler!$AO$3:$AO$10346)</f>
        <v>371</v>
      </c>
      <c r="I239" s="249">
        <f>SUMIF(Sifarisler!$H$3:$H$10346,D239,Sifarisler!$AP$3:$AP$10346)</f>
        <v>0</v>
      </c>
      <c r="J239" s="250" t="str">
        <f t="shared" si="89"/>
        <v>Mesaj</v>
      </c>
      <c r="K239" s="9" t="str">
        <f t="shared" si="88"/>
        <v>Rusdem</v>
      </c>
      <c r="L239" s="10" t="str">
        <f t="shared" si="87"/>
        <v xml:space="preserve">Rusdem </v>
      </c>
      <c r="M239" s="251" t="str">
        <f>"Hörmətli *"&amp;K239&amp;"*  , göstərilən xidmətə görə *"&amp;I239&amp;" AZN* borcunuz qalmışdır . Ödəniş etməyiniz xahiş olunur. Ödəniş kartı  *"&amp;Məlumatlar!$O$3&amp;"* . Hörmətlə  *AlumPro*"</f>
        <v>Hörmətli *Rusdem*  , göstərilən xidmətə görə *0 AZN* borcunuz qalmışdır . Ödəniş etməyiniz xahiş olunur. Ödəniş kartı  *4098584464110962* . Hörmətlə  *AlumPro*</v>
      </c>
      <c r="N239" s="46"/>
    </row>
    <row r="240" spans="4:14" ht="17.25">
      <c r="D240" s="214" t="s">
        <v>385</v>
      </c>
      <c r="E240" s="247" t="s">
        <v>386</v>
      </c>
      <c r="F240" s="15">
        <f>COUNTIF(Sifarisler!$H$3:$H$10346,D240)</f>
        <v>4</v>
      </c>
      <c r="G240" s="248">
        <f>SUMIF(Sifarisler!$H$3:$H$10346,D240,Sifarisler!$AM$3:$AM$10346)</f>
        <v>1321</v>
      </c>
      <c r="H240" s="248">
        <f>SUMIF(Sifarisler!$H$3:$H$10346,D240,Sifarisler!$AO$3:$AO$10346)</f>
        <v>720</v>
      </c>
      <c r="I240" s="249">
        <f>SUMIF(Sifarisler!$H$3:$H$10346,D240,Sifarisler!$AP$3:$AP$10346)</f>
        <v>601</v>
      </c>
      <c r="J240" s="250" t="str">
        <f t="shared" si="89"/>
        <v>Mesaj</v>
      </c>
      <c r="K240" s="9" t="str">
        <f t="shared" si="88"/>
        <v>Ceyhun</v>
      </c>
      <c r="L240" s="10" t="str">
        <f t="shared" si="87"/>
        <v xml:space="preserve">Ceyhun </v>
      </c>
      <c r="M240" s="251" t="str">
        <f>"Hörmətli *"&amp;K240&amp;"*  , göstərilən xidmətə görə *"&amp;I240&amp;" AZN* borcunuz qalmışdır . Ödəniş etməyiniz xahiş olunur. Ödəniş kartı  *"&amp;Məlumatlar!$O$3&amp;"* . Hörmətlə  *AlumPro*"</f>
        <v>Hörmətli *Ceyhun*  , göstərilən xidmətə görə *601 AZN* borcunuz qalmışdır . Ödəniş etməyiniz xahiş olunur. Ödəniş kartı  *4098584464110962* . Hörmətlə  *AlumPro*</v>
      </c>
      <c r="N240" s="46"/>
    </row>
    <row r="241" spans="4:14" ht="17.25">
      <c r="D241" s="214" t="s">
        <v>742</v>
      </c>
      <c r="E241" s="247" t="s">
        <v>743</v>
      </c>
      <c r="F241" s="15">
        <f>COUNTIF(Sifarisler!$H$3:$H$10346,D241)</f>
        <v>1</v>
      </c>
      <c r="G241" s="248">
        <f>SUMIF(Sifarisler!$H$3:$H$10346,D241,Sifarisler!$AM$3:$AM$10346)</f>
        <v>220</v>
      </c>
      <c r="H241" s="248">
        <f>SUMIF(Sifarisler!$H$3:$H$10346,D241,Sifarisler!$AO$3:$AO$10346)</f>
        <v>220</v>
      </c>
      <c r="I241" s="249">
        <f>SUMIF(Sifarisler!$H$3:$H$10346,D241,Sifarisler!$AP$3:$AP$10346)</f>
        <v>0</v>
      </c>
      <c r="J241" s="250" t="str">
        <f t="shared" si="89"/>
        <v>Mesaj</v>
      </c>
      <c r="K241" s="9" t="str">
        <f t="shared" si="88"/>
        <v>Ilkin</v>
      </c>
      <c r="L241" s="10" t="str">
        <f t="shared" si="87"/>
        <v xml:space="preserve">Ilkin </v>
      </c>
      <c r="M241" s="251" t="str">
        <f>"Hörmətli *"&amp;K241&amp;"*  , göstərilən xidmətə görə *"&amp;I241&amp;" AZN* borcunuz qalmışdır . Ödəniş etməyiniz xahiş olunur. Ödəniş kartı  *"&amp;Məlumatlar!$O$3&amp;"* . Hörmətlə  *AlumPro*"</f>
        <v>Hörmətli *Ilkin*  , göstərilən xidmətə görə *0 AZN* borcunuz qalmışdır . Ödəniş etməyiniz xahiş olunur. Ödəniş kartı  *4098584464110962* . Hörmətlə  *AlumPro*</v>
      </c>
      <c r="N241" s="46"/>
    </row>
    <row r="242" spans="4:14" ht="17.25">
      <c r="D242" s="214" t="s">
        <v>1149</v>
      </c>
      <c r="E242" s="247" t="s">
        <v>1150</v>
      </c>
      <c r="F242" s="15">
        <f>COUNTIF(Sifarisler!$H$3:$H$10346,D242)</f>
        <v>0</v>
      </c>
      <c r="G242" s="248">
        <f>SUMIF(Sifarisler!$H$3:$H$10346,D242,Sifarisler!$AM$3:$AM$10346)</f>
        <v>0</v>
      </c>
      <c r="H242" s="248">
        <f>SUMIF(Sifarisler!$H$3:$H$10346,D242,Sifarisler!$AO$3:$AO$10346)</f>
        <v>0</v>
      </c>
      <c r="I242" s="249">
        <f>SUMIF(Sifarisler!$H$3:$H$10346,D242,Sifarisler!$AP$3:$AP$10346)</f>
        <v>0</v>
      </c>
      <c r="J242" s="250" t="str">
        <f t="shared" si="89"/>
        <v>Mesaj</v>
      </c>
      <c r="K242" s="9" t="str">
        <f t="shared" si="88"/>
        <v>Seid</v>
      </c>
      <c r="L242" s="10" t="str">
        <f t="shared" si="87"/>
        <v xml:space="preserve">Seid </v>
      </c>
      <c r="M242" s="251" t="str">
        <f>"Hörmətli *"&amp;K242&amp;"*  , göstərilən xidmətə görə *"&amp;I242&amp;" AZN* borcunuz qalmışdır . Ödəniş etməyiniz xahiş olunur. Ödəniş kartı  *"&amp;Məlumatlar!$O$3&amp;"* . Hörmətlə  *AlumPro*"</f>
        <v>Hörmətli *Seid*  , göstərilən xidmətə görə *0 AZN* borcunuz qalmışdır . Ödəniş etməyiniz xahiş olunur. Ödəniş kartı  *4098584464110962* . Hörmətlə  *AlumPro*</v>
      </c>
      <c r="N242" s="46"/>
    </row>
    <row r="243" spans="4:14" ht="17.25">
      <c r="D243" s="214" t="s">
        <v>633</v>
      </c>
      <c r="E243" s="247" t="s">
        <v>634</v>
      </c>
      <c r="F243" s="15">
        <f>COUNTIF(Sifarisler!$H$3:$H$10346,D243)</f>
        <v>5</v>
      </c>
      <c r="G243" s="248">
        <f>SUMIF(Sifarisler!$H$3:$H$10346,D243,Sifarisler!$AM$3:$AM$10346)</f>
        <v>845</v>
      </c>
      <c r="H243" s="248">
        <f>SUMIF(Sifarisler!$H$3:$H$10346,D243,Sifarisler!$AO$3:$AO$10346)</f>
        <v>845</v>
      </c>
      <c r="I243" s="249">
        <f>SUMIF(Sifarisler!$H$3:$H$10346,D243,Sifarisler!$AP$3:$AP$10346)</f>
        <v>0</v>
      </c>
      <c r="J243" s="250" t="str">
        <f t="shared" si="89"/>
        <v>Mesaj</v>
      </c>
      <c r="K243" s="9" t="str">
        <f t="shared" si="88"/>
        <v>Soltan</v>
      </c>
      <c r="L243" s="10" t="str">
        <f t="shared" si="87"/>
        <v xml:space="preserve">Soltan </v>
      </c>
      <c r="M243" s="251" t="str">
        <f>"Hörmətli *"&amp;K243&amp;"*  , göstərilən xidmətə görə *"&amp;I243&amp;" AZN* borcunuz qalmışdır . Ödəniş etməyiniz xahiş olunur. Ödəniş kartı  *"&amp;Məlumatlar!$O$3&amp;"* . Hörmətlə  *AlumPro*"</f>
        <v>Hörmətli *Soltan*  , göstərilən xidmətə görə *0 AZN* borcunuz qalmışdır . Ödəniş etməyiniz xahiş olunur. Ödəniş kartı  *4098584464110962* . Hörmətlə  *AlumPro*</v>
      </c>
      <c r="N243" s="46"/>
    </row>
    <row r="244" spans="4:14" ht="17.25">
      <c r="D244" s="214" t="s">
        <v>725</v>
      </c>
      <c r="E244" s="247" t="s">
        <v>726</v>
      </c>
      <c r="F244" s="15">
        <f>COUNTIF(Sifarisler!$H$3:$H$10346,D244)</f>
        <v>1</v>
      </c>
      <c r="G244" s="248">
        <f>SUMIF(Sifarisler!$H$3:$H$10346,D244,Sifarisler!$AM$3:$AM$10346)</f>
        <v>92</v>
      </c>
      <c r="H244" s="248">
        <f>SUMIF(Sifarisler!$H$3:$H$10346,D244,Sifarisler!$AO$3:$AO$10346)</f>
        <v>92</v>
      </c>
      <c r="I244" s="249">
        <f>SUMIF(Sifarisler!$H$3:$H$10346,D244,Sifarisler!$AP$3:$AP$10346)</f>
        <v>0</v>
      </c>
      <c r="J244" s="250" t="str">
        <f t="shared" si="89"/>
        <v>Mesaj</v>
      </c>
      <c r="K244" s="9" t="str">
        <f t="shared" si="88"/>
        <v>Ruslan</v>
      </c>
      <c r="L244" s="10" t="str">
        <f t="shared" si="87"/>
        <v xml:space="preserve">Ruslan </v>
      </c>
      <c r="M244" s="251" t="str">
        <f>"Hörmətli *"&amp;K244&amp;"*  , göstərilən xidmətə görə *"&amp;I244&amp;" AZN* borcunuz qalmışdır . Ödəniş etməyiniz xahiş olunur. Ödəniş kartı  *"&amp;Məlumatlar!$O$3&amp;"* . Hörmətlə  *AlumPro*"</f>
        <v>Hörmətli *Ruslan*  , göstərilən xidmətə görə *0 AZN* borcunuz qalmışdır . Ödəniş etməyiniz xahiş olunur. Ödəniş kartı  *4098584464110962* . Hörmətlə  *AlumPro*</v>
      </c>
      <c r="N244" s="46"/>
    </row>
    <row r="245" spans="4:14" ht="17.25">
      <c r="D245" s="214" t="s">
        <v>1151</v>
      </c>
      <c r="E245" s="247" t="s">
        <v>1152</v>
      </c>
      <c r="F245" s="15">
        <f>COUNTIF(Sifarisler!$H$3:$H$10346,D245)</f>
        <v>0</v>
      </c>
      <c r="G245" s="248">
        <f>SUMIF(Sifarisler!$H$3:$H$10346,D245,Sifarisler!$AM$3:$AM$10346)</f>
        <v>0</v>
      </c>
      <c r="H245" s="248">
        <f>SUMIF(Sifarisler!$H$3:$H$10346,D245,Sifarisler!$AO$3:$AO$10346)</f>
        <v>0</v>
      </c>
      <c r="I245" s="249">
        <f>SUMIF(Sifarisler!$H$3:$H$10346,D245,Sifarisler!$AP$3:$AP$10346)</f>
        <v>0</v>
      </c>
      <c r="J245" s="250" t="str">
        <f t="shared" si="89"/>
        <v>Mesaj</v>
      </c>
      <c r="K245" s="9" t="str">
        <f t="shared" si="88"/>
        <v>Azer</v>
      </c>
      <c r="L245" s="10" t="str">
        <f t="shared" ref="L245:L308" si="90">LEFT(D245,FIND("*",SUBSTITUTE(D245," ","*",1)))</f>
        <v xml:space="preserve">Azer </v>
      </c>
      <c r="M245" s="251" t="str">
        <f>"Hörmətli *"&amp;K245&amp;"*  , göstərilən xidmətə görə *"&amp;I245&amp;" AZN* borcunuz qalmışdır . Ödəniş etməyiniz xahiş olunur. Ödəniş kartı  *"&amp;Məlumatlar!$O$3&amp;"* . Hörmətlə  *AlumPro*"</f>
        <v>Hörmətli *Azer*  , göstərilən xidmətə görə *0 AZN* borcunuz qalmışdır . Ödəniş etməyiniz xahiş olunur. Ödəniş kartı  *4098584464110962* . Hörmətlə  *AlumPro*</v>
      </c>
      <c r="N245" s="46"/>
    </row>
    <row r="246" spans="4:14" ht="17.25">
      <c r="D246" s="214" t="s">
        <v>728</v>
      </c>
      <c r="E246" s="247" t="s">
        <v>729</v>
      </c>
      <c r="F246" s="15">
        <f>COUNTIF(Sifarisler!$H$3:$H$10346,D246)</f>
        <v>1</v>
      </c>
      <c r="G246" s="248">
        <f>SUMIF(Sifarisler!$H$3:$H$10346,D246,Sifarisler!$AM$3:$AM$10346)</f>
        <v>565</v>
      </c>
      <c r="H246" s="248">
        <f>SUMIF(Sifarisler!$H$3:$H$10346,D246,Sifarisler!$AO$3:$AO$10346)</f>
        <v>570</v>
      </c>
      <c r="I246" s="249">
        <f>SUMIF(Sifarisler!$H$3:$H$10346,D246,Sifarisler!$AP$3:$AP$10346)</f>
        <v>-5</v>
      </c>
      <c r="J246" s="250" t="str">
        <f t="shared" si="89"/>
        <v>Mesaj</v>
      </c>
      <c r="K246" s="9" t="str">
        <f t="shared" si="88"/>
        <v>Erdal</v>
      </c>
      <c r="L246" s="10" t="str">
        <f t="shared" si="90"/>
        <v xml:space="preserve">Erdal </v>
      </c>
      <c r="M246" s="251" t="str">
        <f>"Hörmətli *"&amp;K246&amp;"*  , göstərilən xidmətə görə *"&amp;I246&amp;" AZN* borcunuz qalmışdır . Ödəniş etməyiniz xahiş olunur. Ödəniş kartı  *"&amp;Məlumatlar!$O$3&amp;"* . Hörmətlə  *AlumPro*"</f>
        <v>Hörmətli *Erdal*  , göstərilən xidmətə görə *-5 AZN* borcunuz qalmışdır . Ödəniş etməyiniz xahiş olunur. Ödəniş kartı  *4098584464110962* . Hörmətlə  *AlumPro*</v>
      </c>
      <c r="N246" s="46"/>
    </row>
    <row r="247" spans="4:14" ht="17.25">
      <c r="D247" s="214" t="s">
        <v>1153</v>
      </c>
      <c r="E247" s="247" t="s">
        <v>1154</v>
      </c>
      <c r="F247" s="15">
        <f>COUNTIF(Sifarisler!$H$3:$H$10346,D247)</f>
        <v>0</v>
      </c>
      <c r="G247" s="248">
        <f>SUMIF(Sifarisler!$H$3:$H$10346,D247,Sifarisler!$AM$3:$AM$10346)</f>
        <v>0</v>
      </c>
      <c r="H247" s="248">
        <f>SUMIF(Sifarisler!$H$3:$H$10346,D247,Sifarisler!$AO$3:$AO$10346)</f>
        <v>0</v>
      </c>
      <c r="I247" s="249">
        <f>SUMIF(Sifarisler!$H$3:$H$10346,D247,Sifarisler!$AP$3:$AP$10346)</f>
        <v>0</v>
      </c>
      <c r="J247" s="250" t="str">
        <f t="shared" si="89"/>
        <v>Mesaj</v>
      </c>
      <c r="K247" s="9" t="str">
        <f t="shared" si="88"/>
        <v>Ariz</v>
      </c>
      <c r="L247" s="10" t="str">
        <f t="shared" si="90"/>
        <v xml:space="preserve">Ariz </v>
      </c>
      <c r="M247" s="251" t="str">
        <f>"Hörmətli *"&amp;K247&amp;"*  , göstərilən xidmətə görə *"&amp;I247&amp;" AZN* borcunuz qalmışdır . Ödəniş etməyiniz xahiş olunur. Ödəniş kartı  *"&amp;Məlumatlar!$O$3&amp;"* . Hörmətlə  *AlumPro*"</f>
        <v>Hörmətli *Ariz*  , göstərilən xidmətə görə *0 AZN* borcunuz qalmışdır . Ödəniş etməyiniz xahiş olunur. Ödəniş kartı  *4098584464110962* . Hörmətlə  *AlumPro*</v>
      </c>
      <c r="N247" s="46"/>
    </row>
    <row r="248" spans="4:14" ht="17.25">
      <c r="D248" s="214" t="s">
        <v>358</v>
      </c>
      <c r="E248" s="247" t="s">
        <v>359</v>
      </c>
      <c r="F248" s="15">
        <f>COUNTIF(Sifarisler!$H$3:$H$10346,D248)</f>
        <v>2</v>
      </c>
      <c r="G248" s="248">
        <f>SUMIF(Sifarisler!$H$3:$H$10346,D248,Sifarisler!$AM$3:$AM$10346)</f>
        <v>472</v>
      </c>
      <c r="H248" s="248">
        <f>SUMIF(Sifarisler!$H$3:$H$10346,D248,Sifarisler!$AO$3:$AO$10346)</f>
        <v>200</v>
      </c>
      <c r="I248" s="249">
        <f>SUMIF(Sifarisler!$H$3:$H$10346,D248,Sifarisler!$AP$3:$AP$10346)</f>
        <v>272</v>
      </c>
      <c r="J248" s="250" t="str">
        <f t="shared" si="89"/>
        <v>Mesaj</v>
      </c>
      <c r="K248" s="9" t="str">
        <f t="shared" ref="K248:K309" si="91">SUBSTITUTE(L248," ","")</f>
        <v>Ilqar</v>
      </c>
      <c r="L248" s="10" t="str">
        <f t="shared" si="90"/>
        <v xml:space="preserve">Ilqar </v>
      </c>
      <c r="M248" s="251" t="str">
        <f>"Hörmətli *"&amp;K248&amp;"*  , göstərilən xidmətə görə *"&amp;I248&amp;" AZN* borcunuz qalmışdır . Ödəniş etməyiniz xahiş olunur. Ödəniş kartı  *"&amp;Məlumatlar!$O$3&amp;"* . Hörmətlə  *AlumPro*"</f>
        <v>Hörmətli *Ilqar*  , göstərilən xidmətə görə *272 AZN* borcunuz qalmışdır . Ödəniş etməyiniz xahiş olunur. Ödəniş kartı  *4098584464110962* . Hörmətlə  *AlumPro*</v>
      </c>
      <c r="N248" s="46"/>
    </row>
    <row r="249" spans="4:14" ht="17.25">
      <c r="D249" s="214" t="s">
        <v>561</v>
      </c>
      <c r="E249" s="247" t="s">
        <v>562</v>
      </c>
      <c r="F249" s="15">
        <f>COUNTIF(Sifarisler!$H$3:$H$10346,D249)</f>
        <v>3</v>
      </c>
      <c r="G249" s="248">
        <f>SUMIF(Sifarisler!$H$3:$H$10346,D249,Sifarisler!$AM$3:$AM$10346)</f>
        <v>2558</v>
      </c>
      <c r="H249" s="248">
        <f>SUMIF(Sifarisler!$H$3:$H$10346,D249,Sifarisler!$AO$3:$AO$10346)</f>
        <v>2558</v>
      </c>
      <c r="I249" s="249">
        <f>SUMIF(Sifarisler!$H$3:$H$10346,D249,Sifarisler!$AP$3:$AP$10346)</f>
        <v>0</v>
      </c>
      <c r="J249" s="250" t="str">
        <f t="shared" si="89"/>
        <v>Mesaj</v>
      </c>
      <c r="K249" s="9" t="str">
        <f t="shared" si="91"/>
        <v>Eli</v>
      </c>
      <c r="L249" s="10" t="str">
        <f t="shared" si="90"/>
        <v xml:space="preserve">Eli </v>
      </c>
      <c r="M249" s="251" t="str">
        <f>"Hörmətli *"&amp;K249&amp;"*  , göstərilən xidmətə görə *"&amp;I249&amp;" AZN* borcunuz qalmışdır . Ödəniş etməyiniz xahiş olunur. Ödəniş kartı  *"&amp;Məlumatlar!$O$3&amp;"* . Hörmətlə  *AlumPro*"</f>
        <v>Hörmətli *Eli*  , göstərilən xidmətə görə *0 AZN* borcunuz qalmışdır . Ödəniş etməyiniz xahiş olunur. Ödəniş kartı  *4098584464110962* . Hörmətlə  *AlumPro*</v>
      </c>
      <c r="N249" s="46"/>
    </row>
    <row r="250" spans="4:14" ht="17.25">
      <c r="D250" s="214" t="s">
        <v>774</v>
      </c>
      <c r="E250" s="247" t="s">
        <v>775</v>
      </c>
      <c r="F250" s="15">
        <f>COUNTIF(Sifarisler!$H$3:$H$10346,D250)</f>
        <v>1</v>
      </c>
      <c r="G250" s="248">
        <f>SUMIF(Sifarisler!$H$3:$H$10346,D250,Sifarisler!$AM$3:$AM$10346)</f>
        <v>220</v>
      </c>
      <c r="H250" s="248">
        <f>SUMIF(Sifarisler!$H$3:$H$10346,D250,Sifarisler!$AO$3:$AO$10346)</f>
        <v>220</v>
      </c>
      <c r="I250" s="249">
        <f>SUMIF(Sifarisler!$H$3:$H$10346,D250,Sifarisler!$AP$3:$AP$10346)</f>
        <v>0</v>
      </c>
      <c r="J250" s="250" t="str">
        <f t="shared" si="89"/>
        <v>Mesaj</v>
      </c>
      <c r="K250" s="9" t="str">
        <f t="shared" si="91"/>
        <v>Kenan</v>
      </c>
      <c r="L250" s="10" t="str">
        <f t="shared" si="90"/>
        <v xml:space="preserve">Kenan </v>
      </c>
      <c r="M250" s="251" t="str">
        <f>"Hörmətli *"&amp;K250&amp;"*  , göstərilən xidmətə görə *"&amp;I250&amp;" AZN* borcunuz qalmışdır . Ödəniş etməyiniz xahiş olunur. Ödəniş kartı  *"&amp;Məlumatlar!$O$3&amp;"* . Hörmətlə  *AlumPro*"</f>
        <v>Hörmətli *Kenan*  , göstərilən xidmətə görə *0 AZN* borcunuz qalmışdır . Ödəniş etməyiniz xahiş olunur. Ödəniş kartı  *4098584464110962* . Hörmətlə  *AlumPro*</v>
      </c>
      <c r="N250" s="46"/>
    </row>
    <row r="251" spans="4:14" ht="17.25">
      <c r="D251" s="214" t="s">
        <v>1155</v>
      </c>
      <c r="E251" s="247" t="s">
        <v>1156</v>
      </c>
      <c r="F251" s="15">
        <f>COUNTIF(Sifarisler!$H$3:$H$10346,D251)</f>
        <v>0</v>
      </c>
      <c r="G251" s="248">
        <f>SUMIF(Sifarisler!$H$3:$H$10346,D251,Sifarisler!$AM$3:$AM$10346)</f>
        <v>0</v>
      </c>
      <c r="H251" s="248">
        <f>SUMIF(Sifarisler!$H$3:$H$10346,D251,Sifarisler!$AO$3:$AO$10346)</f>
        <v>0</v>
      </c>
      <c r="I251" s="249">
        <f>SUMIF(Sifarisler!$H$3:$H$10346,D251,Sifarisler!$AP$3:$AP$10346)</f>
        <v>0</v>
      </c>
      <c r="J251" s="250" t="str">
        <f t="shared" si="89"/>
        <v>Mesaj</v>
      </c>
      <c r="K251" s="9" t="str">
        <f t="shared" si="91"/>
        <v>Elshad</v>
      </c>
      <c r="L251" s="10" t="str">
        <f t="shared" si="90"/>
        <v xml:space="preserve">Elshad </v>
      </c>
      <c r="M251" s="251" t="str">
        <f>"Hörmətli *"&amp;K251&amp;"*  , göstərilən xidmətə görə *"&amp;I251&amp;" AZN* borcunuz qalmışdır . Ödəniş etməyiniz xahiş olunur. Ödəniş kartı  *"&amp;Məlumatlar!$O$3&amp;"* . Hörmətlə  *AlumPro*"</f>
        <v>Hörmətli *Elshad*  , göstərilən xidmətə görə *0 AZN* borcunuz qalmışdır . Ödəniş etməyiniz xahiş olunur. Ödəniş kartı  *4098584464110962* . Hörmətlə  *AlumPro*</v>
      </c>
      <c r="N251" s="46"/>
    </row>
    <row r="252" spans="4:14" ht="17.25">
      <c r="D252" s="214" t="s">
        <v>801</v>
      </c>
      <c r="E252" s="247" t="s">
        <v>802</v>
      </c>
      <c r="F252" s="15">
        <f>COUNTIF(Sifarisler!$H$3:$H$10346,D252)</f>
        <v>1</v>
      </c>
      <c r="G252" s="248">
        <f>SUMIF(Sifarisler!$H$3:$H$10346,D252,Sifarisler!$AM$3:$AM$10346)</f>
        <v>96</v>
      </c>
      <c r="H252" s="248">
        <f>SUMIF(Sifarisler!$H$3:$H$10346,D252,Sifarisler!$AO$3:$AO$10346)</f>
        <v>96</v>
      </c>
      <c r="I252" s="249">
        <f>SUMIF(Sifarisler!$H$3:$H$10346,D252,Sifarisler!$AP$3:$AP$10346)</f>
        <v>0</v>
      </c>
      <c r="J252" s="250" t="str">
        <f t="shared" si="89"/>
        <v>Mesaj</v>
      </c>
      <c r="K252" s="9" t="str">
        <f t="shared" si="91"/>
        <v>Ceyhun</v>
      </c>
      <c r="L252" s="10" t="str">
        <f t="shared" si="90"/>
        <v xml:space="preserve">Ceyhun </v>
      </c>
      <c r="M252" s="251" t="str">
        <f>"Hörmətli *"&amp;K252&amp;"*  , göstərilən xidmətə görə *"&amp;I252&amp;" AZN* borcunuz qalmışdır . Ödəniş etməyiniz xahiş olunur. Ödəniş kartı  *"&amp;Məlumatlar!$O$3&amp;"* . Hörmətlə  *AlumPro*"</f>
        <v>Hörmətli *Ceyhun*  , göstərilən xidmətə görə *0 AZN* borcunuz qalmışdır . Ödəniş etməyiniz xahiş olunur. Ödəniş kartı  *4098584464110962* . Hörmətlə  *AlumPro*</v>
      </c>
      <c r="N252" s="46"/>
    </row>
    <row r="253" spans="4:14" ht="17.25">
      <c r="D253" s="214" t="s">
        <v>412</v>
      </c>
      <c r="E253" s="247" t="s">
        <v>413</v>
      </c>
      <c r="F253" s="15">
        <f>COUNTIF(Sifarisler!$H$3:$H$10346,D253)</f>
        <v>5</v>
      </c>
      <c r="G253" s="248">
        <f>SUMIF(Sifarisler!$H$3:$H$10346,D253,Sifarisler!$AM$3:$AM$10346)</f>
        <v>2766</v>
      </c>
      <c r="H253" s="248">
        <f>SUMIF(Sifarisler!$H$3:$H$10346,D253,Sifarisler!$AO$3:$AO$10346)</f>
        <v>2345</v>
      </c>
      <c r="I253" s="249">
        <f>SUMIF(Sifarisler!$H$3:$H$10346,D253,Sifarisler!$AP$3:$AP$10346)</f>
        <v>360</v>
      </c>
      <c r="J253" s="250" t="str">
        <f t="shared" si="89"/>
        <v>Mesaj</v>
      </c>
      <c r="K253" s="9" t="str">
        <f t="shared" si="91"/>
        <v>Hikmet</v>
      </c>
      <c r="L253" s="10" t="str">
        <f t="shared" si="90"/>
        <v xml:space="preserve">Hikmet </v>
      </c>
      <c r="M253" s="251" t="str">
        <f>"Hörmətli *"&amp;K253&amp;"*  , göstərilən xidmətə görə *"&amp;I253&amp;" AZN* borcunuz qalmışdır . Ödəniş etməyiniz xahiş olunur. Ödəniş kartı  *"&amp;Məlumatlar!$O$3&amp;"* . Hörmətlə  *AlumPro*"</f>
        <v>Hörmətli *Hikmet*  , göstərilən xidmətə görə *360 AZN* borcunuz qalmışdır . Ödəniş etməyiniz xahiş olunur. Ödəniş kartı  *4098584464110962* . Hörmətlə  *AlumPro*</v>
      </c>
      <c r="N253" s="46"/>
    </row>
    <row r="254" spans="4:14" ht="17.25">
      <c r="D254" s="214" t="s">
        <v>1157</v>
      </c>
      <c r="E254" s="247" t="s">
        <v>1158</v>
      </c>
      <c r="F254" s="15">
        <f>COUNTIF(Sifarisler!$H$3:$H$10346,D254)</f>
        <v>0</v>
      </c>
      <c r="G254" s="248">
        <f>SUMIF(Sifarisler!$H$3:$H$10346,D254,Sifarisler!$AM$3:$AM$10346)</f>
        <v>0</v>
      </c>
      <c r="H254" s="248">
        <f>SUMIF(Sifarisler!$H$3:$H$10346,D254,Sifarisler!$AO$3:$AO$10346)</f>
        <v>0</v>
      </c>
      <c r="I254" s="249">
        <f>SUMIF(Sifarisler!$H$3:$H$10346,D254,Sifarisler!$AP$3:$AP$10346)</f>
        <v>0</v>
      </c>
      <c r="J254" s="250" t="str">
        <f t="shared" si="89"/>
        <v>Mesaj</v>
      </c>
      <c r="K254" s="9" t="str">
        <f t="shared" si="91"/>
        <v>Turkes</v>
      </c>
      <c r="L254" s="10" t="str">
        <f t="shared" si="90"/>
        <v xml:space="preserve">Turkes </v>
      </c>
      <c r="M254" s="251" t="str">
        <f>"Hörmətli *"&amp;K254&amp;"*  , göstərilən xidmətə görə *"&amp;I254&amp;" AZN* borcunuz qalmışdır . Ödəniş etməyiniz xahiş olunur. Ödəniş kartı  *"&amp;Məlumatlar!$O$3&amp;"* . Hörmətlə  *AlumPro*"</f>
        <v>Hörmətli *Turkes*  , göstərilən xidmətə görə *0 AZN* borcunuz qalmışdır . Ödəniş etməyiniz xahiş olunur. Ödəniş kartı  *4098584464110962* . Hörmətlə  *AlumPro*</v>
      </c>
      <c r="N254" s="46"/>
    </row>
    <row r="255" spans="4:14" ht="17.25">
      <c r="D255" s="214" t="s">
        <v>1159</v>
      </c>
      <c r="E255" s="247" t="s">
        <v>1160</v>
      </c>
      <c r="F255" s="15">
        <f>COUNTIF(Sifarisler!$H$3:$H$10346,D255)</f>
        <v>0</v>
      </c>
      <c r="G255" s="248">
        <f>SUMIF(Sifarisler!$H$3:$H$10346,D255,Sifarisler!$AM$3:$AM$10346)</f>
        <v>0</v>
      </c>
      <c r="H255" s="248">
        <f>SUMIF(Sifarisler!$H$3:$H$10346,D255,Sifarisler!$AO$3:$AO$10346)</f>
        <v>0</v>
      </c>
      <c r="I255" s="249">
        <f>SUMIF(Sifarisler!$H$3:$H$10346,D255,Sifarisler!$AP$3:$AP$10346)</f>
        <v>0</v>
      </c>
      <c r="J255" s="250" t="str">
        <f t="shared" si="89"/>
        <v>Mesaj</v>
      </c>
      <c r="K255" s="9" t="str">
        <f t="shared" si="91"/>
        <v>Eyyub</v>
      </c>
      <c r="L255" s="10" t="str">
        <f t="shared" si="90"/>
        <v xml:space="preserve">Eyyub </v>
      </c>
      <c r="M255" s="251" t="str">
        <f>"Hörmətli *"&amp;K255&amp;"*  , göstərilən xidmətə görə *"&amp;I255&amp;" AZN* borcunuz qalmışdır . Ödəniş etməyiniz xahiş olunur. Ödəniş kartı  *"&amp;Məlumatlar!$O$3&amp;"* . Hörmətlə  *AlumPro*"</f>
        <v>Hörmətli *Eyyub*  , göstərilən xidmətə görə *0 AZN* borcunuz qalmışdır . Ödəniş etməyiniz xahiş olunur. Ödəniş kartı  *4098584464110962* . Hörmətlə  *AlumPro*</v>
      </c>
      <c r="N255" s="46"/>
    </row>
    <row r="256" spans="4:14" ht="17.25">
      <c r="D256" s="214" t="s">
        <v>627</v>
      </c>
      <c r="E256" s="247" t="s">
        <v>628</v>
      </c>
      <c r="F256" s="15">
        <f>COUNTIF(Sifarisler!$H$3:$H$10346,D256)</f>
        <v>1</v>
      </c>
      <c r="G256" s="248">
        <f>SUMIF(Sifarisler!$H$3:$H$10346,D256,Sifarisler!$AM$3:$AM$10346)</f>
        <v>367</v>
      </c>
      <c r="H256" s="248">
        <f>SUMIF(Sifarisler!$H$3:$H$10346,D256,Sifarisler!$AO$3:$AO$10346)</f>
        <v>370</v>
      </c>
      <c r="I256" s="249">
        <f>SUMIF(Sifarisler!$H$3:$H$10346,D256,Sifarisler!$AP$3:$AP$10346)</f>
        <v>-3</v>
      </c>
      <c r="J256" s="250" t="str">
        <f t="shared" si="89"/>
        <v>Mesaj</v>
      </c>
      <c r="K256" s="9" t="str">
        <f t="shared" si="91"/>
        <v>Hakim</v>
      </c>
      <c r="L256" s="10" t="str">
        <f t="shared" si="90"/>
        <v xml:space="preserve">Hakim </v>
      </c>
      <c r="M256" s="251" t="str">
        <f>"Hörmətli *"&amp;K256&amp;"*  , göstərilən xidmətə görə *"&amp;I256&amp;" AZN* borcunuz qalmışdır . Ödəniş etməyiniz xahiş olunur. Ödəniş kartı  *"&amp;Məlumatlar!$O$3&amp;"* . Hörmətlə  *AlumPro*"</f>
        <v>Hörmətli *Hakim*  , göstərilən xidmətə görə *-3 AZN* borcunuz qalmışdır . Ödəniş etməyiniz xahiş olunur. Ödəniş kartı  *4098584464110962* . Hörmətlə  *AlumPro*</v>
      </c>
      <c r="N256" s="46"/>
    </row>
    <row r="257" spans="4:14" ht="17.25">
      <c r="D257" s="214" t="s">
        <v>1161</v>
      </c>
      <c r="E257" s="247" t="s">
        <v>857</v>
      </c>
      <c r="F257" s="15">
        <f>COUNTIF(Sifarisler!$H$3:$H$10346,D257)</f>
        <v>0</v>
      </c>
      <c r="G257" s="248">
        <f>SUMIF(Sifarisler!$H$3:$H$10346,D257,Sifarisler!$AM$3:$AM$10346)</f>
        <v>0</v>
      </c>
      <c r="H257" s="248">
        <f>SUMIF(Sifarisler!$H$3:$H$10346,D257,Sifarisler!$AO$3:$AO$10346)</f>
        <v>0</v>
      </c>
      <c r="I257" s="249">
        <f>SUMIF(Sifarisler!$H$3:$H$10346,D257,Sifarisler!$AP$3:$AP$10346)</f>
        <v>0</v>
      </c>
      <c r="J257" s="250" t="str">
        <f t="shared" si="89"/>
        <v>Mesaj</v>
      </c>
      <c r="K257" s="9" t="str">
        <f t="shared" si="91"/>
        <v>Elsen</v>
      </c>
      <c r="L257" s="10" t="str">
        <f t="shared" si="90"/>
        <v xml:space="preserve">Elsen </v>
      </c>
      <c r="M257" s="251" t="str">
        <f>"Hörmətli *"&amp;K257&amp;"*  , göstərilən xidmətə görə *"&amp;I257&amp;" AZN* borcunuz qalmışdır . Ödəniş etməyiniz xahiş olunur. Ödəniş kartı  *"&amp;Məlumatlar!$O$3&amp;"* . Hörmətlə  *AlumPro*"</f>
        <v>Hörmətli *Elsen*  , göstərilən xidmətə görə *0 AZN* borcunuz qalmışdır . Ödəniş etməyiniz xahiş olunur. Ödəniş kartı  *4098584464110962* . Hörmətlə  *AlumPro*</v>
      </c>
      <c r="N257" s="46"/>
    </row>
    <row r="258" spans="4:14" ht="17.25">
      <c r="D258" s="214" t="s">
        <v>127</v>
      </c>
      <c r="E258" s="247" t="s">
        <v>128</v>
      </c>
      <c r="F258" s="15">
        <f>COUNTIF(Sifarisler!$H$3:$H$10346,D258)</f>
        <v>3</v>
      </c>
      <c r="G258" s="248">
        <f>SUMIF(Sifarisler!$H$3:$H$10346,D258,Sifarisler!$AM$3:$AM$10346)</f>
        <v>995</v>
      </c>
      <c r="H258" s="248">
        <f>SUMIF(Sifarisler!$H$3:$H$10346,D258,Sifarisler!$AO$3:$AO$10346)</f>
        <v>540</v>
      </c>
      <c r="I258" s="249">
        <f>SUMIF(Sifarisler!$H$3:$H$10346,D258,Sifarisler!$AP$3:$AP$10346)</f>
        <v>455</v>
      </c>
      <c r="J258" s="250" t="str">
        <f t="shared" si="89"/>
        <v>Mesaj</v>
      </c>
      <c r="K258" s="9" t="str">
        <f t="shared" si="91"/>
        <v>Ehed</v>
      </c>
      <c r="L258" s="10" t="str">
        <f t="shared" si="90"/>
        <v xml:space="preserve">Ehed </v>
      </c>
      <c r="M258" s="251" t="str">
        <f>"Hörmətli *"&amp;K258&amp;"*  , göstərilən xidmətə görə *"&amp;I258&amp;" AZN* borcunuz qalmışdır . Ödəniş etməyiniz xahiş olunur. Ödəniş kartı  *"&amp;Məlumatlar!$O$3&amp;"* . Hörmətlə  *AlumPro*"</f>
        <v>Hörmətli *Ehed*  , göstərilən xidmətə görə *455 AZN* borcunuz qalmışdır . Ödəniş etməyiniz xahiş olunur. Ödəniş kartı  *4098584464110962* . Hörmətlə  *AlumPro*</v>
      </c>
      <c r="N258" s="46"/>
    </row>
    <row r="259" spans="4:14" ht="17.25">
      <c r="D259" s="214" t="s">
        <v>1162</v>
      </c>
      <c r="E259" s="247" t="s">
        <v>1163</v>
      </c>
      <c r="F259" s="15">
        <f>COUNTIF(Sifarisler!$H$3:$H$10346,D259)</f>
        <v>0</v>
      </c>
      <c r="G259" s="248">
        <f>SUMIF(Sifarisler!$H$3:$H$10346,D259,Sifarisler!$AM$3:$AM$10346)</f>
        <v>0</v>
      </c>
      <c r="H259" s="248">
        <f>SUMIF(Sifarisler!$H$3:$H$10346,D259,Sifarisler!$AO$3:$AO$10346)</f>
        <v>0</v>
      </c>
      <c r="I259" s="249">
        <f>SUMIF(Sifarisler!$H$3:$H$10346,D259,Sifarisler!$AP$3:$AP$10346)</f>
        <v>0</v>
      </c>
      <c r="J259" s="250" t="str">
        <f t="shared" ref="J259:J313" si="92">HYPERLINK("https://web.whatsapp.com/send?phone="&amp;E259&amp;"&amp;text="&amp;M259,"Mesaj")</f>
        <v>Mesaj</v>
      </c>
      <c r="K259" s="9" t="str">
        <f t="shared" si="91"/>
        <v>Elxan</v>
      </c>
      <c r="L259" s="10" t="str">
        <f t="shared" si="90"/>
        <v xml:space="preserve">Elxan </v>
      </c>
      <c r="M259" s="251" t="str">
        <f>"Hörmətli *"&amp;K259&amp;"*  , göstərilən xidmətə görə *"&amp;I259&amp;" AZN* borcunuz qalmışdır . Ödəniş etməyiniz xahiş olunur. Ödəniş kartı  *"&amp;Məlumatlar!$O$3&amp;"* . Hörmətlə  *AlumPro*"</f>
        <v>Hörmətli *Elxan*  , göstərilən xidmətə görə *0 AZN* borcunuz qalmışdır . Ödəniş etməyiniz xahiş olunur. Ödəniş kartı  *4098584464110962* . Hörmətlə  *AlumPro*</v>
      </c>
      <c r="N259" s="46"/>
    </row>
    <row r="260" spans="4:14" ht="17.25">
      <c r="D260" s="214" t="s">
        <v>1164</v>
      </c>
      <c r="E260" s="247" t="s">
        <v>1165</v>
      </c>
      <c r="F260" s="15">
        <f>COUNTIF(Sifarisler!$H$3:$H$10346,D260)</f>
        <v>0</v>
      </c>
      <c r="G260" s="248">
        <f>SUMIF(Sifarisler!$H$3:$H$10346,D260,Sifarisler!$AM$3:$AM$10346)</f>
        <v>0</v>
      </c>
      <c r="H260" s="248">
        <f>SUMIF(Sifarisler!$H$3:$H$10346,D260,Sifarisler!$AO$3:$AO$10346)</f>
        <v>0</v>
      </c>
      <c r="I260" s="249">
        <f>SUMIF(Sifarisler!$H$3:$H$10346,D260,Sifarisler!$AP$3:$AP$10346)</f>
        <v>0</v>
      </c>
      <c r="J260" s="250" t="str">
        <f t="shared" si="92"/>
        <v>Mesaj</v>
      </c>
      <c r="K260" s="9" t="str">
        <f t="shared" si="91"/>
        <v>Pasha</v>
      </c>
      <c r="L260" s="10" t="str">
        <f t="shared" si="90"/>
        <v xml:space="preserve">Pasha </v>
      </c>
      <c r="M260" s="251" t="str">
        <f>"Hörmətli *"&amp;K260&amp;"*  , göstərilən xidmətə görə *"&amp;I260&amp;" AZN* borcunuz qalmışdır . Ödəniş etməyiniz xahiş olunur. Ödəniş kartı  *"&amp;Məlumatlar!$O$3&amp;"* . Hörmətlə  *AlumPro*"</f>
        <v>Hörmətli *Pasha*  , göstərilən xidmətə görə *0 AZN* borcunuz qalmışdır . Ödəniş etməyiniz xahiş olunur. Ödəniş kartı  *4098584464110962* . Hörmətlə  *AlumPro*</v>
      </c>
      <c r="N260" s="46"/>
    </row>
    <row r="261" spans="4:14" ht="17.25">
      <c r="D261" s="214" t="s">
        <v>1166</v>
      </c>
      <c r="E261" s="247" t="s">
        <v>1167</v>
      </c>
      <c r="F261" s="15">
        <f>COUNTIF(Sifarisler!$H$3:$H$10346,D261)</f>
        <v>0</v>
      </c>
      <c r="G261" s="248">
        <f>SUMIF(Sifarisler!$H$3:$H$10346,D261,Sifarisler!$AM$3:$AM$10346)</f>
        <v>0</v>
      </c>
      <c r="H261" s="248">
        <f>SUMIF(Sifarisler!$H$3:$H$10346,D261,Sifarisler!$AO$3:$AO$10346)</f>
        <v>0</v>
      </c>
      <c r="I261" s="249">
        <f>SUMIF(Sifarisler!$H$3:$H$10346,D261,Sifarisler!$AP$3:$AP$10346)</f>
        <v>0</v>
      </c>
      <c r="J261" s="250" t="str">
        <f t="shared" si="92"/>
        <v>Mesaj</v>
      </c>
      <c r="K261" s="9" t="str">
        <f t="shared" si="91"/>
        <v>Rafael</v>
      </c>
      <c r="L261" s="10" t="str">
        <f t="shared" si="90"/>
        <v xml:space="preserve">Rafael </v>
      </c>
      <c r="M261" s="251" t="str">
        <f>"Hörmətli *"&amp;K261&amp;"*  , göstərilən xidmətə görə *"&amp;I261&amp;" AZN* borcunuz qalmışdır . Ödəniş etməyiniz xahiş olunur. Ödəniş kartı  *"&amp;Məlumatlar!$O$3&amp;"* . Hörmətlə  *AlumPro*"</f>
        <v>Hörmətli *Rafael*  , göstərilən xidmətə görə *0 AZN* borcunuz qalmışdır . Ödəniş etməyiniz xahiş olunur. Ödəniş kartı  *4098584464110962* . Hörmətlə  *AlumPro*</v>
      </c>
      <c r="N261" s="46"/>
    </row>
    <row r="262" spans="4:14" ht="17.25">
      <c r="D262" s="214" t="s">
        <v>479</v>
      </c>
      <c r="E262" s="247" t="s">
        <v>480</v>
      </c>
      <c r="F262" s="15">
        <f>COUNTIF(Sifarisler!$H$3:$H$10346,D262)</f>
        <v>7</v>
      </c>
      <c r="G262" s="248">
        <f>SUMIF(Sifarisler!$H$3:$H$10346,D262,Sifarisler!$AM$3:$AM$10346)</f>
        <v>1910.5</v>
      </c>
      <c r="H262" s="248">
        <f>SUMIF(Sifarisler!$H$3:$H$10346,D262,Sifarisler!$AO$3:$AO$10346)</f>
        <v>1476</v>
      </c>
      <c r="I262" s="249">
        <f>SUMIF(Sifarisler!$H$3:$H$10346,D262,Sifarisler!$AP$3:$AP$10346)</f>
        <v>434.5</v>
      </c>
      <c r="J262" s="250" t="str">
        <f t="shared" si="92"/>
        <v>Mesaj</v>
      </c>
      <c r="K262" s="9" t="str">
        <f t="shared" si="91"/>
        <v>Zakir</v>
      </c>
      <c r="L262" s="10" t="str">
        <f t="shared" si="90"/>
        <v xml:space="preserve">Zakir </v>
      </c>
      <c r="M262" s="251" t="str">
        <f>"Hörmətli *"&amp;K262&amp;"*  , göstərilən xidmətə görə *"&amp;I262&amp;" AZN* borcunuz qalmışdır . Ödəniş etməyiniz xahiş olunur. Ödəniş kartı  *"&amp;Məlumatlar!$O$3&amp;"* . Hörmətlə  *AlumPro*"</f>
        <v>Hörmətli *Zakir*  , göstərilən xidmətə görə *434.5 AZN* borcunuz qalmışdır . Ödəniş etməyiniz xahiş olunur. Ödəniş kartı  *4098584464110962* . Hörmətlə  *AlumPro*</v>
      </c>
      <c r="N262" s="46"/>
    </row>
    <row r="263" spans="4:14" ht="17.25">
      <c r="D263" s="214" t="s">
        <v>484</v>
      </c>
      <c r="E263" s="247" t="s">
        <v>485</v>
      </c>
      <c r="F263" s="15">
        <f>COUNTIF(Sifarisler!$H$3:$H$10346,D263)</f>
        <v>2</v>
      </c>
      <c r="G263" s="248">
        <f>SUMIF(Sifarisler!$H$3:$H$10346,D263,Sifarisler!$AM$3:$AM$10346)</f>
        <v>4077</v>
      </c>
      <c r="H263" s="248">
        <f>SUMIF(Sifarisler!$H$3:$H$10346,D263,Sifarisler!$AO$3:$AO$10346)</f>
        <v>4077</v>
      </c>
      <c r="I263" s="249">
        <f>SUMIF(Sifarisler!$H$3:$H$10346,D263,Sifarisler!$AP$3:$AP$10346)</f>
        <v>0</v>
      </c>
      <c r="J263" s="250" t="str">
        <f t="shared" si="92"/>
        <v>Mesaj</v>
      </c>
      <c r="K263" s="9" t="str">
        <f t="shared" si="91"/>
        <v>Ismayil</v>
      </c>
      <c r="L263" s="10" t="str">
        <f t="shared" si="90"/>
        <v xml:space="preserve">Ismayil </v>
      </c>
      <c r="M263" s="251" t="str">
        <f>"Hörmətli *"&amp;K263&amp;"*  , göstərilən xidmətə görə *"&amp;I263&amp;" AZN* borcunuz qalmışdır . Ödəniş etməyiniz xahiş olunur. Ödəniş kartı  *"&amp;Məlumatlar!$O$3&amp;"* . Hörmətlə  *AlumPro*"</f>
        <v>Hörmətli *Ismayil*  , göstərilən xidmətə görə *0 AZN* borcunuz qalmışdır . Ödəniş etməyiniz xahiş olunur. Ödəniş kartı  *4098584464110962* . Hörmətlə  *AlumPro*</v>
      </c>
      <c r="N263" s="46"/>
    </row>
    <row r="264" spans="4:14" ht="17.25">
      <c r="D264" s="214" t="s">
        <v>1168</v>
      </c>
      <c r="E264" s="247" t="s">
        <v>1169</v>
      </c>
      <c r="F264" s="15">
        <f>COUNTIF(Sifarisler!$H$3:$H$10346,D264)</f>
        <v>0</v>
      </c>
      <c r="G264" s="248">
        <f>SUMIF(Sifarisler!$H$3:$H$10346,D264,Sifarisler!$AM$3:$AM$10346)</f>
        <v>0</v>
      </c>
      <c r="H264" s="248">
        <f>SUMIF(Sifarisler!$H$3:$H$10346,D264,Sifarisler!$AO$3:$AO$10346)</f>
        <v>0</v>
      </c>
      <c r="I264" s="249">
        <f>SUMIF(Sifarisler!$H$3:$H$10346,D264,Sifarisler!$AP$3:$AP$10346)</f>
        <v>0</v>
      </c>
      <c r="J264" s="250" t="str">
        <f t="shared" si="92"/>
        <v>Mesaj</v>
      </c>
      <c r="K264" s="9" t="str">
        <f t="shared" si="91"/>
        <v>Elsen</v>
      </c>
      <c r="L264" s="10" t="str">
        <f t="shared" si="90"/>
        <v xml:space="preserve">Elsen </v>
      </c>
      <c r="M264" s="251" t="str">
        <f>"Hörmətli *"&amp;K264&amp;"*  , göstərilən xidmətə görə *"&amp;I264&amp;" AZN* borcunuz qalmışdır . Ödəniş etməyiniz xahiş olunur. Ödəniş kartı  *"&amp;Məlumatlar!$O$3&amp;"* . Hörmətlə  *AlumPro*"</f>
        <v>Hörmətli *Elsen*  , göstərilən xidmətə görə *0 AZN* borcunuz qalmışdır . Ödəniş etməyiniz xahiş olunur. Ödəniş kartı  *4098584464110962* . Hörmətlə  *AlumPro*</v>
      </c>
      <c r="N264" s="46"/>
    </row>
    <row r="265" spans="4:14" ht="17.25">
      <c r="D265" s="214" t="s">
        <v>1170</v>
      </c>
      <c r="E265" s="247" t="s">
        <v>1171</v>
      </c>
      <c r="F265" s="15">
        <f>COUNTIF(Sifarisler!$H$3:$H$10346,D265)</f>
        <v>0</v>
      </c>
      <c r="G265" s="248">
        <f>SUMIF(Sifarisler!$H$3:$H$10346,D265,Sifarisler!$AM$3:$AM$10346)</f>
        <v>0</v>
      </c>
      <c r="H265" s="248">
        <f>SUMIF(Sifarisler!$H$3:$H$10346,D265,Sifarisler!$AO$3:$AO$10346)</f>
        <v>0</v>
      </c>
      <c r="I265" s="249">
        <f>SUMIF(Sifarisler!$H$3:$H$10346,D265,Sifarisler!$AP$3:$AP$10346)</f>
        <v>0</v>
      </c>
      <c r="J265" s="250" t="str">
        <f t="shared" si="92"/>
        <v>Mesaj</v>
      </c>
      <c r="K265" s="9" t="str">
        <f t="shared" si="91"/>
        <v>Elsen</v>
      </c>
      <c r="L265" s="10" t="str">
        <f t="shared" si="90"/>
        <v xml:space="preserve">Elsen </v>
      </c>
      <c r="M265" s="251" t="str">
        <f>"Hörmətli *"&amp;K265&amp;"*  , göstərilən xidmətə görə *"&amp;I265&amp;" AZN* borcunuz qalmışdır . Ödəniş etməyiniz xahiş olunur. Ödəniş kartı  *"&amp;Məlumatlar!$O$3&amp;"* . Hörmətlə  *AlumPro*"</f>
        <v>Hörmətli *Elsen*  , göstərilən xidmətə görə *0 AZN* borcunuz qalmışdır . Ödəniş etməyiniz xahiş olunur. Ödəniş kartı  *4098584464110962* . Hörmətlə  *AlumPro*</v>
      </c>
      <c r="N265" s="46"/>
    </row>
    <row r="266" spans="4:14" ht="17.25">
      <c r="D266" s="214" t="s">
        <v>440</v>
      </c>
      <c r="E266" s="247" t="s">
        <v>441</v>
      </c>
      <c r="F266" s="15">
        <f>COUNTIF(Sifarisler!$H$3:$H$10346,D266)</f>
        <v>2</v>
      </c>
      <c r="G266" s="248">
        <f>SUMIF(Sifarisler!$H$3:$H$10346,D266,Sifarisler!$AM$3:$AM$10346)</f>
        <v>1136</v>
      </c>
      <c r="H266" s="248">
        <f>SUMIF(Sifarisler!$H$3:$H$10346,D266,Sifarisler!$AO$3:$AO$10346)</f>
        <v>625</v>
      </c>
      <c r="I266" s="249">
        <f>SUMIF(Sifarisler!$H$3:$H$10346,D266,Sifarisler!$AP$3:$AP$10346)</f>
        <v>510</v>
      </c>
      <c r="J266" s="250" t="str">
        <f t="shared" si="92"/>
        <v>Mesaj</v>
      </c>
      <c r="K266" s="9" t="str">
        <f t="shared" si="91"/>
        <v>Elmar</v>
      </c>
      <c r="L266" s="10" t="str">
        <f t="shared" si="90"/>
        <v xml:space="preserve">Elmar </v>
      </c>
      <c r="M266" s="251" t="str">
        <f>"Hörmətli *"&amp;K266&amp;"*  , göstərilən xidmətə görə *"&amp;I266&amp;" AZN* borcunuz qalmışdır . Ödəniş etməyiniz xahiş olunur. Ödəniş kartı  *"&amp;Məlumatlar!$O$3&amp;"* . Hörmətlə  *AlumPro*"</f>
        <v>Hörmətli *Elmar*  , göstərilən xidmətə görə *510 AZN* borcunuz qalmışdır . Ödəniş etməyiniz xahiş olunur. Ödəniş kartı  *4098584464110962* . Hörmətlə  *AlumPro*</v>
      </c>
      <c r="N266" s="46"/>
    </row>
    <row r="267" spans="4:14" ht="17.25">
      <c r="D267" s="214" t="s">
        <v>1172</v>
      </c>
      <c r="E267" s="247" t="s">
        <v>1173</v>
      </c>
      <c r="F267" s="15">
        <f>COUNTIF(Sifarisler!$H$3:$H$10346,D267)</f>
        <v>0</v>
      </c>
      <c r="G267" s="248">
        <f>SUMIF(Sifarisler!$H$3:$H$10346,D267,Sifarisler!$AM$3:$AM$10346)</f>
        <v>0</v>
      </c>
      <c r="H267" s="248">
        <f>SUMIF(Sifarisler!$H$3:$H$10346,D267,Sifarisler!$AO$3:$AO$10346)</f>
        <v>0</v>
      </c>
      <c r="I267" s="249">
        <f>SUMIF(Sifarisler!$H$3:$H$10346,D267,Sifarisler!$AP$3:$AP$10346)</f>
        <v>0</v>
      </c>
      <c r="J267" s="250" t="str">
        <f t="shared" si="92"/>
        <v>Mesaj</v>
      </c>
      <c r="K267" s="9" t="str">
        <f t="shared" si="91"/>
        <v>Anar</v>
      </c>
      <c r="L267" s="10" t="str">
        <f t="shared" si="90"/>
        <v xml:space="preserve">Anar </v>
      </c>
      <c r="M267" s="251" t="str">
        <f>"Hörmətli *"&amp;K267&amp;"*  , göstərilən xidmətə görə *"&amp;I267&amp;" AZN* borcunuz qalmışdır . Ödəniş etməyiniz xahiş olunur. Ödəniş kartı  *"&amp;Məlumatlar!$O$3&amp;"* . Hörmətlə  *AlumPro*"</f>
        <v>Hörmətli *Anar*  , göstərilən xidmətə görə *0 AZN* borcunuz qalmışdır . Ödəniş etməyiniz xahiş olunur. Ödəniş kartı  *4098584464110962* . Hörmətlə  *AlumPro*</v>
      </c>
      <c r="N267" s="46"/>
    </row>
    <row r="268" spans="4:14" ht="17.25">
      <c r="D268" s="214" t="s">
        <v>376</v>
      </c>
      <c r="E268" s="247" t="s">
        <v>377</v>
      </c>
      <c r="F268" s="15">
        <f>COUNTIF(Sifarisler!$H$3:$H$10346,D268)</f>
        <v>3</v>
      </c>
      <c r="G268" s="248">
        <f>SUMIF(Sifarisler!$H$3:$H$10346,D268,Sifarisler!$AM$3:$AM$10346)</f>
        <v>8819</v>
      </c>
      <c r="H268" s="248">
        <f>SUMIF(Sifarisler!$H$3:$H$10346,D268,Sifarisler!$AO$3:$AO$10346)</f>
        <v>1078</v>
      </c>
      <c r="I268" s="249">
        <f>SUMIF(Sifarisler!$H$3:$H$10346,D268,Sifarisler!$AP$3:$AP$10346)</f>
        <v>7741</v>
      </c>
      <c r="J268" s="250" t="str">
        <f t="shared" si="92"/>
        <v>Mesaj</v>
      </c>
      <c r="K268" s="9" t="str">
        <f t="shared" si="91"/>
        <v>Behman</v>
      </c>
      <c r="L268" s="10" t="str">
        <f t="shared" si="90"/>
        <v xml:space="preserve">Behman </v>
      </c>
      <c r="M268" s="251" t="str">
        <f>"Hörmətli *"&amp;K268&amp;"*  , göstərilən xidmətə görə *"&amp;I268&amp;" AZN* borcunuz qalmışdır . Ödəniş etməyiniz xahiş olunur. Ödəniş kartı  *"&amp;Məlumatlar!$O$3&amp;"* . Hörmətlə  *AlumPro*"</f>
        <v>Hörmətli *Behman*  , göstərilən xidmətə görə *7741 AZN* borcunuz qalmışdır . Ödəniş etməyiniz xahiş olunur. Ödəniş kartı  *4098584464110962* . Hörmətlə  *AlumPro*</v>
      </c>
      <c r="N268" s="46"/>
    </row>
    <row r="269" spans="4:14" ht="17.25">
      <c r="D269" s="214" t="s">
        <v>379</v>
      </c>
      <c r="E269" s="247" t="s">
        <v>380</v>
      </c>
      <c r="F269" s="15">
        <f>COUNTIF(Sifarisler!$H$3:$H$10346,D269)</f>
        <v>1</v>
      </c>
      <c r="G269" s="248">
        <f>SUMIF(Sifarisler!$H$3:$H$10346,D269,Sifarisler!$AM$3:$AM$10346)</f>
        <v>351</v>
      </c>
      <c r="H269" s="248">
        <f>SUMIF(Sifarisler!$H$3:$H$10346,D269,Sifarisler!$AO$3:$AO$10346)</f>
        <v>351</v>
      </c>
      <c r="I269" s="249">
        <f>SUMIF(Sifarisler!$H$3:$H$10346,D269,Sifarisler!$AP$3:$AP$10346)</f>
        <v>0</v>
      </c>
      <c r="J269" s="250" t="str">
        <f t="shared" si="92"/>
        <v>Mesaj</v>
      </c>
      <c r="K269" s="9" t="str">
        <f t="shared" si="91"/>
        <v>Soltan</v>
      </c>
      <c r="L269" s="10" t="str">
        <f t="shared" si="90"/>
        <v xml:space="preserve">Soltan </v>
      </c>
      <c r="M269" s="251" t="str">
        <f>"Hörmətli *"&amp;K269&amp;"*  , göstərilən xidmətə görə *"&amp;I269&amp;" AZN* borcunuz qalmışdır . Ödəniş etməyiniz xahiş olunur. Ödəniş kartı  *"&amp;Məlumatlar!$O$3&amp;"* . Hörmətlə  *AlumPro*"</f>
        <v>Hörmətli *Soltan*  , göstərilən xidmətə görə *0 AZN* borcunuz qalmışdır . Ödəniş etməyiniz xahiş olunur. Ödəniş kartı  *4098584464110962* . Hörmətlə  *AlumPro*</v>
      </c>
      <c r="N269" s="46"/>
    </row>
    <row r="270" spans="4:14" ht="17.25">
      <c r="D270" s="214" t="s">
        <v>263</v>
      </c>
      <c r="E270" s="247" t="s">
        <v>264</v>
      </c>
      <c r="F270" s="15">
        <f>COUNTIF(Sifarisler!$H$3:$H$10346,D270)</f>
        <v>2</v>
      </c>
      <c r="G270" s="248">
        <f>SUMIF(Sifarisler!$H$3:$H$10346,D270,Sifarisler!$AM$3:$AM$10346)</f>
        <v>1170</v>
      </c>
      <c r="H270" s="248">
        <f>SUMIF(Sifarisler!$H$3:$H$10346,D270,Sifarisler!$AO$3:$AO$10346)</f>
        <v>560</v>
      </c>
      <c r="I270" s="249">
        <f>SUMIF(Sifarisler!$H$3:$H$10346,D270,Sifarisler!$AP$3:$AP$10346)</f>
        <v>610</v>
      </c>
      <c r="J270" s="250" t="str">
        <f t="shared" si="92"/>
        <v>Mesaj</v>
      </c>
      <c r="K270" s="9" t="str">
        <f t="shared" si="91"/>
        <v>Ferman</v>
      </c>
      <c r="L270" s="10" t="str">
        <f t="shared" si="90"/>
        <v xml:space="preserve">Ferman </v>
      </c>
      <c r="M270" s="251" t="str">
        <f>"Hörmətli *"&amp;K270&amp;"*  , göstərilən xidmətə görə *"&amp;I270&amp;" AZN* borcunuz qalmışdır . Ödəniş etməyiniz xahiş olunur. Ödəniş kartı  *"&amp;Məlumatlar!$O$3&amp;"* . Hörmətlə  *AlumPro*"</f>
        <v>Hörmətli *Ferman*  , göstərilən xidmətə görə *610 AZN* borcunuz qalmışdır . Ödəniş etməyiniz xahiş olunur. Ödəniş kartı  *4098584464110962* . Hörmətlə  *AlumPro*</v>
      </c>
      <c r="N270" s="46"/>
    </row>
    <row r="271" spans="4:14" ht="17.25">
      <c r="D271" s="214" t="s">
        <v>336</v>
      </c>
      <c r="E271" s="247" t="s">
        <v>337</v>
      </c>
      <c r="F271" s="15">
        <f>COUNTIF(Sifarisler!$H$3:$H$10346,D271)</f>
        <v>4</v>
      </c>
      <c r="G271" s="248">
        <f>SUMIF(Sifarisler!$H$3:$H$10346,D271,Sifarisler!$AM$3:$AM$10346)</f>
        <v>1805</v>
      </c>
      <c r="H271" s="248">
        <f>SUMIF(Sifarisler!$H$3:$H$10346,D271,Sifarisler!$AO$3:$AO$10346)</f>
        <v>1719</v>
      </c>
      <c r="I271" s="249">
        <f>SUMIF(Sifarisler!$H$3:$H$10346,D271,Sifarisler!$AP$3:$AP$10346)</f>
        <v>86</v>
      </c>
      <c r="J271" s="250" t="str">
        <f t="shared" si="92"/>
        <v>Mesaj</v>
      </c>
      <c r="K271" s="9" t="str">
        <f t="shared" si="91"/>
        <v>Eshqin</v>
      </c>
      <c r="L271" s="10" t="str">
        <f t="shared" si="90"/>
        <v xml:space="preserve">Eshqin </v>
      </c>
      <c r="M271" s="251" t="str">
        <f>"Hörmətli *"&amp;K271&amp;"*  , göstərilən xidmətə görə *"&amp;I271&amp;" AZN* borcunuz qalmışdır . Ödəniş etməyiniz xahiş olunur. Ödəniş kartı  *"&amp;Məlumatlar!$O$3&amp;"* . Hörmətlə  *AlumPro*"</f>
        <v>Hörmətli *Eshqin*  , göstərilən xidmətə görə *86 AZN* borcunuz qalmışdır . Ödəniş etməyiniz xahiş olunur. Ödəniş kartı  *4098584464110962* . Hörmətlə  *AlumPro*</v>
      </c>
      <c r="N271" s="46"/>
    </row>
    <row r="272" spans="4:14" ht="17.25">
      <c r="D272" s="214" t="s">
        <v>272</v>
      </c>
      <c r="E272" s="247" t="s">
        <v>273</v>
      </c>
      <c r="F272" s="15">
        <f>COUNTIF(Sifarisler!$H$3:$H$10346,D272)</f>
        <v>10</v>
      </c>
      <c r="G272" s="248">
        <f>SUMIF(Sifarisler!$H$3:$H$10346,D272,Sifarisler!$AM$3:$AM$10346)</f>
        <v>3451</v>
      </c>
      <c r="H272" s="248">
        <f>SUMIF(Sifarisler!$H$3:$H$10346,D272,Sifarisler!$AO$3:$AO$10346)</f>
        <v>3190</v>
      </c>
      <c r="I272" s="249">
        <f>SUMIF(Sifarisler!$H$3:$H$10346,D272,Sifarisler!$AP$3:$AP$10346)</f>
        <v>260</v>
      </c>
      <c r="J272" s="250" t="str">
        <f t="shared" si="92"/>
        <v>Mesaj</v>
      </c>
      <c r="K272" s="9" t="str">
        <f t="shared" si="91"/>
        <v>Resad</v>
      </c>
      <c r="L272" s="10" t="str">
        <f t="shared" si="90"/>
        <v xml:space="preserve">Resad </v>
      </c>
      <c r="M272" s="251" t="str">
        <f>"Hörmətli *"&amp;K272&amp;"*  , göstərilən xidmətə görə *"&amp;I272&amp;" AZN* borcunuz qalmışdır . Ödəniş etməyiniz xahiş olunur. Ödəniş kartı  *"&amp;Məlumatlar!$O$3&amp;"* . Hörmətlə  *AlumPro*"</f>
        <v>Hörmətli *Resad*  , göstərilən xidmətə görə *260 AZN* borcunuz qalmışdır . Ödəniş etməyiniz xahiş olunur. Ödəniş kartı  *4098584464110962* . Hörmətlə  *AlumPro*</v>
      </c>
      <c r="N272" s="46"/>
    </row>
    <row r="273" spans="4:14" ht="17.25">
      <c r="D273" s="214" t="s">
        <v>290</v>
      </c>
      <c r="E273" s="247" t="s">
        <v>291</v>
      </c>
      <c r="F273" s="15">
        <f>COUNTIF(Sifarisler!$H$3:$H$10346,D273)</f>
        <v>3</v>
      </c>
      <c r="G273" s="248">
        <f>SUMIF(Sifarisler!$H$3:$H$10346,D273,Sifarisler!$AM$3:$AM$10346)</f>
        <v>586</v>
      </c>
      <c r="H273" s="248">
        <f>SUMIF(Sifarisler!$H$3:$H$10346,D273,Sifarisler!$AO$3:$AO$10346)</f>
        <v>508</v>
      </c>
      <c r="I273" s="249">
        <f>SUMIF(Sifarisler!$H$3:$H$10346,D273,Sifarisler!$AP$3:$AP$10346)</f>
        <v>78</v>
      </c>
      <c r="J273" s="250" t="str">
        <f t="shared" si="92"/>
        <v>Mesaj</v>
      </c>
      <c r="K273" s="9" t="str">
        <f t="shared" si="91"/>
        <v>Vaqif</v>
      </c>
      <c r="L273" s="10" t="str">
        <f t="shared" si="90"/>
        <v xml:space="preserve">Vaqif </v>
      </c>
      <c r="M273" s="251" t="str">
        <f>"Hörmətli *"&amp;K273&amp;"*  , göstərilən xidmətə görə *"&amp;I273&amp;" AZN* borcunuz qalmışdır . Ödəniş etməyiniz xahiş olunur. Ödəniş kartı  *"&amp;Məlumatlar!$O$3&amp;"* . Hörmətlə  *AlumPro*"</f>
        <v>Hörmətli *Vaqif*  , göstərilən xidmətə görə *78 AZN* borcunuz qalmışdır . Ödəniş etməyiniz xahiş olunur. Ödəniş kartı  *4098584464110962* . Hörmətlə  *AlumPro*</v>
      </c>
      <c r="N273" s="46"/>
    </row>
    <row r="274" spans="4:14" ht="17.25">
      <c r="D274" s="214" t="s">
        <v>1174</v>
      </c>
      <c r="E274" s="247" t="s">
        <v>1175</v>
      </c>
      <c r="F274" s="15">
        <f>COUNTIF(Sifarisler!$H$3:$H$10346,D274)</f>
        <v>0</v>
      </c>
      <c r="G274" s="248">
        <f>SUMIF(Sifarisler!$H$3:$H$10346,D274,Sifarisler!$AM$3:$AM$10346)</f>
        <v>0</v>
      </c>
      <c r="H274" s="248">
        <f>SUMIF(Sifarisler!$H$3:$H$10346,D274,Sifarisler!$AO$3:$AO$10346)</f>
        <v>0</v>
      </c>
      <c r="I274" s="249">
        <f>SUMIF(Sifarisler!$H$3:$H$10346,D274,Sifarisler!$AP$3:$AP$10346)</f>
        <v>0</v>
      </c>
      <c r="J274" s="250" t="str">
        <f t="shared" si="92"/>
        <v>Mesaj</v>
      </c>
      <c r="K274" s="9" t="str">
        <f t="shared" si="91"/>
        <v>Camal</v>
      </c>
      <c r="L274" s="10" t="str">
        <f t="shared" si="90"/>
        <v xml:space="preserve">Camal </v>
      </c>
      <c r="M274" s="251" t="str">
        <f>"Hörmətli *"&amp;K274&amp;"*  , göstərilən xidmətə görə *"&amp;I274&amp;" AZN* borcunuz qalmışdır . Ödəniş etməyiniz xahiş olunur. Ödəniş kartı  *"&amp;Məlumatlar!$O$3&amp;"* . Hörmətlə  *AlumPro*"</f>
        <v>Hörmətli *Camal*  , göstərilən xidmətə görə *0 AZN* borcunuz qalmışdır . Ödəniş etməyiniz xahiş olunur. Ödəniş kartı  *4098584464110962* . Hörmətlə  *AlumPro*</v>
      </c>
      <c r="N274" s="46"/>
    </row>
    <row r="275" spans="4:14" ht="17.25">
      <c r="D275" s="214" t="s">
        <v>1176</v>
      </c>
      <c r="E275" s="247" t="s">
        <v>1177</v>
      </c>
      <c r="F275" s="15">
        <f>COUNTIF(Sifarisler!$H$3:$H$10346,D275)</f>
        <v>0</v>
      </c>
      <c r="G275" s="248">
        <f>SUMIF(Sifarisler!$H$3:$H$10346,D275,Sifarisler!$AM$3:$AM$10346)</f>
        <v>0</v>
      </c>
      <c r="H275" s="248">
        <f>SUMIF(Sifarisler!$H$3:$H$10346,D275,Sifarisler!$AO$3:$AO$10346)</f>
        <v>0</v>
      </c>
      <c r="I275" s="249">
        <f>SUMIF(Sifarisler!$H$3:$H$10346,D275,Sifarisler!$AP$3:$AP$10346)</f>
        <v>0</v>
      </c>
      <c r="J275" s="250" t="str">
        <f t="shared" si="92"/>
        <v>Mesaj</v>
      </c>
      <c r="K275" s="9" t="str">
        <f t="shared" si="91"/>
        <v>Samir</v>
      </c>
      <c r="L275" s="10" t="str">
        <f t="shared" si="90"/>
        <v xml:space="preserve">Samir </v>
      </c>
      <c r="M275" s="251" t="str">
        <f>"Hörmətli *"&amp;K275&amp;"*  , göstərilən xidmətə görə *"&amp;I275&amp;" AZN* borcunuz qalmışdır . Ödəniş etməyiniz xahiş olunur. Ödəniş kartı  *"&amp;Məlumatlar!$O$3&amp;"* . Hörmətlə  *AlumPro*"</f>
        <v>Hörmətli *Samir*  , göstərilən xidmətə görə *0 AZN* borcunuz qalmışdır . Ödəniş etməyiniz xahiş olunur. Ödəniş kartı  *4098584464110962* . Hörmətlə  *AlumPro*</v>
      </c>
      <c r="N275" s="46"/>
    </row>
    <row r="276" spans="4:14" ht="17.25">
      <c r="D276" s="214" t="s">
        <v>642</v>
      </c>
      <c r="E276" s="247" t="s">
        <v>643</v>
      </c>
      <c r="F276" s="15">
        <f>COUNTIF(Sifarisler!$H$3:$H$10346,D276)</f>
        <v>4</v>
      </c>
      <c r="G276" s="248">
        <f>SUMIF(Sifarisler!$H$3:$H$10346,D276,Sifarisler!$AM$3:$AM$10346)</f>
        <v>3956</v>
      </c>
      <c r="H276" s="248">
        <f>SUMIF(Sifarisler!$H$3:$H$10346,D276,Sifarisler!$AO$3:$AO$10346)</f>
        <v>1446</v>
      </c>
      <c r="I276" s="249">
        <f>SUMIF(Sifarisler!$H$3:$H$10346,D276,Sifarisler!$AP$3:$AP$10346)</f>
        <v>2510</v>
      </c>
      <c r="J276" s="250" t="str">
        <f t="shared" si="92"/>
        <v>Mesaj</v>
      </c>
      <c r="K276" s="9" t="str">
        <f t="shared" si="91"/>
        <v>Natiq</v>
      </c>
      <c r="L276" s="10" t="str">
        <f t="shared" si="90"/>
        <v xml:space="preserve">Natiq </v>
      </c>
      <c r="M276" s="251" t="str">
        <f>"Hörmətli *"&amp;K276&amp;"*  , göstərilən xidmətə görə *"&amp;I276&amp;" AZN* borcunuz qalmışdır . Ödəniş etməyiniz xahiş olunur. Ödəniş kartı  *"&amp;Məlumatlar!$O$3&amp;"* . Hörmətlə  *AlumPro*"</f>
        <v>Hörmətli *Natiq*  , göstərilən xidmətə görə *2510 AZN* borcunuz qalmışdır . Ödəniş etməyiniz xahiş olunur. Ödəniş kartı  *4098584464110962* . Hörmətlə  *AlumPro*</v>
      </c>
      <c r="N276" s="46"/>
    </row>
    <row r="277" spans="4:14" ht="17.25">
      <c r="D277" s="214" t="s">
        <v>674</v>
      </c>
      <c r="E277" s="247" t="s">
        <v>675</v>
      </c>
      <c r="F277" s="15">
        <f>COUNTIF(Sifarisler!$H$3:$H$10346,D277)</f>
        <v>2</v>
      </c>
      <c r="G277" s="248">
        <f>SUMIF(Sifarisler!$H$3:$H$10346,D277,Sifarisler!$AM$3:$AM$10346)</f>
        <v>1584</v>
      </c>
      <c r="H277" s="248">
        <f>SUMIF(Sifarisler!$H$3:$H$10346,D277,Sifarisler!$AO$3:$AO$10346)</f>
        <v>1394</v>
      </c>
      <c r="I277" s="249">
        <f>SUMIF(Sifarisler!$H$3:$H$10346,D277,Sifarisler!$AP$3:$AP$10346)</f>
        <v>190</v>
      </c>
      <c r="J277" s="250" t="str">
        <f t="shared" si="92"/>
        <v>Mesaj</v>
      </c>
      <c r="K277" s="9" t="str">
        <f t="shared" si="91"/>
        <v>Aydin</v>
      </c>
      <c r="L277" s="10" t="str">
        <f t="shared" si="90"/>
        <v xml:space="preserve">Aydin </v>
      </c>
      <c r="M277" s="251" t="str">
        <f>"Hörmətli *"&amp;K277&amp;"*  , göstərilən xidmətə görə *"&amp;I277&amp;" AZN* borcunuz qalmışdır . Ödəniş etməyiniz xahiş olunur. Ödəniş kartı  *"&amp;Məlumatlar!$O$3&amp;"* . Hörmətlə  *AlumPro*"</f>
        <v>Hörmətli *Aydin*  , göstərilən xidmətə görə *190 AZN* borcunuz qalmışdır . Ödəniş etməyiniz xahiş olunur. Ödəniş kartı  *4098584464110962* . Hörmətlə  *AlumPro*</v>
      </c>
      <c r="N277" s="46"/>
    </row>
    <row r="278" spans="4:14" ht="17.25">
      <c r="D278" s="214" t="s">
        <v>578</v>
      </c>
      <c r="E278" s="247" t="s">
        <v>579</v>
      </c>
      <c r="F278" s="15">
        <f>COUNTIF(Sifarisler!$H$3:$H$10346,D278)</f>
        <v>2</v>
      </c>
      <c r="G278" s="248">
        <f>SUMIF(Sifarisler!$H$3:$H$10346,D278,Sifarisler!$AM$3:$AM$10346)</f>
        <v>1455</v>
      </c>
      <c r="H278" s="248">
        <f>SUMIF(Sifarisler!$H$3:$H$10346,D278,Sifarisler!$AO$3:$AO$10346)</f>
        <v>1430</v>
      </c>
      <c r="I278" s="249">
        <f>SUMIF(Sifarisler!$H$3:$H$10346,D278,Sifarisler!$AP$3:$AP$10346)</f>
        <v>0</v>
      </c>
      <c r="J278" s="250" t="str">
        <f t="shared" si="92"/>
        <v>Mesaj</v>
      </c>
      <c r="K278" s="9" t="str">
        <f t="shared" si="91"/>
        <v>Sasha</v>
      </c>
      <c r="L278" s="10" t="str">
        <f t="shared" si="90"/>
        <v xml:space="preserve">Sasha </v>
      </c>
      <c r="M278" s="251" t="str">
        <f>"Hörmətli *"&amp;K278&amp;"*  , göstərilən xidmətə görə *"&amp;I278&amp;" AZN* borcunuz qalmışdır . Ödəniş etməyiniz xahiş olunur. Ödəniş kartı  *"&amp;Məlumatlar!$O$3&amp;"* . Hörmətlə  *AlumPro*"</f>
        <v>Hörmətli *Sasha*  , göstərilən xidmətə görə *0 AZN* borcunuz qalmışdır . Ödəniş etməyiniz xahiş olunur. Ödəniş kartı  *4098584464110962* . Hörmətlə  *AlumPro*</v>
      </c>
      <c r="N278" s="46"/>
    </row>
    <row r="279" spans="4:14" ht="17.25">
      <c r="D279" s="214" t="s">
        <v>1178</v>
      </c>
      <c r="E279" s="247" t="s">
        <v>1179</v>
      </c>
      <c r="F279" s="15">
        <f>COUNTIF(Sifarisler!$H$3:$H$10346,D279)</f>
        <v>0</v>
      </c>
      <c r="G279" s="248">
        <f>SUMIF(Sifarisler!$H$3:$H$10346,D279,Sifarisler!$AM$3:$AM$10346)</f>
        <v>0</v>
      </c>
      <c r="H279" s="248">
        <f>SUMIF(Sifarisler!$H$3:$H$10346,D279,Sifarisler!$AO$3:$AO$10346)</f>
        <v>0</v>
      </c>
      <c r="I279" s="249">
        <f>SUMIF(Sifarisler!$H$3:$H$10346,D279,Sifarisler!$AP$3:$AP$10346)</f>
        <v>0</v>
      </c>
      <c r="J279" s="250" t="str">
        <f t="shared" si="92"/>
        <v>Mesaj</v>
      </c>
      <c r="K279" s="9" t="str">
        <f t="shared" si="91"/>
        <v>Elvin</v>
      </c>
      <c r="L279" s="10" t="str">
        <f t="shared" si="90"/>
        <v xml:space="preserve">Elvin </v>
      </c>
      <c r="M279" s="251" t="str">
        <f>"Hörmətli *"&amp;K279&amp;"*  , göstərilən xidmətə görə *"&amp;I279&amp;" AZN* borcunuz qalmışdır . Ödəniş etməyiniz xahiş olunur. Ödəniş kartı  *"&amp;Məlumatlar!$O$3&amp;"* . Hörmətlə  *AlumPro*"</f>
        <v>Hörmətli *Elvin*  , göstərilən xidmətə görə *0 AZN* borcunuz qalmışdır . Ödəniş etməyiniz xahiş olunur. Ödəniş kartı  *4098584464110962* . Hörmətlə  *AlumPro*</v>
      </c>
      <c r="N279" s="46"/>
    </row>
    <row r="280" spans="4:14" ht="17.25">
      <c r="D280" s="214" t="s">
        <v>345</v>
      </c>
      <c r="E280" s="247" t="s">
        <v>346</v>
      </c>
      <c r="F280" s="15">
        <f>COUNTIF(Sifarisler!$H$3:$H$10346,D280)</f>
        <v>4</v>
      </c>
      <c r="G280" s="248">
        <f>SUMIF(Sifarisler!$H$3:$H$10346,D280,Sifarisler!$AM$3:$AM$10346)</f>
        <v>1113</v>
      </c>
      <c r="H280" s="248">
        <f>SUMIF(Sifarisler!$H$3:$H$10346,D280,Sifarisler!$AO$3:$AO$10346)</f>
        <v>1113</v>
      </c>
      <c r="I280" s="249">
        <f>SUMIF(Sifarisler!$H$3:$H$10346,D280,Sifarisler!$AP$3:$AP$10346)</f>
        <v>0</v>
      </c>
      <c r="J280" s="250" t="str">
        <f t="shared" si="92"/>
        <v>Mesaj</v>
      </c>
      <c r="K280" s="9" t="str">
        <f t="shared" si="91"/>
        <v>Vusal</v>
      </c>
      <c r="L280" s="10" t="str">
        <f t="shared" si="90"/>
        <v xml:space="preserve">Vusal </v>
      </c>
      <c r="M280" s="251" t="str">
        <f>"Hörmətli *"&amp;K280&amp;"*  , göstərilən xidmətə görə *"&amp;I280&amp;" AZN* borcunuz qalmışdır . Ödəniş etməyiniz xahiş olunur. Ödəniş kartı  *"&amp;Məlumatlar!$O$3&amp;"* . Hörmətlə  *AlumPro*"</f>
        <v>Hörmətli *Vusal*  , göstərilən xidmətə görə *0 AZN* borcunuz qalmışdır . Ödəniş etməyiniz xahiş olunur. Ödəniş kartı  *4098584464110962* . Hörmətlə  *AlumPro*</v>
      </c>
      <c r="N280" s="46"/>
    </row>
    <row r="281" spans="4:14" ht="17.25">
      <c r="D281" s="214" t="s">
        <v>1180</v>
      </c>
      <c r="E281" s="247" t="s">
        <v>1181</v>
      </c>
      <c r="F281" s="15">
        <f>COUNTIF(Sifarisler!$H$3:$H$10346,D281)</f>
        <v>0</v>
      </c>
      <c r="G281" s="248">
        <f>SUMIF(Sifarisler!$H$3:$H$10346,D281,Sifarisler!$AM$3:$AM$10346)</f>
        <v>0</v>
      </c>
      <c r="H281" s="248">
        <f>SUMIF(Sifarisler!$H$3:$H$10346,D281,Sifarisler!$AO$3:$AO$10346)</f>
        <v>0</v>
      </c>
      <c r="I281" s="249">
        <f>SUMIF(Sifarisler!$H$3:$H$10346,D281,Sifarisler!$AP$3:$AP$10346)</f>
        <v>0</v>
      </c>
      <c r="J281" s="250" t="str">
        <f t="shared" si="92"/>
        <v>Mesaj</v>
      </c>
      <c r="K281" s="9" t="str">
        <f t="shared" si="91"/>
        <v>Mehman</v>
      </c>
      <c r="L281" s="10" t="str">
        <f t="shared" si="90"/>
        <v xml:space="preserve">Mehman </v>
      </c>
      <c r="M281" s="251" t="str">
        <f>"Hörmətli *"&amp;K281&amp;"*  , göstərilən xidmətə görə *"&amp;I281&amp;" AZN* borcunuz qalmışdır . Ödəniş etməyiniz xahiş olunur. Ödəniş kartı  *"&amp;Məlumatlar!$O$3&amp;"* . Hörmətlə  *AlumPro*"</f>
        <v>Hörmətli *Mehman*  , göstərilən xidmətə görə *0 AZN* borcunuz qalmışdır . Ödəniş etməyiniz xahiş olunur. Ödəniş kartı  *4098584464110962* . Hörmətlə  *AlumPro*</v>
      </c>
      <c r="N281" s="46"/>
    </row>
    <row r="282" spans="4:14" ht="17.25">
      <c r="D282" s="214" t="s">
        <v>1182</v>
      </c>
      <c r="E282" s="247" t="s">
        <v>1183</v>
      </c>
      <c r="F282" s="15">
        <f>COUNTIF(Sifarisler!$H$3:$H$10346,D282)</f>
        <v>0</v>
      </c>
      <c r="G282" s="248">
        <f>SUMIF(Sifarisler!$H$3:$H$10346,D282,Sifarisler!$AM$3:$AM$10346)</f>
        <v>0</v>
      </c>
      <c r="H282" s="248">
        <f>SUMIF(Sifarisler!$H$3:$H$10346,D282,Sifarisler!$AO$3:$AO$10346)</f>
        <v>0</v>
      </c>
      <c r="I282" s="249">
        <f>SUMIF(Sifarisler!$H$3:$H$10346,D282,Sifarisler!$AP$3:$AP$10346)</f>
        <v>0</v>
      </c>
      <c r="J282" s="250" t="str">
        <f t="shared" si="92"/>
        <v>Mesaj</v>
      </c>
      <c r="K282" s="9" t="str">
        <f t="shared" si="91"/>
        <v>Luxconcept</v>
      </c>
      <c r="L282" s="10" t="str">
        <f t="shared" si="90"/>
        <v xml:space="preserve">Luxconcept </v>
      </c>
      <c r="M282" s="251" t="str">
        <f>"Hörmətli *"&amp;K282&amp;"*  , göstərilən xidmətə görə *"&amp;I282&amp;" AZN* borcunuz qalmışdır . Ödəniş etməyiniz xahiş olunur. Ödəniş kartı  *"&amp;Məlumatlar!$O$3&amp;"* . Hörmətlə  *AlumPro*"</f>
        <v>Hörmətli *Luxconcept*  , göstərilən xidmətə görə *0 AZN* borcunuz qalmışdır . Ödəniş etməyiniz xahiş olunur. Ödəniş kartı  *4098584464110962* . Hörmətlə  *AlumPro*</v>
      </c>
      <c r="N282" s="46"/>
    </row>
    <row r="283" spans="4:14" ht="17.25">
      <c r="D283" s="214" t="s">
        <v>1184</v>
      </c>
      <c r="E283" s="247" t="s">
        <v>1185</v>
      </c>
      <c r="F283" s="15">
        <f>COUNTIF(Sifarisler!$H$3:$H$10346,D283)</f>
        <v>0</v>
      </c>
      <c r="G283" s="248">
        <f>SUMIF(Sifarisler!$H$3:$H$10346,D283,Sifarisler!$AM$3:$AM$10346)</f>
        <v>0</v>
      </c>
      <c r="H283" s="248">
        <f>SUMIF(Sifarisler!$H$3:$H$10346,D283,Sifarisler!$AO$3:$AO$10346)</f>
        <v>0</v>
      </c>
      <c r="I283" s="249">
        <f>SUMIF(Sifarisler!$H$3:$H$10346,D283,Sifarisler!$AP$3:$AP$10346)</f>
        <v>0</v>
      </c>
      <c r="J283" s="250" t="str">
        <f t="shared" si="92"/>
        <v>Mesaj</v>
      </c>
      <c r="K283" s="9" t="str">
        <f t="shared" si="91"/>
        <v>Nail</v>
      </c>
      <c r="L283" s="10" t="str">
        <f t="shared" si="90"/>
        <v xml:space="preserve">Nail </v>
      </c>
      <c r="M283" s="251" t="str">
        <f>"Hörmətli *"&amp;K283&amp;"*  , göstərilən xidmətə görə *"&amp;I283&amp;" AZN* borcunuz qalmışdır . Ödəniş etməyiniz xahiş olunur. Ödəniş kartı  *"&amp;Məlumatlar!$O$3&amp;"* . Hörmətlə  *AlumPro*"</f>
        <v>Hörmətli *Nail*  , göstərilən xidmətə görə *0 AZN* borcunuz qalmışdır . Ödəniş etməyiniz xahiş olunur. Ödəniş kartı  *4098584464110962* . Hörmətlə  *AlumPro*</v>
      </c>
      <c r="N283" s="46"/>
    </row>
    <row r="284" spans="4:14" ht="17.25">
      <c r="D284" s="214" t="s">
        <v>1186</v>
      </c>
      <c r="E284" s="247" t="s">
        <v>1187</v>
      </c>
      <c r="F284" s="15">
        <f>COUNTIF(Sifarisler!$H$3:$H$10346,D284)</f>
        <v>0</v>
      </c>
      <c r="G284" s="248">
        <f>SUMIF(Sifarisler!$H$3:$H$10346,D284,Sifarisler!$AM$3:$AM$10346)</f>
        <v>0</v>
      </c>
      <c r="H284" s="248">
        <f>SUMIF(Sifarisler!$H$3:$H$10346,D284,Sifarisler!$AO$3:$AO$10346)</f>
        <v>0</v>
      </c>
      <c r="I284" s="249">
        <f>SUMIF(Sifarisler!$H$3:$H$10346,D284,Sifarisler!$AP$3:$AP$10346)</f>
        <v>0</v>
      </c>
      <c r="J284" s="250" t="str">
        <f t="shared" si="92"/>
        <v>Mesaj</v>
      </c>
      <c r="K284" s="9" t="str">
        <f t="shared" si="91"/>
        <v>Nail</v>
      </c>
      <c r="L284" s="10" t="str">
        <f t="shared" si="90"/>
        <v xml:space="preserve">Nail </v>
      </c>
      <c r="M284" s="251" t="str">
        <f>"Hörmətli *"&amp;K284&amp;"*  , göstərilən xidmətə görə *"&amp;I284&amp;" AZN* borcunuz qalmışdır . Ödəniş etməyiniz xahiş olunur. Ödəniş kartı  *"&amp;Məlumatlar!$O$3&amp;"* . Hörmətlə  *AlumPro*"</f>
        <v>Hörmətli *Nail*  , göstərilən xidmətə görə *0 AZN* borcunuz qalmışdır . Ödəniş etməyiniz xahiş olunur. Ödəniş kartı  *4098584464110962* . Hörmətlə  *AlumPro*</v>
      </c>
      <c r="N284" s="46"/>
    </row>
    <row r="285" spans="4:14" ht="17.25">
      <c r="D285" s="214" t="s">
        <v>679</v>
      </c>
      <c r="E285" s="247" t="s">
        <v>680</v>
      </c>
      <c r="F285" s="15">
        <f>COUNTIF(Sifarisler!$H$3:$H$10346,D285)</f>
        <v>2</v>
      </c>
      <c r="G285" s="248">
        <f>SUMIF(Sifarisler!$H$3:$H$10346,D285,Sifarisler!$AM$3:$AM$10346)</f>
        <v>2364</v>
      </c>
      <c r="H285" s="248">
        <f>SUMIF(Sifarisler!$H$3:$H$10346,D285,Sifarisler!$AO$3:$AO$10346)</f>
        <v>2364</v>
      </c>
      <c r="I285" s="249">
        <f>SUMIF(Sifarisler!$H$3:$H$10346,D285,Sifarisler!$AP$3:$AP$10346)</f>
        <v>0</v>
      </c>
      <c r="J285" s="250" t="str">
        <f t="shared" si="92"/>
        <v>Mesaj</v>
      </c>
      <c r="K285" s="9" t="str">
        <f t="shared" si="91"/>
        <v>Elsen</v>
      </c>
      <c r="L285" s="10" t="str">
        <f t="shared" si="90"/>
        <v xml:space="preserve">Elsen </v>
      </c>
      <c r="M285" s="251" t="str">
        <f>"Hörmətli *"&amp;K285&amp;"*  , göstərilən xidmətə görə *"&amp;I285&amp;" AZN* borcunuz qalmışdır . Ödəniş etməyiniz xahiş olunur. Ödəniş kartı  *"&amp;Məlumatlar!$O$3&amp;"* . Hörmətlə  *AlumPro*"</f>
        <v>Hörmətli *Elsen*  , göstərilən xidmətə görə *0 AZN* borcunuz qalmışdır . Ödəniş etməyiniz xahiş olunur. Ödəniş kartı  *4098584464110962* . Hörmətlə  *AlumPro*</v>
      </c>
      <c r="N285" s="46"/>
    </row>
    <row r="286" spans="4:14" ht="17.25">
      <c r="D286" s="214" t="s">
        <v>208</v>
      </c>
      <c r="E286" s="247" t="s">
        <v>209</v>
      </c>
      <c r="F286" s="15">
        <f>COUNTIF(Sifarisler!$H$3:$H$10346,D286)</f>
        <v>2</v>
      </c>
      <c r="G286" s="248">
        <f>SUMIF(Sifarisler!$H$3:$H$10346,D286,Sifarisler!$AM$3:$AM$10346)</f>
        <v>639</v>
      </c>
      <c r="H286" s="248">
        <f>SUMIF(Sifarisler!$H$3:$H$10346,D286,Sifarisler!$AO$3:$AO$10346)</f>
        <v>639</v>
      </c>
      <c r="I286" s="249">
        <f>SUMIF(Sifarisler!$H$3:$H$10346,D286,Sifarisler!$AP$3:$AP$10346)</f>
        <v>0</v>
      </c>
      <c r="J286" s="250" t="str">
        <f t="shared" si="92"/>
        <v>Mesaj</v>
      </c>
      <c r="K286" s="9" t="str">
        <f t="shared" si="91"/>
        <v>Ceyhun</v>
      </c>
      <c r="L286" s="10" t="str">
        <f t="shared" si="90"/>
        <v xml:space="preserve">Ceyhun </v>
      </c>
      <c r="M286" s="251" t="str">
        <f>"Hörmətli *"&amp;K286&amp;"*  , göstərilən xidmətə görə *"&amp;I286&amp;" AZN* borcunuz qalmışdır . Ödəniş etməyiniz xahiş olunur. Ödəniş kartı  *"&amp;Məlumatlar!$O$3&amp;"* . Hörmətlə  *AlumPro*"</f>
        <v>Hörmətli *Ceyhun*  , göstərilən xidmətə görə *0 AZN* borcunuz qalmışdır . Ödəniş etməyiniz xahiş olunur. Ödəniş kartı  *4098584464110962* . Hörmətlə  *AlumPro*</v>
      </c>
      <c r="N286" s="46"/>
    </row>
    <row r="287" spans="4:14" ht="17.25">
      <c r="D287" s="214" t="s">
        <v>1188</v>
      </c>
      <c r="E287" s="247" t="s">
        <v>1189</v>
      </c>
      <c r="F287" s="15">
        <f>COUNTIF(Sifarisler!$H$3:$H$10346,D287)</f>
        <v>0</v>
      </c>
      <c r="G287" s="248">
        <f>SUMIF(Sifarisler!$H$3:$H$10346,D287,Sifarisler!$AM$3:$AM$10346)</f>
        <v>0</v>
      </c>
      <c r="H287" s="248">
        <f>SUMIF(Sifarisler!$H$3:$H$10346,D287,Sifarisler!$AO$3:$AO$10346)</f>
        <v>0</v>
      </c>
      <c r="I287" s="249">
        <f>SUMIF(Sifarisler!$H$3:$H$10346,D287,Sifarisler!$AP$3:$AP$10346)</f>
        <v>0</v>
      </c>
      <c r="J287" s="250" t="str">
        <f t="shared" si="92"/>
        <v>Mesaj</v>
      </c>
      <c r="K287" s="9" t="str">
        <f t="shared" si="91"/>
        <v>Orxan</v>
      </c>
      <c r="L287" s="10" t="str">
        <f t="shared" si="90"/>
        <v xml:space="preserve">Orxan </v>
      </c>
      <c r="M287" s="251" t="str">
        <f>"Hörmətli *"&amp;K287&amp;"*  , göstərilən xidmətə görə *"&amp;I287&amp;" AZN* borcunuz qalmışdır . Ödəniş etməyiniz xahiş olunur. Ödəniş kartı  *"&amp;Məlumatlar!$O$3&amp;"* . Hörmətlə  *AlumPro*"</f>
        <v>Hörmətli *Orxan*  , göstərilən xidmətə görə *0 AZN* borcunuz qalmışdır . Ödəniş etməyiniz xahiş olunur. Ödəniş kartı  *4098584464110962* . Hörmətlə  *AlumPro*</v>
      </c>
      <c r="N287" s="46"/>
    </row>
    <row r="288" spans="4:14" ht="17.25">
      <c r="D288" s="214" t="s">
        <v>686</v>
      </c>
      <c r="E288" s="247" t="s">
        <v>687</v>
      </c>
      <c r="F288" s="15">
        <f>COUNTIF(Sifarisler!$H$3:$H$10346,D288)</f>
        <v>1</v>
      </c>
      <c r="G288" s="248">
        <f>SUMIF(Sifarisler!$H$3:$H$10346,D288,Sifarisler!$AM$3:$AM$10346)</f>
        <v>235</v>
      </c>
      <c r="H288" s="248">
        <f>SUMIF(Sifarisler!$H$3:$H$10346,D288,Sifarisler!$AO$3:$AO$10346)</f>
        <v>235</v>
      </c>
      <c r="I288" s="249">
        <f>SUMIF(Sifarisler!$H$3:$H$10346,D288,Sifarisler!$AP$3:$AP$10346)</f>
        <v>0</v>
      </c>
      <c r="J288" s="250" t="str">
        <f t="shared" si="92"/>
        <v>Mesaj</v>
      </c>
      <c r="K288" s="9" t="str">
        <f t="shared" si="91"/>
        <v>Vikenzo</v>
      </c>
      <c r="L288" s="10" t="str">
        <f t="shared" si="90"/>
        <v xml:space="preserve">Vikenzo </v>
      </c>
      <c r="M288" s="251" t="str">
        <f>"Hörmətli *"&amp;K288&amp;"*  , göstərilən xidmətə görə *"&amp;I288&amp;" AZN* borcunuz qalmışdır . Ödəniş etməyiniz xahiş olunur. Ödəniş kartı  *"&amp;Məlumatlar!$O$3&amp;"* . Hörmətlə  *AlumPro*"</f>
        <v>Hörmətli *Vikenzo*  , göstərilən xidmətə görə *0 AZN* borcunuz qalmışdır . Ödəniş etməyiniz xahiş olunur. Ödəniş kartı  *4098584464110962* . Hörmətlə  *AlumPro*</v>
      </c>
      <c r="N288" s="46"/>
    </row>
    <row r="289" spans="4:14" ht="17.25">
      <c r="D289" s="214" t="s">
        <v>1190</v>
      </c>
      <c r="E289" s="247" t="s">
        <v>1191</v>
      </c>
      <c r="F289" s="15">
        <f>COUNTIF(Sifarisler!$H$3:$H$10346,D289)</f>
        <v>0</v>
      </c>
      <c r="G289" s="248">
        <f>SUMIF(Sifarisler!$H$3:$H$10346,D289,Sifarisler!$AM$3:$AM$10346)</f>
        <v>0</v>
      </c>
      <c r="H289" s="248">
        <f>SUMIF(Sifarisler!$H$3:$H$10346,D289,Sifarisler!$AO$3:$AO$10346)</f>
        <v>0</v>
      </c>
      <c r="I289" s="249">
        <f>SUMIF(Sifarisler!$H$3:$H$10346,D289,Sifarisler!$AP$3:$AP$10346)</f>
        <v>0</v>
      </c>
      <c r="J289" s="250" t="str">
        <f t="shared" si="92"/>
        <v>Mesaj</v>
      </c>
      <c r="K289" s="9" t="str">
        <f t="shared" si="91"/>
        <v>Arzu</v>
      </c>
      <c r="L289" s="10" t="str">
        <f t="shared" si="90"/>
        <v xml:space="preserve">Arzu </v>
      </c>
      <c r="M289" s="251" t="str">
        <f>"Hörmətli *"&amp;K289&amp;"*  , göstərilən xidmətə görə *"&amp;I289&amp;" AZN* borcunuz qalmışdır . Ödəniş etməyiniz xahiş olunur. Ödəniş kartı  *"&amp;Məlumatlar!$O$3&amp;"* . Hörmətlə  *AlumPro*"</f>
        <v>Hörmətli *Arzu*  , göstərilən xidmətə görə *0 AZN* borcunuz qalmışdır . Ödəniş etməyiniz xahiş olunur. Ödəniş kartı  *4098584464110962* . Hörmətlə  *AlumPro*</v>
      </c>
      <c r="N289" s="46"/>
    </row>
    <row r="290" spans="4:14" ht="17.25">
      <c r="D290" s="214" t="s">
        <v>1192</v>
      </c>
      <c r="E290" s="247" t="s">
        <v>1193</v>
      </c>
      <c r="F290" s="15">
        <f>COUNTIF(Sifarisler!$H$3:$H$10346,D290)</f>
        <v>0</v>
      </c>
      <c r="G290" s="248">
        <f>SUMIF(Sifarisler!$H$3:$H$10346,D290,Sifarisler!$AM$3:$AM$10346)</f>
        <v>0</v>
      </c>
      <c r="H290" s="248">
        <f>SUMIF(Sifarisler!$H$3:$H$10346,D290,Sifarisler!$AO$3:$AO$10346)</f>
        <v>0</v>
      </c>
      <c r="I290" s="249">
        <f>SUMIF(Sifarisler!$H$3:$H$10346,D290,Sifarisler!$AP$3:$AP$10346)</f>
        <v>0</v>
      </c>
      <c r="J290" s="250" t="str">
        <f t="shared" si="92"/>
        <v>Mesaj</v>
      </c>
      <c r="K290" s="9" t="str">
        <f t="shared" si="91"/>
        <v>Sarvan</v>
      </c>
      <c r="L290" s="10" t="str">
        <f t="shared" si="90"/>
        <v xml:space="preserve">Sarvan </v>
      </c>
      <c r="M290" s="251" t="str">
        <f>"Hörmətli *"&amp;K290&amp;"*  , göstərilən xidmətə görə *"&amp;I290&amp;" AZN* borcunuz qalmışdır . Ödəniş etməyiniz xahiş olunur. Ödəniş kartı  *"&amp;Məlumatlar!$O$3&amp;"* . Hörmətlə  *AlumPro*"</f>
        <v>Hörmətli *Sarvan*  , göstərilən xidmətə görə *0 AZN* borcunuz qalmışdır . Ödəniş etməyiniz xahiş olunur. Ödəniş kartı  *4098584464110962* . Hörmətlə  *AlumPro*</v>
      </c>
      <c r="N290" s="46"/>
    </row>
    <row r="291" spans="4:14" ht="17.25">
      <c r="D291" s="214" t="s">
        <v>8</v>
      </c>
      <c r="E291" s="247" t="s">
        <v>1194</v>
      </c>
      <c r="F291" s="15">
        <f>COUNTIF(Sifarisler!$H$3:$H$10346,D291)</f>
        <v>0</v>
      </c>
      <c r="G291" s="248">
        <f>SUMIF(Sifarisler!$H$3:$H$10346,D291,Sifarisler!$AM$3:$AM$10346)</f>
        <v>0</v>
      </c>
      <c r="H291" s="248">
        <f>SUMIF(Sifarisler!$H$3:$H$10346,D291,Sifarisler!$AO$3:$AO$10346)</f>
        <v>0</v>
      </c>
      <c r="I291" s="249">
        <f>SUMIF(Sifarisler!$H$3:$H$10346,D291,Sifarisler!$AP$3:$AP$10346)</f>
        <v>0</v>
      </c>
      <c r="J291" s="250" t="str">
        <f t="shared" si="92"/>
        <v>Mesaj</v>
      </c>
      <c r="K291" s="9" t="str">
        <f t="shared" si="91"/>
        <v>Elnur</v>
      </c>
      <c r="L291" s="10" t="str">
        <f t="shared" si="90"/>
        <v xml:space="preserve">Elnur </v>
      </c>
      <c r="M291" s="251" t="str">
        <f>"Hörmətli *"&amp;K291&amp;"*  , göstərilən xidmətə görə *"&amp;I291&amp;" AZN* borcunuz qalmışdır . Ödəniş etməyiniz xahiş olunur. Ödəniş kartı  *"&amp;Məlumatlar!$O$3&amp;"* . Hörmətlə  *AlumPro*"</f>
        <v>Hörmətli *Elnur*  , göstərilən xidmətə görə *0 AZN* borcunuz qalmışdır . Ödəniş etməyiniz xahiş olunur. Ödəniş kartı  *4098584464110962* . Hörmətlə  *AlumPro*</v>
      </c>
      <c r="N291" s="46"/>
    </row>
    <row r="292" spans="4:14" ht="17.25">
      <c r="D292" s="214" t="s">
        <v>695</v>
      </c>
      <c r="E292" s="247" t="s">
        <v>696</v>
      </c>
      <c r="F292" s="15">
        <f>COUNTIF(Sifarisler!$H$3:$H$10346,D292)</f>
        <v>2</v>
      </c>
      <c r="G292" s="248">
        <f>SUMIF(Sifarisler!$H$3:$H$10346,D292,Sifarisler!$AM$3:$AM$10346)</f>
        <v>772</v>
      </c>
      <c r="H292" s="248">
        <f>SUMIF(Sifarisler!$H$3:$H$10346,D292,Sifarisler!$AO$3:$AO$10346)</f>
        <v>772</v>
      </c>
      <c r="I292" s="249">
        <f>SUMIF(Sifarisler!$H$3:$H$10346,D292,Sifarisler!$AP$3:$AP$10346)</f>
        <v>0</v>
      </c>
      <c r="J292" s="250" t="str">
        <f t="shared" si="92"/>
        <v>Mesaj</v>
      </c>
      <c r="K292" s="9" t="str">
        <f t="shared" si="91"/>
        <v>Taleh</v>
      </c>
      <c r="L292" s="10" t="str">
        <f t="shared" si="90"/>
        <v xml:space="preserve">Taleh </v>
      </c>
      <c r="M292" s="251" t="str">
        <f>"Hörmətli *"&amp;K292&amp;"*  , göstərilən xidmətə görə *"&amp;I292&amp;" AZN* borcunuz qalmışdır . Ödəniş etməyiniz xahiş olunur. Ödəniş kartı  *"&amp;Məlumatlar!$O$3&amp;"* . Hörmətlə  *AlumPro*"</f>
        <v>Hörmətli *Taleh*  , göstərilən xidmətə görə *0 AZN* borcunuz qalmışdır . Ödəniş etməyiniz xahiş olunur. Ödəniş kartı  *4098584464110962* . Hörmətlə  *AlumPro*</v>
      </c>
      <c r="N292" s="46"/>
    </row>
    <row r="293" spans="4:14" ht="17.25">
      <c r="D293" s="214" t="s">
        <v>389</v>
      </c>
      <c r="E293" s="247" t="s">
        <v>390</v>
      </c>
      <c r="F293" s="15">
        <f>COUNTIF(Sifarisler!$H$3:$H$10346,D293)</f>
        <v>10</v>
      </c>
      <c r="G293" s="248">
        <f>SUMIF(Sifarisler!$H$3:$H$10346,D293,Sifarisler!$AM$3:$AM$10346)</f>
        <v>6498</v>
      </c>
      <c r="H293" s="248">
        <f>SUMIF(Sifarisler!$H$3:$H$10346,D293,Sifarisler!$AO$3:$AO$10346)</f>
        <v>4122</v>
      </c>
      <c r="I293" s="249">
        <f>SUMIF(Sifarisler!$H$3:$H$10346,D293,Sifarisler!$AP$3:$AP$10346)</f>
        <v>2372</v>
      </c>
      <c r="J293" s="250" t="str">
        <f t="shared" si="92"/>
        <v>Mesaj</v>
      </c>
      <c r="K293" s="9" t="str">
        <f t="shared" si="91"/>
        <v>Samir</v>
      </c>
      <c r="L293" s="10" t="str">
        <f t="shared" si="90"/>
        <v xml:space="preserve">Samir </v>
      </c>
      <c r="M293" s="251" t="str">
        <f>"Hörmətli *"&amp;K293&amp;"*  , göstərilən xidmətə görə *"&amp;I293&amp;" AZN* borcunuz qalmışdır . Ödəniş etməyiniz xahiş olunur. Ödəniş kartı  *"&amp;Məlumatlar!$O$3&amp;"* . Hörmətlə  *AlumPro*"</f>
        <v>Hörmətli *Samir*  , göstərilən xidmətə görə *2372 AZN* borcunuz qalmışdır . Ödəniş etməyiniz xahiş olunur. Ödəniş kartı  *4098584464110962* . Hörmətlə  *AlumPro*</v>
      </c>
      <c r="N293" s="46"/>
    </row>
    <row r="294" spans="4:14" ht="17.25">
      <c r="D294" s="214" t="s">
        <v>187</v>
      </c>
      <c r="E294" s="247" t="s">
        <v>188</v>
      </c>
      <c r="F294" s="15">
        <f>COUNTIF(Sifarisler!$H$3:$H$10346,D294)</f>
        <v>3</v>
      </c>
      <c r="G294" s="248">
        <f>SUMIF(Sifarisler!$H$3:$H$10346,D294,Sifarisler!$AM$3:$AM$10346)</f>
        <v>350</v>
      </c>
      <c r="H294" s="248">
        <f>SUMIF(Sifarisler!$H$3:$H$10346,D294,Sifarisler!$AO$3:$AO$10346)</f>
        <v>60</v>
      </c>
      <c r="I294" s="249">
        <f>SUMIF(Sifarisler!$H$3:$H$10346,D294,Sifarisler!$AP$3:$AP$10346)</f>
        <v>290</v>
      </c>
      <c r="J294" s="250" t="str">
        <f t="shared" si="92"/>
        <v>Mesaj</v>
      </c>
      <c r="K294" s="9" t="str">
        <f t="shared" si="91"/>
        <v>Mahir</v>
      </c>
      <c r="L294" s="10" t="str">
        <f t="shared" si="90"/>
        <v xml:space="preserve">Mahir </v>
      </c>
      <c r="M294" s="251" t="str">
        <f>"Hörmətli *"&amp;K294&amp;"*  , göstərilən xidmətə görə *"&amp;I294&amp;" AZN* borcunuz qalmışdır . Ödəniş etməyiniz xahiş olunur. Ödəniş kartı  *"&amp;Məlumatlar!$O$3&amp;"* . Hörmətlə  *AlumPro*"</f>
        <v>Hörmətli *Mahir*  , göstərilən xidmətə görə *290 AZN* borcunuz qalmışdır . Ödəniş etməyiniz xahiş olunur. Ödəniş kartı  *4098584464110962* . Hörmətlə  *AlumPro*</v>
      </c>
      <c r="N294" s="46"/>
    </row>
    <row r="295" spans="4:14" ht="17.25">
      <c r="D295" s="214" t="s">
        <v>10</v>
      </c>
      <c r="E295" s="247" t="s">
        <v>368</v>
      </c>
      <c r="F295" s="15">
        <f>COUNTIF(Sifarisler!$H$3:$H$10346,D295)</f>
        <v>5</v>
      </c>
      <c r="G295" s="248">
        <f>SUMIF(Sifarisler!$H$3:$H$10346,D295,Sifarisler!$AM$3:$AM$10346)</f>
        <v>7194</v>
      </c>
      <c r="H295" s="248">
        <f>SUMIF(Sifarisler!$H$3:$H$10346,D295,Sifarisler!$AO$3:$AO$10346)</f>
        <v>1265</v>
      </c>
      <c r="I295" s="249">
        <f>SUMIF(Sifarisler!$H$3:$H$10346,D295,Sifarisler!$AP$3:$AP$10346)</f>
        <v>5929</v>
      </c>
      <c r="J295" s="250" t="str">
        <f t="shared" si="92"/>
        <v>Mesaj</v>
      </c>
      <c r="K295" s="9" t="str">
        <f t="shared" si="91"/>
        <v>Kamran</v>
      </c>
      <c r="L295" s="10" t="str">
        <f t="shared" si="90"/>
        <v xml:space="preserve">Kamran </v>
      </c>
      <c r="M295" s="251" t="str">
        <f>"Hörmətli *"&amp;K295&amp;"*  , göstərilən xidmətə görə *"&amp;I295&amp;" AZN* borcunuz qalmışdır . Ödəniş etməyiniz xahiş olunur. Ödəniş kartı  *"&amp;Məlumatlar!$O$3&amp;"* . Hörmətlə  *AlumPro*"</f>
        <v>Hörmətli *Kamran*  , göstərilən xidmətə görə *5929 AZN* borcunuz qalmışdır . Ödəniş etməyiniz xahiş olunur. Ödəniş kartı  *4098584464110962* . Hörmətlə  *AlumPro*</v>
      </c>
      <c r="N295" s="46"/>
    </row>
    <row r="296" spans="4:14" ht="17.25">
      <c r="D296" s="214" t="s">
        <v>511</v>
      </c>
      <c r="E296" s="247" t="s">
        <v>512</v>
      </c>
      <c r="F296" s="15">
        <f>COUNTIF(Sifarisler!$H$3:$H$10346,D296)</f>
        <v>3</v>
      </c>
      <c r="G296" s="248">
        <f>SUMIF(Sifarisler!$H$3:$H$10346,D296,Sifarisler!$AM$3:$AM$10346)</f>
        <v>1650</v>
      </c>
      <c r="H296" s="248">
        <f>SUMIF(Sifarisler!$H$3:$H$10346,D296,Sifarisler!$AO$3:$AO$10346)</f>
        <v>1666</v>
      </c>
      <c r="I296" s="249">
        <f>SUMIF(Sifarisler!$H$3:$H$10346,D296,Sifarisler!$AP$3:$AP$10346)</f>
        <v>-16</v>
      </c>
      <c r="J296" s="250" t="str">
        <f t="shared" si="92"/>
        <v>Mesaj</v>
      </c>
      <c r="K296" s="9" t="str">
        <f t="shared" si="91"/>
        <v>Ebulfez</v>
      </c>
      <c r="L296" s="10" t="str">
        <f t="shared" si="90"/>
        <v xml:space="preserve">Ebulfez </v>
      </c>
      <c r="M296" s="251" t="str">
        <f>"Hörmətli *"&amp;K296&amp;"*  , göstərilən xidmətə görə *"&amp;I296&amp;" AZN* borcunuz qalmışdır . Ödəniş etməyiniz xahiş olunur. Ödəniş kartı  *"&amp;Məlumatlar!$O$3&amp;"* . Hörmətlə  *AlumPro*"</f>
        <v>Hörmətli *Ebulfez*  , göstərilən xidmətə görə *-16 AZN* borcunuz qalmışdır . Ödəniş etməyiniz xahiş olunur. Ödəniş kartı  *4098584464110962* . Hörmətlə  *AlumPro*</v>
      </c>
      <c r="N296" s="46"/>
    </row>
    <row r="297" spans="4:14" ht="17.25">
      <c r="D297" s="214" t="s">
        <v>668</v>
      </c>
      <c r="E297" s="247" t="s">
        <v>669</v>
      </c>
      <c r="F297" s="15">
        <f>COUNTIF(Sifarisler!$H$3:$H$10346,D297)</f>
        <v>1</v>
      </c>
      <c r="G297" s="248">
        <f>SUMIF(Sifarisler!$H$3:$H$10346,D297,Sifarisler!$AM$3:$AM$10346)</f>
        <v>553</v>
      </c>
      <c r="H297" s="248">
        <f>SUMIF(Sifarisler!$H$3:$H$10346,D297,Sifarisler!$AO$3:$AO$10346)</f>
        <v>553</v>
      </c>
      <c r="I297" s="249">
        <f>SUMIF(Sifarisler!$H$3:$H$10346,D297,Sifarisler!$AP$3:$AP$10346)</f>
        <v>0</v>
      </c>
      <c r="J297" s="250" t="str">
        <f t="shared" si="92"/>
        <v>Mesaj</v>
      </c>
      <c r="K297" s="9" t="str">
        <f t="shared" si="91"/>
        <v>Elekber</v>
      </c>
      <c r="L297" s="10" t="str">
        <f t="shared" si="90"/>
        <v xml:space="preserve">Elekber </v>
      </c>
      <c r="M297" s="251" t="str">
        <f>"Hörmətli *"&amp;K297&amp;"*  , göstərilən xidmətə görə *"&amp;I297&amp;" AZN* borcunuz qalmışdır . Ödəniş etməyiniz xahiş olunur. Ödəniş kartı  *"&amp;Məlumatlar!$O$3&amp;"* . Hörmətlə  *AlumPro*"</f>
        <v>Hörmətli *Elekber*  , göstərilən xidmətə görə *0 AZN* borcunuz qalmışdır . Ödəniş etməyiniz xahiş olunur. Ödəniş kartı  *4098584464110962* . Hörmətlə  *AlumPro*</v>
      </c>
      <c r="N297" s="46"/>
    </row>
    <row r="298" spans="4:14" ht="17.25">
      <c r="D298" s="214" t="s">
        <v>570</v>
      </c>
      <c r="E298" s="247" t="s">
        <v>571</v>
      </c>
      <c r="F298" s="15">
        <f>COUNTIF(Sifarisler!$H$3:$H$10346,D298)</f>
        <v>2</v>
      </c>
      <c r="G298" s="248">
        <f>SUMIF(Sifarisler!$H$3:$H$10346,D298,Sifarisler!$AM$3:$AM$10346)</f>
        <v>242</v>
      </c>
      <c r="H298" s="248">
        <f>SUMIF(Sifarisler!$H$3:$H$10346,D298,Sifarisler!$AO$3:$AO$10346)</f>
        <v>244</v>
      </c>
      <c r="I298" s="249">
        <f>SUMIF(Sifarisler!$H$3:$H$10346,D298,Sifarisler!$AP$3:$AP$10346)</f>
        <v>-2</v>
      </c>
      <c r="J298" s="250" t="str">
        <f t="shared" si="92"/>
        <v>Mesaj</v>
      </c>
      <c r="K298" s="9" t="str">
        <f t="shared" si="91"/>
        <v>Ruslan</v>
      </c>
      <c r="L298" s="10" t="str">
        <f t="shared" si="90"/>
        <v xml:space="preserve">Ruslan </v>
      </c>
      <c r="M298" s="251" t="str">
        <f>"Hörmətli *"&amp;K298&amp;"*  , göstərilən xidmətə görə *"&amp;I298&amp;" AZN* borcunuz qalmışdır . Ödəniş etməyiniz xahiş olunur. Ödəniş kartı  *"&amp;Məlumatlar!$O$3&amp;"* . Hörmətlə  *AlumPro*"</f>
        <v>Hörmətli *Ruslan*  , göstərilən xidmətə görə *-2 AZN* borcunuz qalmışdır . Ödəniş etməyiniz xahiş olunur. Ödəniş kartı  *4098584464110962* . Hörmətlə  *AlumPro*</v>
      </c>
      <c r="N298" s="46"/>
    </row>
    <row r="299" spans="4:14" ht="17.25">
      <c r="D299" s="214" t="s">
        <v>1195</v>
      </c>
      <c r="E299" s="247" t="s">
        <v>1196</v>
      </c>
      <c r="F299" s="15">
        <f>COUNTIF(Sifarisler!$H$3:$H$10346,D299)</f>
        <v>0</v>
      </c>
      <c r="G299" s="248">
        <f>SUMIF(Sifarisler!$H$3:$H$10346,D299,Sifarisler!$AM$3:$AM$10346)</f>
        <v>0</v>
      </c>
      <c r="H299" s="248">
        <f>SUMIF(Sifarisler!$H$3:$H$10346,D299,Sifarisler!$AO$3:$AO$10346)</f>
        <v>0</v>
      </c>
      <c r="I299" s="249">
        <f>SUMIF(Sifarisler!$H$3:$H$10346,D299,Sifarisler!$AP$3:$AP$10346)</f>
        <v>0</v>
      </c>
      <c r="J299" s="250" t="str">
        <f t="shared" si="92"/>
        <v>Mesaj</v>
      </c>
      <c r="K299" s="9" t="str">
        <f t="shared" si="91"/>
        <v>Nagiyev</v>
      </c>
      <c r="L299" s="10" t="str">
        <f t="shared" si="90"/>
        <v xml:space="preserve">Nagiyev </v>
      </c>
      <c r="M299" s="251" t="str">
        <f>"Hörmətli *"&amp;K299&amp;"*  , göstərilən xidmətə görə *"&amp;I299&amp;" AZN* borcunuz qalmışdır . Ödəniş etməyiniz xahiş olunur. Ödəniş kartı  *"&amp;Məlumatlar!$O$3&amp;"* . Hörmətlə  *AlumPro*"</f>
        <v>Hörmətli *Nagiyev*  , göstərilən xidmətə görə *0 AZN* borcunuz qalmışdır . Ödəniş etməyiniz xahiş olunur. Ödəniş kartı  *4098584464110962* . Hörmətlə  *AlumPro*</v>
      </c>
      <c r="N299" s="46"/>
    </row>
    <row r="300" spans="4:14" ht="17.25">
      <c r="D300" s="214" t="s">
        <v>268</v>
      </c>
      <c r="E300" s="247" t="s">
        <v>269</v>
      </c>
      <c r="F300" s="15">
        <f>COUNTIF(Sifarisler!$H$3:$H$10346,D300)</f>
        <v>5</v>
      </c>
      <c r="G300" s="248">
        <f>SUMIF(Sifarisler!$H$3:$H$10346,D300,Sifarisler!$AM$3:$AM$10346)</f>
        <v>2621</v>
      </c>
      <c r="H300" s="248">
        <f>SUMIF(Sifarisler!$H$3:$H$10346,D300,Sifarisler!$AO$3:$AO$10346)</f>
        <v>1347</v>
      </c>
      <c r="I300" s="249">
        <f>SUMIF(Sifarisler!$H$3:$H$10346,D300,Sifarisler!$AP$3:$AP$10346)</f>
        <v>1274</v>
      </c>
      <c r="J300" s="250" t="str">
        <f t="shared" si="92"/>
        <v>Mesaj</v>
      </c>
      <c r="K300" s="9" t="str">
        <f t="shared" si="91"/>
        <v>Elsever</v>
      </c>
      <c r="L300" s="10" t="str">
        <f t="shared" si="90"/>
        <v xml:space="preserve">Elsever </v>
      </c>
      <c r="M300" s="251" t="str">
        <f>"Hörmətli *"&amp;K300&amp;"*  , göstərilən xidmətə görə *"&amp;I300&amp;" AZN* borcunuz qalmışdır . Ödəniş etməyiniz xahiş olunur. Ödəniş kartı  *"&amp;Məlumatlar!$O$3&amp;"* . Hörmətlə  *AlumPro*"</f>
        <v>Hörmətli *Elsever*  , göstərilən xidmətə görə *1274 AZN* borcunuz qalmışdır . Ödəniş etməyiniz xahiş olunur. Ödəniş kartı  *4098584464110962* . Hörmətlə  *AlumPro*</v>
      </c>
      <c r="N300" s="46"/>
    </row>
    <row r="301" spans="4:14" ht="17.25">
      <c r="D301" s="214" t="s">
        <v>1197</v>
      </c>
      <c r="E301" s="247" t="s">
        <v>1198</v>
      </c>
      <c r="F301" s="15">
        <f>COUNTIF(Sifarisler!$H$3:$H$10346,D301)</f>
        <v>0</v>
      </c>
      <c r="G301" s="248">
        <f>SUMIF(Sifarisler!$H$3:$H$10346,D301,Sifarisler!$AM$3:$AM$10346)</f>
        <v>0</v>
      </c>
      <c r="H301" s="248">
        <f>SUMIF(Sifarisler!$H$3:$H$10346,D301,Sifarisler!$AO$3:$AO$10346)</f>
        <v>0</v>
      </c>
      <c r="I301" s="249">
        <f>SUMIF(Sifarisler!$H$3:$H$10346,D301,Sifarisler!$AP$3:$AP$10346)</f>
        <v>0</v>
      </c>
      <c r="J301" s="250" t="str">
        <f t="shared" si="92"/>
        <v>Mesaj</v>
      </c>
      <c r="K301" s="9" t="str">
        <f t="shared" si="91"/>
        <v>Kenan</v>
      </c>
      <c r="L301" s="10" t="str">
        <f t="shared" si="90"/>
        <v xml:space="preserve">Kenan </v>
      </c>
      <c r="M301" s="251" t="str">
        <f>"Hörmətli *"&amp;K301&amp;"*  , göstərilən xidmətə görə *"&amp;I301&amp;" AZN* borcunuz qalmışdır . Ödəniş etməyiniz xahiş olunur. Ödəniş kartı  *"&amp;Məlumatlar!$O$3&amp;"* . Hörmətlə  *AlumPro*"</f>
        <v>Hörmətli *Kenan*  , göstərilən xidmətə görə *0 AZN* borcunuz qalmışdır . Ödəniş etməyiniz xahiş olunur. Ödəniş kartı  *4098584464110962* . Hörmətlə  *AlumPro*</v>
      </c>
      <c r="N301" s="46"/>
    </row>
    <row r="302" spans="4:14" ht="17.25">
      <c r="D302" s="214" t="s">
        <v>548</v>
      </c>
      <c r="E302" s="247" t="s">
        <v>549</v>
      </c>
      <c r="F302" s="15">
        <f>COUNTIF(Sifarisler!$H$3:$H$10346,D302)</f>
        <v>5</v>
      </c>
      <c r="G302" s="248">
        <f>SUMIF(Sifarisler!$H$3:$H$10346,D302,Sifarisler!$AM$3:$AM$10346)</f>
        <v>2033</v>
      </c>
      <c r="H302" s="248">
        <f>SUMIF(Sifarisler!$H$3:$H$10346,D302,Sifarisler!$AO$3:$AO$10346)</f>
        <v>2033</v>
      </c>
      <c r="I302" s="249">
        <f>SUMIF(Sifarisler!$H$3:$H$10346,D302,Sifarisler!$AP$3:$AP$10346)</f>
        <v>0</v>
      </c>
      <c r="J302" s="250" t="str">
        <f t="shared" si="92"/>
        <v>Mesaj</v>
      </c>
      <c r="K302" s="9" t="str">
        <f t="shared" si="91"/>
        <v>Faiq</v>
      </c>
      <c r="L302" s="10" t="str">
        <f t="shared" si="90"/>
        <v xml:space="preserve">Faiq </v>
      </c>
      <c r="M302" s="251" t="str">
        <f>"Hörmətli *"&amp;K302&amp;"*  , göstərilən xidmətə görə *"&amp;I302&amp;" AZN* borcunuz qalmışdır . Ödəniş etməyiniz xahiş olunur. Ödəniş kartı  *"&amp;Məlumatlar!$O$3&amp;"* . Hörmətlə  *AlumPro*"</f>
        <v>Hörmətli *Faiq*  , göstərilən xidmətə görə *0 AZN* borcunuz qalmışdır . Ödəniş etməyiniz xahiş olunur. Ödəniş kartı  *4098584464110962* . Hörmətlə  *AlumPro*</v>
      </c>
      <c r="N302" s="46"/>
    </row>
    <row r="303" spans="4:14" ht="17.25">
      <c r="D303" s="214" t="s">
        <v>1199</v>
      </c>
      <c r="E303" s="247" t="s">
        <v>1200</v>
      </c>
      <c r="F303" s="15">
        <f>COUNTIF(Sifarisler!$H$3:$H$10346,D303)</f>
        <v>0</v>
      </c>
      <c r="G303" s="248">
        <f>SUMIF(Sifarisler!$H$3:$H$10346,D303,Sifarisler!$AM$3:$AM$10346)</f>
        <v>0</v>
      </c>
      <c r="H303" s="248">
        <f>SUMIF(Sifarisler!$H$3:$H$10346,D303,Sifarisler!$AO$3:$AO$10346)</f>
        <v>0</v>
      </c>
      <c r="I303" s="249">
        <f>SUMIF(Sifarisler!$H$3:$H$10346,D303,Sifarisler!$AP$3:$AP$10346)</f>
        <v>0</v>
      </c>
      <c r="J303" s="250" t="str">
        <f t="shared" si="92"/>
        <v>Mesaj</v>
      </c>
      <c r="K303" s="9" t="str">
        <f t="shared" si="91"/>
        <v>Rufet</v>
      </c>
      <c r="L303" s="10" t="str">
        <f t="shared" si="90"/>
        <v xml:space="preserve">Rufet </v>
      </c>
      <c r="M303" s="251" t="str">
        <f>"Hörmətli *"&amp;K303&amp;"*  , göstərilən xidmətə görə *"&amp;I303&amp;" AZN* borcunuz qalmışdır . Ödəniş etməyiniz xahiş olunur. Ödəniş kartı  *"&amp;Məlumatlar!$O$3&amp;"* . Hörmətlə  *AlumPro*"</f>
        <v>Hörmətli *Rufet*  , göstərilən xidmətə görə *0 AZN* borcunuz qalmışdır . Ödəniş etməyiniz xahiş olunur. Ödəniş kartı  *4098584464110962* . Hörmətlə  *AlumPro*</v>
      </c>
      <c r="N303" s="46"/>
    </row>
    <row r="304" spans="4:14" ht="17.25">
      <c r="D304" s="214" t="s">
        <v>704</v>
      </c>
      <c r="E304" s="247" t="s">
        <v>705</v>
      </c>
      <c r="F304" s="15">
        <f>COUNTIF(Sifarisler!$H$3:$H$10346,D304)</f>
        <v>1</v>
      </c>
      <c r="G304" s="248">
        <f>SUMIF(Sifarisler!$H$3:$H$10346,D304,Sifarisler!$AM$3:$AM$10346)</f>
        <v>369</v>
      </c>
      <c r="H304" s="248">
        <f>SUMIF(Sifarisler!$H$3:$H$10346,D304,Sifarisler!$AO$3:$AO$10346)</f>
        <v>345</v>
      </c>
      <c r="I304" s="249">
        <f>SUMIF(Sifarisler!$H$3:$H$10346,D304,Sifarisler!$AP$3:$AP$10346)</f>
        <v>0</v>
      </c>
      <c r="J304" s="250" t="str">
        <f t="shared" si="92"/>
        <v>Mesaj</v>
      </c>
      <c r="K304" s="9" t="str">
        <f t="shared" si="91"/>
        <v>Resad</v>
      </c>
      <c r="L304" s="10" t="str">
        <f t="shared" si="90"/>
        <v xml:space="preserve">Resad </v>
      </c>
      <c r="M304" s="251" t="str">
        <f>"Hörmətli *"&amp;K304&amp;"*  , göstərilən xidmətə görə *"&amp;I304&amp;" AZN* borcunuz qalmışdır . Ödəniş etməyiniz xahiş olunur. Ödəniş kartı  *"&amp;Məlumatlar!$O$3&amp;"* . Hörmətlə  *AlumPro*"</f>
        <v>Hörmətli *Resad*  , göstərilən xidmətə görə *0 AZN* borcunuz qalmışdır . Ödəniş etməyiniz xahiş olunur. Ödəniş kartı  *4098584464110962* . Hörmətlə  *AlumPro*</v>
      </c>
      <c r="N304" s="46"/>
    </row>
    <row r="305" spans="4:14" ht="17.25">
      <c r="D305" s="214" t="s">
        <v>683</v>
      </c>
      <c r="E305" s="247" t="s">
        <v>684</v>
      </c>
      <c r="F305" s="15">
        <f>COUNTIF(Sifarisler!$H$3:$H$10346,D305)</f>
        <v>2</v>
      </c>
      <c r="G305" s="248">
        <f>SUMIF(Sifarisler!$H$3:$H$10346,D305,Sifarisler!$AM$3:$AM$10346)</f>
        <v>378</v>
      </c>
      <c r="H305" s="248">
        <f>SUMIF(Sifarisler!$H$3:$H$10346,D305,Sifarisler!$AO$3:$AO$10346)</f>
        <v>382</v>
      </c>
      <c r="I305" s="249">
        <f>SUMIF(Sifarisler!$H$3:$H$10346,D305,Sifarisler!$AP$3:$AP$10346)</f>
        <v>-4</v>
      </c>
      <c r="J305" s="250" t="str">
        <f t="shared" si="92"/>
        <v>Mesaj</v>
      </c>
      <c r="K305" s="9" t="str">
        <f t="shared" si="91"/>
        <v>Elmeddin</v>
      </c>
      <c r="L305" s="10" t="str">
        <f t="shared" si="90"/>
        <v xml:space="preserve">Elmeddin </v>
      </c>
      <c r="M305" s="251" t="str">
        <f>"Hörmətli *"&amp;K305&amp;"*  , göstərilən xidmətə görə *"&amp;I305&amp;" AZN* borcunuz qalmışdır . Ödəniş etməyiniz xahiş olunur. Ödəniş kartı  *"&amp;Məlumatlar!$O$3&amp;"* . Hörmətlə  *AlumPro*"</f>
        <v>Hörmətli *Elmeddin*  , göstərilən xidmətə görə *-4 AZN* borcunuz qalmışdır . Ödəniş etməyiniz xahiş olunur. Ödəniş kartı  *4098584464110962* . Hörmətlə  *AlumPro*</v>
      </c>
      <c r="N305" s="46"/>
    </row>
    <row r="306" spans="4:14" ht="17.25">
      <c r="D306" s="214" t="s">
        <v>138</v>
      </c>
      <c r="E306" s="247" t="s">
        <v>139</v>
      </c>
      <c r="F306" s="15">
        <f>COUNTIF(Sifarisler!$H$3:$H$10346,D306)</f>
        <v>2</v>
      </c>
      <c r="G306" s="248">
        <f>SUMIF(Sifarisler!$H$3:$H$10346,D306,Sifarisler!$AM$3:$AM$10346)</f>
        <v>612</v>
      </c>
      <c r="H306" s="248">
        <f>SUMIF(Sifarisler!$H$3:$H$10346,D306,Sifarisler!$AO$3:$AO$10346)</f>
        <v>450</v>
      </c>
      <c r="I306" s="249">
        <f>SUMIF(Sifarisler!$H$3:$H$10346,D306,Sifarisler!$AP$3:$AP$10346)</f>
        <v>162</v>
      </c>
      <c r="J306" s="250" t="str">
        <f t="shared" si="92"/>
        <v>Mesaj</v>
      </c>
      <c r="K306" s="9" t="str">
        <f t="shared" si="91"/>
        <v>Omer</v>
      </c>
      <c r="L306" s="10" t="str">
        <f t="shared" si="90"/>
        <v xml:space="preserve">Omer </v>
      </c>
      <c r="M306" s="251" t="str">
        <f>"Hörmətli *"&amp;K306&amp;"*  , göstərilən xidmətə görə *"&amp;I306&amp;" AZN* borcunuz qalmışdır . Ödəniş etməyiniz xahiş olunur. Ödəniş kartı  *"&amp;Məlumatlar!$O$3&amp;"* . Hörmətlə  *AlumPro*"</f>
        <v>Hörmətli *Omer*  , göstərilən xidmətə görə *162 AZN* borcunuz qalmışdır . Ödəniş etməyiniz xahiş olunur. Ödəniş kartı  *4098584464110962* . Hörmətlə  *AlumPro*</v>
      </c>
      <c r="N306" s="46"/>
    </row>
    <row r="307" spans="4:14" ht="17.25">
      <c r="D307" s="214" t="s">
        <v>41</v>
      </c>
      <c r="E307" s="247" t="s">
        <v>116</v>
      </c>
      <c r="F307" s="15">
        <f>COUNTIF(Sifarisler!$H$3:$H$10346,D307)</f>
        <v>8</v>
      </c>
      <c r="G307" s="248">
        <f>SUMIF(Sifarisler!$H$3:$H$10346,D307,Sifarisler!$AM$3:$AM$10346)</f>
        <v>9799</v>
      </c>
      <c r="H307" s="248">
        <f>SUMIF(Sifarisler!$H$3:$H$10346,D307,Sifarisler!$AO$3:$AO$10346)</f>
        <v>6941</v>
      </c>
      <c r="I307" s="249">
        <f>SUMIF(Sifarisler!$H$3:$H$10346,D307,Sifarisler!$AP$3:$AP$10346)</f>
        <v>2858</v>
      </c>
      <c r="J307" s="250" t="str">
        <f t="shared" si="92"/>
        <v>Mesaj</v>
      </c>
      <c r="K307" s="9" t="str">
        <f t="shared" si="91"/>
        <v>Fariz</v>
      </c>
      <c r="L307" s="10" t="str">
        <f t="shared" si="90"/>
        <v xml:space="preserve">Fariz </v>
      </c>
      <c r="M307" s="251" t="str">
        <f>"Hörmətli *"&amp;K307&amp;"*  , göstərilən xidmətə görə *"&amp;I307&amp;" AZN* borcunuz qalmışdır . Ödəniş etməyiniz xahiş olunur. Ödəniş kartı  *"&amp;Məlumatlar!$O$3&amp;"* . Hörmətlə  *AlumPro*"</f>
        <v>Hörmətli *Fariz*  , göstərilən xidmətə görə *2858 AZN* borcunuz qalmışdır . Ödəniş etməyiniz xahiş olunur. Ödəniş kartı  *4098584464110962* . Hörmətlə  *AlumPro*</v>
      </c>
      <c r="N307" s="46"/>
    </row>
    <row r="308" spans="4:14" ht="17.25">
      <c r="D308" s="214" t="s">
        <v>281</v>
      </c>
      <c r="E308" s="247" t="s">
        <v>282</v>
      </c>
      <c r="F308" s="15">
        <f>COUNTIF(Sifarisler!$H$3:$H$10346,D308)</f>
        <v>5</v>
      </c>
      <c r="G308" s="248">
        <f>SUMIF(Sifarisler!$H$3:$H$10346,D308,Sifarisler!$AM$3:$AM$10346)</f>
        <v>2394</v>
      </c>
      <c r="H308" s="248">
        <f>SUMIF(Sifarisler!$H$3:$H$10346,D308,Sifarisler!$AO$3:$AO$10346)</f>
        <v>1481</v>
      </c>
      <c r="I308" s="249">
        <f>SUMIF(Sifarisler!$H$3:$H$10346,D308,Sifarisler!$AP$3:$AP$10346)</f>
        <v>913</v>
      </c>
      <c r="J308" s="250" t="str">
        <f t="shared" si="92"/>
        <v>Mesaj</v>
      </c>
      <c r="K308" s="9" t="str">
        <f t="shared" si="91"/>
        <v>Muxtar</v>
      </c>
      <c r="L308" s="10" t="str">
        <f t="shared" si="90"/>
        <v xml:space="preserve">Muxtar </v>
      </c>
      <c r="M308" s="251" t="str">
        <f>"Hörmətli *"&amp;K308&amp;"*  , göstərilən xidmətə görə *"&amp;I308&amp;" AZN* borcunuz qalmışdır . Ödəniş etməyiniz xahiş olunur. Ödəniş kartı  *"&amp;Məlumatlar!$O$3&amp;"* . Hörmətlə  *AlumPro*"</f>
        <v>Hörmətli *Muxtar*  , göstərilən xidmətə görə *913 AZN* borcunuz qalmışdır . Ödəniş etməyiniz xahiş olunur. Ödəniş kartı  *4098584464110962* . Hörmətlə  *AlumPro*</v>
      </c>
      <c r="N308" s="46"/>
    </row>
    <row r="309" spans="4:14" ht="17.25">
      <c r="D309" s="214" t="s">
        <v>1201</v>
      </c>
      <c r="E309" s="247" t="s">
        <v>1202</v>
      </c>
      <c r="F309" s="15">
        <f>COUNTIF(Sifarisler!$H$3:$H$10346,D309)</f>
        <v>0</v>
      </c>
      <c r="G309" s="248">
        <f>SUMIF(Sifarisler!$H$3:$H$10346,D309,Sifarisler!$AM$3:$AM$10346)</f>
        <v>0</v>
      </c>
      <c r="H309" s="248">
        <f>SUMIF(Sifarisler!$H$3:$H$10346,D309,Sifarisler!$AO$3:$AO$10346)</f>
        <v>0</v>
      </c>
      <c r="I309" s="249">
        <f>SUMIF(Sifarisler!$H$3:$H$10346,D309,Sifarisler!$AP$3:$AP$10346)</f>
        <v>0</v>
      </c>
      <c r="J309" s="250" t="str">
        <f t="shared" si="92"/>
        <v>Mesaj</v>
      </c>
      <c r="K309" s="9" t="str">
        <f t="shared" si="91"/>
        <v>Nureddin</v>
      </c>
      <c r="L309" s="10" t="str">
        <f t="shared" ref="L309:L312" si="93">LEFT(D309,FIND("*",SUBSTITUTE(D309," ","*",1)))</f>
        <v xml:space="preserve">Nureddin </v>
      </c>
      <c r="M309" s="251" t="str">
        <f>"Hörmətli *"&amp;K309&amp;"*  , göstərilən xidmətə görə *"&amp;I309&amp;" AZN* borcunuz qalmışdır . Ödəniş etməyiniz xahiş olunur. Ödəniş kartı  *"&amp;Məlumatlar!$O$3&amp;"* . Hörmətlə  *AlumPro*"</f>
        <v>Hörmətli *Nureddin*  , göstərilən xidmətə görə *0 AZN* borcunuz qalmışdır . Ödəniş etməyiniz xahiş olunur. Ödəniş kartı  *4098584464110962* . Hörmətlə  *AlumPro*</v>
      </c>
      <c r="N309" s="46"/>
    </row>
    <row r="310" spans="4:14" ht="17.25">
      <c r="D310" s="214" t="s">
        <v>310</v>
      </c>
      <c r="E310" s="247" t="s">
        <v>311</v>
      </c>
      <c r="F310" s="15">
        <f>COUNTIF(Sifarisler!$H$3:$H$10346,D310)</f>
        <v>4</v>
      </c>
      <c r="G310" s="248">
        <f>SUMIF(Sifarisler!$H$3:$H$10346,D310,Sifarisler!$AM$3:$AM$10346)</f>
        <v>4411</v>
      </c>
      <c r="H310" s="248">
        <f>SUMIF(Sifarisler!$H$3:$H$10346,D310,Sifarisler!$AO$3:$AO$10346)</f>
        <v>3441</v>
      </c>
      <c r="I310" s="249">
        <f>SUMIF(Sifarisler!$H$3:$H$10346,D310,Sifarisler!$AP$3:$AP$10346)</f>
        <v>970</v>
      </c>
      <c r="J310" s="250" t="str">
        <f t="shared" si="92"/>
        <v>Mesaj</v>
      </c>
      <c r="K310" s="9" t="str">
        <f t="shared" ref="K310:K313" si="94">SUBSTITUTE(L310," ","")</f>
        <v>Mecnun</v>
      </c>
      <c r="L310" s="10" t="str">
        <f t="shared" si="93"/>
        <v xml:space="preserve">Mecnun </v>
      </c>
      <c r="M310" s="251" t="str">
        <f>"Hörmətli *"&amp;K310&amp;"*  , göstərilən xidmətə görə *"&amp;I310&amp;" AZN* borcunuz qalmışdır . Ödəniş etməyiniz xahiş olunur. Ödəniş kartı  *"&amp;Məlumatlar!$O$3&amp;"* . Hörmətlə  *AlumPro*"</f>
        <v>Hörmətli *Mecnun*  , göstərilən xidmətə görə *970 AZN* borcunuz qalmışdır . Ödəniş etməyiniz xahiş olunur. Ödəniş kartı  *4098584464110962* . Hörmətlə  *AlumPro*</v>
      </c>
      <c r="N310" s="46"/>
    </row>
    <row r="311" spans="4:14" ht="17.25">
      <c r="D311" s="214" t="s">
        <v>792</v>
      </c>
      <c r="E311" s="247" t="s">
        <v>793</v>
      </c>
      <c r="F311" s="15">
        <f>COUNTIF(Sifarisler!$H$3:$H$10346,D311)</f>
        <v>1</v>
      </c>
      <c r="G311" s="248">
        <f>SUMIF(Sifarisler!$H$3:$H$10346,D311,Sifarisler!$AM$3:$AM$10346)</f>
        <v>140</v>
      </c>
      <c r="H311" s="248">
        <f>SUMIF(Sifarisler!$H$3:$H$10346,D311,Sifarisler!$AO$3:$AO$10346)</f>
        <v>140</v>
      </c>
      <c r="I311" s="249">
        <f>SUMIF(Sifarisler!$H$3:$H$10346,D311,Sifarisler!$AP$3:$AP$10346)</f>
        <v>0</v>
      </c>
      <c r="J311" s="250" t="str">
        <f t="shared" si="92"/>
        <v>Mesaj</v>
      </c>
      <c r="K311" s="9" t="str">
        <f t="shared" si="94"/>
        <v>Behruz</v>
      </c>
      <c r="L311" s="10" t="str">
        <f t="shared" si="93"/>
        <v xml:space="preserve">Behruz </v>
      </c>
      <c r="M311" s="251" t="str">
        <f>"Hörmətli *"&amp;K311&amp;"*  , göstərilən xidmətə görə *"&amp;I311&amp;" AZN* borcunuz qalmışdır . Ödəniş etməyiniz xahiş olunur. Ödəniş kartı  *"&amp;Məlumatlar!$O$3&amp;"* . Hörmətlə  *AlumPro*"</f>
        <v>Hörmətli *Behruz*  , göstərilən xidmətə görə *0 AZN* borcunuz qalmışdır . Ödəniş etməyiniz xahiş olunur. Ödəniş kartı  *4098584464110962* . Hörmətlə  *AlumPro*</v>
      </c>
      <c r="N311" s="46"/>
    </row>
    <row r="312" spans="4:14" ht="17.25">
      <c r="D312" s="21" t="s">
        <v>787</v>
      </c>
      <c r="E312" s="247" t="s">
        <v>788</v>
      </c>
      <c r="F312" s="15">
        <f>COUNTIF(Sifarisler!$H$3:$H$10346,D312)</f>
        <v>1</v>
      </c>
      <c r="G312" s="248">
        <f>SUMIF(Sifarisler!$H$3:$H$10346,D312,Sifarisler!$AM$3:$AM$10346)</f>
        <v>1440</v>
      </c>
      <c r="H312" s="248">
        <f>SUMIF(Sifarisler!$H$3:$H$10346,D312,Sifarisler!$AO$3:$AO$10346)</f>
        <v>1440</v>
      </c>
      <c r="I312" s="249">
        <f>SUMIF(Sifarisler!$H$3:$H$10346,D312,Sifarisler!$AP$3:$AP$10346)</f>
        <v>0</v>
      </c>
      <c r="J312" s="250" t="str">
        <f t="shared" si="92"/>
        <v>Mesaj</v>
      </c>
      <c r="K312" s="9" t="str">
        <f t="shared" si="94"/>
        <v>Saiq</v>
      </c>
      <c r="L312" s="10" t="str">
        <f t="shared" si="93"/>
        <v xml:space="preserve">Saiq </v>
      </c>
      <c r="M312" s="251" t="str">
        <f>"Hörmətli *"&amp;K312&amp;"*  , göstərilən xidmətə görə *"&amp;I312&amp;" AZN* borcunuz qalmışdır . Ödəniş etməyiniz xahiş olunur. Ödəniş kartı  *"&amp;Məlumatlar!$O$3&amp;"* . Hörmətlə  *AlumPro*"</f>
        <v>Hörmətli *Saiq*  , göstərilən xidmətə görə *0 AZN* borcunuz qalmışdır . Ödəniş etməyiniz xahiş olunur. Ödəniş kartı  *4098584464110962* . Hörmətlə  *AlumPro*</v>
      </c>
      <c r="N312" s="46"/>
    </row>
    <row r="313" spans="4:14" ht="17.25">
      <c r="D313" s="21" t="s">
        <v>765</v>
      </c>
      <c r="E313" s="17"/>
      <c r="F313" s="15">
        <f>COUNTIF(Sifarisler!$H$3:$H$10346,D313)</f>
        <v>2</v>
      </c>
      <c r="G313" s="248">
        <f>SUMIF(Sifarisler!$H$3:$H$10346,D313,Sifarisler!$AM$3:$AM$10346)</f>
        <v>1004</v>
      </c>
      <c r="H313" s="248">
        <f>SUMIF(Sifarisler!$H$3:$H$10346,D313,Sifarisler!$AO$3:$AO$10346)</f>
        <v>1004</v>
      </c>
      <c r="I313" s="249">
        <f>SUMIF(Sifarisler!$H$3:$H$10346,D313,Sifarisler!$AP$3:$AP$10346)</f>
        <v>0</v>
      </c>
      <c r="J313" s="250" t="str">
        <f t="shared" si="92"/>
        <v>Mesaj</v>
      </c>
      <c r="K313" s="9" t="str">
        <f t="shared" si="94"/>
        <v>Art</v>
      </c>
      <c r="L313" s="252" t="str">
        <f>LEFT(D313,FIND("*",SUBSTITUTE(D313," ","*",1)))</f>
        <v xml:space="preserve">Art </v>
      </c>
      <c r="M313" s="251" t="str">
        <f>"Hörmətli *"&amp;K313&amp;"*  , göstərilən xidmətə görə *"&amp;I313&amp;" AZN* borcunuz qalmışdır . Ödəniş etməyiniz xahiş olunur. Ödəniş kartı  *"&amp;Məlumatlar!$O$3&amp;"* . Hörmətlə  *AlumPro*"</f>
        <v>Hörmətli *Art*  , göstərilən xidmətə görə *0 AZN* borcunuz qalmışdır . Ödəniş etməyiniz xahiş olunur. Ödəniş kartı  *4098584464110962* . Hörmətlə  *AlumPro*</v>
      </c>
      <c r="N313" s="252"/>
    </row>
  </sheetData>
  <mergeCells count="1">
    <mergeCell ref="D1:M1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F7FB9-AD14-47FF-A5B8-CA74CB90153C}">
  <sheetPr codeName="Sayfa9"/>
  <dimension ref="A1:V52"/>
  <sheetViews>
    <sheetView topLeftCell="D1" workbookViewId="0">
      <selection activeCell="O3" sqref="O3"/>
    </sheetView>
  </sheetViews>
  <sheetFormatPr defaultRowHeight="15"/>
  <cols>
    <col min="1" max="1" width="7.28515625" style="37" customWidth="1"/>
    <col min="2" max="2" width="23.28515625" style="33" hidden="1" customWidth="1"/>
    <col min="3" max="3" width="5.7109375" style="36" customWidth="1"/>
    <col min="4" max="4" width="15" style="36" customWidth="1"/>
    <col min="5" max="5" width="19.42578125" customWidth="1"/>
    <col min="6" max="6" width="20.5703125" customWidth="1"/>
    <col min="7" max="7" width="15.140625" bestFit="1" customWidth="1"/>
    <col min="8" max="8" width="16.85546875" customWidth="1"/>
    <col min="9" max="9" width="18.28515625" customWidth="1"/>
    <col min="10" max="10" width="14" customWidth="1"/>
    <col min="11" max="11" width="5.140625" style="202" customWidth="1"/>
    <col min="12" max="12" width="17.85546875" customWidth="1"/>
    <col min="13" max="13" width="24.85546875" customWidth="1"/>
    <col min="14" max="14" width="16.7109375" customWidth="1"/>
    <col min="15" max="15" width="11.7109375" customWidth="1"/>
    <col min="16" max="16" width="15.85546875" customWidth="1"/>
    <col min="17" max="17" width="19.7109375" customWidth="1"/>
    <col min="18" max="18" width="16.5703125" customWidth="1"/>
    <col min="19" max="19" width="17" customWidth="1"/>
    <col min="20" max="20" width="17.85546875" customWidth="1"/>
    <col min="21" max="21" width="16.85546875" customWidth="1"/>
    <col min="22" max="22" width="18.5703125" customWidth="1"/>
    <col min="26" max="26" width="16" customWidth="1"/>
    <col min="27" max="27" width="23.5703125" customWidth="1"/>
    <col min="28" max="28" width="14" customWidth="1"/>
    <col min="29" max="29" width="22.28515625" customWidth="1"/>
  </cols>
  <sheetData>
    <row r="1" spans="2:19" ht="48.75" customHeight="1" thickBot="1">
      <c r="B1" s="25"/>
      <c r="C1" s="34"/>
      <c r="D1" s="25"/>
      <c r="E1" s="200"/>
      <c r="F1" s="200"/>
      <c r="G1" s="200"/>
      <c r="H1" s="200"/>
      <c r="I1" s="200"/>
      <c r="J1" s="200"/>
      <c r="K1" s="201"/>
      <c r="L1" s="345" t="s">
        <v>1203</v>
      </c>
      <c r="M1" s="345"/>
      <c r="N1" s="345"/>
      <c r="O1" s="345"/>
      <c r="P1" s="345"/>
      <c r="Q1" s="345"/>
      <c r="R1" s="345"/>
    </row>
    <row r="2" spans="2:19" ht="18" thickBot="1">
      <c r="D2" s="196" t="s">
        <v>1204</v>
      </c>
      <c r="E2" s="53" t="s">
        <v>1205</v>
      </c>
      <c r="F2" s="52" t="s">
        <v>20</v>
      </c>
      <c r="G2" s="52" t="s">
        <v>1206</v>
      </c>
      <c r="H2" s="54" t="s">
        <v>1207</v>
      </c>
      <c r="I2" s="54" t="s">
        <v>1208</v>
      </c>
      <c r="L2" s="205" t="s">
        <v>1205</v>
      </c>
      <c r="M2" s="206" t="s">
        <v>20</v>
      </c>
      <c r="N2" s="207" t="s">
        <v>1209</v>
      </c>
      <c r="O2" s="42" t="s">
        <v>1210</v>
      </c>
      <c r="P2" s="41" t="s">
        <v>1211</v>
      </c>
      <c r="Q2" s="41" t="s">
        <v>1212</v>
      </c>
      <c r="R2" s="43" t="s">
        <v>1213</v>
      </c>
      <c r="S2" s="44" t="s">
        <v>1214</v>
      </c>
    </row>
    <row r="3" spans="2:19" ht="17.25">
      <c r="D3" s="65" t="s">
        <v>1215</v>
      </c>
      <c r="E3" s="21" t="s">
        <v>1216</v>
      </c>
      <c r="F3" s="17" t="s">
        <v>276</v>
      </c>
      <c r="G3" s="74">
        <v>2000</v>
      </c>
      <c r="H3" s="75">
        <f>_xlfn.XLOOKUP(F3,Məlumatlar!$D$3:$D$17,Məlumatlar!$E$3:$E$17)</f>
        <v>13</v>
      </c>
      <c r="I3" s="75">
        <f>_xlfn.XLOOKUP(F3,Məlumatlar!$D$3:$D$17,Məlumatlar!$F$3:$F$17)</f>
        <v>35</v>
      </c>
      <c r="L3" s="10" t="s">
        <v>78</v>
      </c>
      <c r="M3" s="199" t="s">
        <v>36</v>
      </c>
      <c r="N3" s="23">
        <f>SUMIF($F$3:$F$1001,Şüşə!$M3,$G$3:$G$1001)</f>
        <v>6000</v>
      </c>
      <c r="O3" s="77">
        <f>SUMIF(Sifarisler!$Y$3:$Y$10346,Şüşə!$M3,Sifarisler!$Z$3:$Z$10346)</f>
        <v>315.10000000000002</v>
      </c>
      <c r="P3" s="24">
        <f>N3-O3</f>
        <v>5684.9</v>
      </c>
      <c r="Q3" s="76">
        <f t="shared" ref="Q3:Q17" si="0">_xlfn.XLOOKUP(M3,$F$3:$F$10001,$H$3:$H$10001,"")*N3</f>
        <v>60000</v>
      </c>
      <c r="R3" s="76">
        <f ca="1">SUMIF(Sifarisler!$Y$3:$Y$10346,Şüşə!$M3,Sifarisler!$AA$3:$AA$10000)</f>
        <v>16406</v>
      </c>
      <c r="S3" s="209">
        <f>(I3-H3)*O3</f>
        <v>6932.2000000000007</v>
      </c>
    </row>
    <row r="4" spans="2:19" ht="17.25">
      <c r="D4" s="65"/>
      <c r="E4" s="21"/>
      <c r="F4" s="17"/>
      <c r="G4" s="74"/>
      <c r="H4" s="75" t="e">
        <f>_xlfn.XLOOKUP(F4,Məlumatlar!$D$3:$D$17,Məlumatlar!$E$3:$E$17)</f>
        <v>#N/A</v>
      </c>
      <c r="I4" s="75" t="e">
        <f>_xlfn.XLOOKUP(F4,Məlumatlar!$D$3:$D$17,Məlumatlar!$F$3:$F$17)</f>
        <v>#N/A</v>
      </c>
      <c r="L4" s="15" t="s">
        <v>78</v>
      </c>
      <c r="M4" s="23" t="s">
        <v>199</v>
      </c>
      <c r="N4" s="23">
        <f>SUMIF($F$3:$F$1001,Şüşə!$M4,$G$3:$G$1001)</f>
        <v>150</v>
      </c>
      <c r="O4" s="77">
        <f>SUMIF(Sifarisler!$Y$3:$Y$10346,Şüşə!$M4,Sifarisler!$Z$3:$Z$10346)</f>
        <v>59.72</v>
      </c>
      <c r="P4" s="24">
        <f t="shared" ref="P4:P17" si="1">N4-O4</f>
        <v>90.28</v>
      </c>
      <c r="Q4" s="76">
        <f t="shared" si="0"/>
        <v>1350</v>
      </c>
      <c r="R4" s="76">
        <f ca="1">SUMIF(Sifarisler!$Y$3:$Y$10346,Şüşə!$M4,Sifarisler!$AA$3:$AA$10000)</f>
        <v>7137</v>
      </c>
      <c r="S4" s="209" t="e">
        <f t="shared" ref="S4:S17" si="2">(I4-H4)*O4</f>
        <v>#N/A</v>
      </c>
    </row>
    <row r="5" spans="2:19" ht="17.25">
      <c r="D5" s="65" t="s">
        <v>1217</v>
      </c>
      <c r="E5" s="21" t="s">
        <v>1218</v>
      </c>
      <c r="F5" s="17" t="s">
        <v>490</v>
      </c>
      <c r="G5" s="74">
        <v>250</v>
      </c>
      <c r="H5" s="75">
        <f>_xlfn.XLOOKUP(F5,Məlumatlar!$D$3:$D$17,Məlumatlar!$E$3:$E$17)</f>
        <v>19</v>
      </c>
      <c r="I5" s="75">
        <f>_xlfn.XLOOKUP(F5,Məlumatlar!$D$3:$D$17,Məlumatlar!$F$3:$F$17)</f>
        <v>30</v>
      </c>
      <c r="L5" s="10" t="s">
        <v>78</v>
      </c>
      <c r="M5" s="199" t="s">
        <v>387</v>
      </c>
      <c r="N5" s="23">
        <f>SUMIF($F$3:$F$1001,Şüşə!$M5,$G$3:$G$1001)</f>
        <v>0</v>
      </c>
      <c r="O5" s="77">
        <f>SUMIF(Sifarisler!$Y$3:$Y$10346,Şüşə!$M5,Sifarisler!$Z$3:$Z$10346)</f>
        <v>0</v>
      </c>
      <c r="P5" s="24">
        <f t="shared" si="1"/>
        <v>0</v>
      </c>
      <c r="Q5" s="76" t="e">
        <f t="shared" si="0"/>
        <v>#VALUE!</v>
      </c>
      <c r="R5" s="76">
        <f ca="1">SUMIF(Sifarisler!$Y$3:$Y$10346,Şüşə!$M5,Sifarisler!$AA$3:$AA$10000)</f>
        <v>538</v>
      </c>
      <c r="S5" s="209">
        <f t="shared" si="2"/>
        <v>0</v>
      </c>
    </row>
    <row r="6" spans="2:19" ht="17.25">
      <c r="D6" s="65" t="s">
        <v>1215</v>
      </c>
      <c r="E6" s="21" t="s">
        <v>78</v>
      </c>
      <c r="F6" s="17" t="s">
        <v>199</v>
      </c>
      <c r="G6" s="74">
        <v>150</v>
      </c>
      <c r="H6" s="75">
        <f>_xlfn.XLOOKUP(F6,Məlumatlar!$D$3:$D$17,Məlumatlar!$E$3:$E$17)</f>
        <v>9</v>
      </c>
      <c r="I6" s="75">
        <f>_xlfn.XLOOKUP(F6,Məlumatlar!$D$3:$D$17,Məlumatlar!$F$3:$F$17)</f>
        <v>25</v>
      </c>
      <c r="L6" s="15" t="s">
        <v>78</v>
      </c>
      <c r="M6" s="23" t="s">
        <v>1219</v>
      </c>
      <c r="N6" s="23">
        <f>SUMIF($F$3:$F$1001,Şüşə!$M6,$G$3:$G$1001)</f>
        <v>0</v>
      </c>
      <c r="O6" s="77">
        <f>SUMIF(Sifarisler!$Y$3:$Y$10346,Şüşə!$M6,Sifarisler!$Z$3:$Z$10346)</f>
        <v>0</v>
      </c>
      <c r="P6" s="24">
        <f t="shared" si="1"/>
        <v>0</v>
      </c>
      <c r="Q6" s="76" t="e">
        <f t="shared" si="0"/>
        <v>#VALUE!</v>
      </c>
      <c r="R6" s="76">
        <f ca="1">SUMIF(Sifarisler!$Y$3:$Y$10346,Şüşə!$M6,Sifarisler!$AA$3:$AA$10000)</f>
        <v>0</v>
      </c>
      <c r="S6" s="209">
        <f t="shared" si="2"/>
        <v>0</v>
      </c>
    </row>
    <row r="7" spans="2:19" ht="17.25">
      <c r="D7" s="65" t="s">
        <v>1217</v>
      </c>
      <c r="E7" s="21" t="s">
        <v>78</v>
      </c>
      <c r="F7" s="17" t="s">
        <v>36</v>
      </c>
      <c r="G7" s="74">
        <v>2000</v>
      </c>
      <c r="H7" s="75">
        <f>_xlfn.XLOOKUP(F7,Məlumatlar!$D$3:$D$17,Məlumatlar!$E$3:$E$17)</f>
        <v>10</v>
      </c>
      <c r="I7" s="75">
        <f>_xlfn.XLOOKUP(F7,Məlumatlar!$D$3:$D$17,Məlumatlar!$F$3:$F$17)</f>
        <v>25</v>
      </c>
      <c r="L7" s="10" t="s">
        <v>78</v>
      </c>
      <c r="M7" s="199" t="s">
        <v>406</v>
      </c>
      <c r="N7" s="23">
        <f>SUMIF($F$3:$F$1001,Şüşə!$M7,$G$3:$G$1001)</f>
        <v>0</v>
      </c>
      <c r="O7" s="77">
        <f>SUMIF(Sifarisler!$Y$3:$Y$10346,Şüşə!$M7,Sifarisler!$Z$3:$Z$10346)</f>
        <v>22.14</v>
      </c>
      <c r="P7" s="24">
        <f t="shared" si="1"/>
        <v>-22.14</v>
      </c>
      <c r="Q7" s="76" t="e">
        <f t="shared" si="0"/>
        <v>#VALUE!</v>
      </c>
      <c r="R7" s="76">
        <f ca="1">SUMIF(Sifarisler!$Y$3:$Y$10346,Şüşə!$M7,Sifarisler!$AA$3:$AA$10000)</f>
        <v>2310</v>
      </c>
      <c r="S7" s="209">
        <f t="shared" si="2"/>
        <v>332.1</v>
      </c>
    </row>
    <row r="8" spans="2:19" ht="17.25">
      <c r="D8" s="65" t="s">
        <v>1215</v>
      </c>
      <c r="E8" s="21" t="s">
        <v>1216</v>
      </c>
      <c r="F8" s="17" t="s">
        <v>36</v>
      </c>
      <c r="G8" s="74">
        <v>2000</v>
      </c>
      <c r="H8" s="75">
        <f>_xlfn.XLOOKUP(F8,Məlumatlar!$D$3:$D$17,Məlumatlar!$E$3:$E$17)</f>
        <v>10</v>
      </c>
      <c r="I8" s="75">
        <f>_xlfn.XLOOKUP(F8,Məlumatlar!$D$3:$D$17,Məlumatlar!$F$3:$F$17)</f>
        <v>25</v>
      </c>
      <c r="L8" s="10" t="s">
        <v>78</v>
      </c>
      <c r="M8" s="23" t="s">
        <v>505</v>
      </c>
      <c r="N8" s="23">
        <f>SUMIF($F$3:$F$1001,Şüşə!$M8,$G$3:$G$1001)</f>
        <v>0</v>
      </c>
      <c r="O8" s="77">
        <f>SUMIF(Sifarisler!$Y$3:$Y$10346,Şüşə!$M8,Sifarisler!$Z$3:$Z$10346)</f>
        <v>7.45</v>
      </c>
      <c r="P8" s="24">
        <f t="shared" si="1"/>
        <v>-7.45</v>
      </c>
      <c r="Q8" s="76" t="e">
        <f t="shared" si="0"/>
        <v>#VALUE!</v>
      </c>
      <c r="R8" s="76">
        <f ca="1">SUMIF(Sifarisler!$Y$3:$Y$10346,Şüşə!$M8,Sifarisler!$AA$3:$AA$10000)</f>
        <v>990</v>
      </c>
      <c r="S8" s="209">
        <f t="shared" si="2"/>
        <v>111.75</v>
      </c>
    </row>
    <row r="9" spans="2:19" ht="17.25">
      <c r="D9" s="23" t="s">
        <v>1220</v>
      </c>
      <c r="E9" s="15" t="s">
        <v>1218</v>
      </c>
      <c r="F9" s="17" t="s">
        <v>203</v>
      </c>
      <c r="G9" s="197">
        <v>2000</v>
      </c>
      <c r="H9" s="198">
        <f>_xlfn.XLOOKUP(F9,Məlumatlar!$D$3:$D$17,Məlumatlar!$E$3:$E$17)</f>
        <v>29</v>
      </c>
      <c r="I9" s="198">
        <f>_xlfn.XLOOKUP(F9,Məlumatlar!$D$3:$D$17,Məlumatlar!$F$3:$F$17)</f>
        <v>35</v>
      </c>
      <c r="L9" s="10" t="s">
        <v>78</v>
      </c>
      <c r="M9" s="199" t="s">
        <v>419</v>
      </c>
      <c r="N9" s="23">
        <f>SUMIF($F$3:$F$1001,Şüşə!$M9,$G$3:$G$1001)</f>
        <v>0</v>
      </c>
      <c r="O9" s="77">
        <f>SUMIF(Sifarisler!$Y$3:$Y$10346,Şüşə!$M9,Sifarisler!$Z$3:$Z$10346)</f>
        <v>0</v>
      </c>
      <c r="P9" s="24">
        <f t="shared" si="1"/>
        <v>0</v>
      </c>
      <c r="Q9" s="76" t="e">
        <f t="shared" si="0"/>
        <v>#VALUE!</v>
      </c>
      <c r="R9" s="76">
        <f ca="1">SUMIF(Sifarisler!$Y$3:$Y$10346,Şüşə!$M9,Sifarisler!$AA$3:$AA$10000)</f>
        <v>3051</v>
      </c>
      <c r="S9" s="209">
        <f t="shared" si="2"/>
        <v>0</v>
      </c>
    </row>
    <row r="10" spans="2:19" ht="17.25">
      <c r="D10" s="210" t="s">
        <v>1217</v>
      </c>
      <c r="E10" s="21" t="s">
        <v>78</v>
      </c>
      <c r="F10" s="17" t="s">
        <v>36</v>
      </c>
      <c r="G10" s="74">
        <v>2000</v>
      </c>
      <c r="H10" s="75">
        <f>_xlfn.XLOOKUP(F10,Məlumatlar!$D$3:$D$17,Məlumatlar!$E$3:$E$17)</f>
        <v>10</v>
      </c>
      <c r="I10" s="75">
        <f>_xlfn.XLOOKUP(F10,Məlumatlar!$D$3:$D$17,Məlumatlar!$F$3:$F$17)</f>
        <v>25</v>
      </c>
      <c r="L10" s="10" t="s">
        <v>78</v>
      </c>
      <c r="M10" s="23" t="s">
        <v>232</v>
      </c>
      <c r="N10" s="23">
        <f>SUMIF($F$3:$F$1001,Şüşə!$M10,$G$3:$G$1001)</f>
        <v>0</v>
      </c>
      <c r="O10" s="77">
        <f>SUMIF(Sifarisler!$Y$3:$Y$10346,Şüşə!$M10,Sifarisler!$Z$3:$Z$10346)</f>
        <v>0</v>
      </c>
      <c r="P10" s="24">
        <f t="shared" si="1"/>
        <v>0</v>
      </c>
      <c r="Q10" s="76" t="e">
        <f t="shared" si="0"/>
        <v>#VALUE!</v>
      </c>
      <c r="R10" s="76">
        <f ca="1">SUMIF(Sifarisler!$Y$3:$Y$10346,Şüşə!$M10,Sifarisler!$AA$3:$AA$10000)</f>
        <v>1808</v>
      </c>
      <c r="S10" s="209">
        <f t="shared" si="2"/>
        <v>0</v>
      </c>
    </row>
    <row r="11" spans="2:19" ht="17.25">
      <c r="D11"/>
      <c r="L11" s="10" t="s">
        <v>78</v>
      </c>
      <c r="M11" s="199" t="s">
        <v>473</v>
      </c>
      <c r="N11" s="23">
        <f>SUMIF($F$3:$F$1001,Şüşə!$M11,$G$3:$G$1001)</f>
        <v>0</v>
      </c>
      <c r="O11" s="77">
        <f>SUMIF(Sifarisler!$Y$3:$Y$10346,Şüşə!$M11,Sifarisler!$Z$3:$Z$10346)</f>
        <v>0</v>
      </c>
      <c r="P11" s="24">
        <f t="shared" si="1"/>
        <v>0</v>
      </c>
      <c r="Q11" s="76" t="e">
        <f t="shared" si="0"/>
        <v>#VALUE!</v>
      </c>
      <c r="R11" s="76">
        <f ca="1">SUMIF(Sifarisler!$Y$3:$Y$10346,Şüşə!$M11,Sifarisler!$AA$3:$AA$10000)</f>
        <v>127</v>
      </c>
      <c r="S11" s="209">
        <f t="shared" si="2"/>
        <v>0</v>
      </c>
    </row>
    <row r="12" spans="2:19" ht="17.25">
      <c r="D12"/>
      <c r="L12" s="10" t="s">
        <v>1216</v>
      </c>
      <c r="M12" s="199" t="s">
        <v>276</v>
      </c>
      <c r="N12" s="23">
        <f>SUMIF($F$3:$F$1001,Şüşə!$M12,$G$3:$G$1001)</f>
        <v>2000</v>
      </c>
      <c r="O12" s="77">
        <f>SUMIF(Sifarisler!$Y$3:$Y$10346,Şüşə!$M12,Sifarisler!$Z$3:$Z$10346)</f>
        <v>0</v>
      </c>
      <c r="P12" s="24">
        <f t="shared" si="1"/>
        <v>2000</v>
      </c>
      <c r="Q12" s="76">
        <f t="shared" si="0"/>
        <v>26000</v>
      </c>
      <c r="R12" s="76">
        <f ca="1">SUMIF(Sifarisler!$Y$3:$Y$10346,Şüşə!$M12,Sifarisler!$AA$3:$AA$10000)</f>
        <v>3729</v>
      </c>
      <c r="S12" s="209">
        <f t="shared" si="2"/>
        <v>0</v>
      </c>
    </row>
    <row r="13" spans="2:19" ht="17.25">
      <c r="D13"/>
      <c r="L13" s="10" t="s">
        <v>1216</v>
      </c>
      <c r="M13" s="23" t="s">
        <v>709</v>
      </c>
      <c r="N13" s="23">
        <f>SUMIF($F$3:$F$1001,Şüşə!$M13,$G$3:$G$1001)</f>
        <v>0</v>
      </c>
      <c r="O13" s="77">
        <f>SUMIF(Sifarisler!$Y$3:$Y$10346,Şüşə!$M13,Sifarisler!$Z$3:$Z$10346)</f>
        <v>0</v>
      </c>
      <c r="P13" s="24">
        <f t="shared" si="1"/>
        <v>0</v>
      </c>
      <c r="Q13" s="76" t="e">
        <f t="shared" si="0"/>
        <v>#VALUE!</v>
      </c>
      <c r="R13" s="76">
        <f ca="1">SUMIF(Sifarisler!$Y$3:$Y$10346,Şüşə!$M13,Sifarisler!$AA$3:$AA$10000)</f>
        <v>222</v>
      </c>
      <c r="S13" s="209">
        <f t="shared" si="2"/>
        <v>0</v>
      </c>
    </row>
    <row r="14" spans="2:19" ht="17.25">
      <c r="D14"/>
      <c r="L14" s="10" t="s">
        <v>1216</v>
      </c>
      <c r="M14" s="199" t="s">
        <v>1221</v>
      </c>
      <c r="N14" s="23">
        <f>SUMIF($F$3:$F$1001,Şüşə!$M14,$G$3:$G$1001)</f>
        <v>0</v>
      </c>
      <c r="O14" s="77">
        <f>SUMIF(Sifarisler!$Y$3:$Y$10346,Şüşə!$M14,Sifarisler!$Z$3:$Z$10346)</f>
        <v>0</v>
      </c>
      <c r="P14" s="24">
        <f t="shared" si="1"/>
        <v>0</v>
      </c>
      <c r="Q14" s="76" t="e">
        <f t="shared" si="0"/>
        <v>#VALUE!</v>
      </c>
      <c r="R14" s="76">
        <f ca="1">SUMIF(Sifarisler!$Y$3:$Y$10346,Şüşə!$M14,Sifarisler!$AA$3:$AA$10000)</f>
        <v>0</v>
      </c>
      <c r="S14" s="209">
        <f t="shared" si="2"/>
        <v>0</v>
      </c>
    </row>
    <row r="15" spans="2:19" ht="17.25">
      <c r="D15"/>
      <c r="L15" s="10" t="s">
        <v>1218</v>
      </c>
      <c r="M15" s="199" t="s">
        <v>490</v>
      </c>
      <c r="N15" s="23">
        <f>SUMIF($F$3:$F$1001,Şüşə!$M15,$G$3:$G$1001)</f>
        <v>250</v>
      </c>
      <c r="O15" s="77">
        <f>SUMIF(Sifarisler!$Y$3:$Y$10346,Şüşə!$M15,Sifarisler!$Z$3:$Z$10346)</f>
        <v>0</v>
      </c>
      <c r="P15" s="24">
        <f t="shared" si="1"/>
        <v>250</v>
      </c>
      <c r="Q15" s="76">
        <f t="shared" si="0"/>
        <v>4750</v>
      </c>
      <c r="R15" s="76">
        <f ca="1">SUMIF(Sifarisler!$Y$3:$Y$10346,Şüşə!$M15,Sifarisler!$AA$3:$AA$10000)</f>
        <v>515</v>
      </c>
      <c r="S15" s="209">
        <f t="shared" si="2"/>
        <v>0</v>
      </c>
    </row>
    <row r="16" spans="2:19" ht="17.25">
      <c r="D16"/>
      <c r="L16" s="10" t="s">
        <v>1218</v>
      </c>
      <c r="M16" s="23" t="s">
        <v>325</v>
      </c>
      <c r="N16" s="23">
        <f>SUMIF($F$3:$F$1001,Şüşə!$M16,$G$3:$G$1001)</f>
        <v>0</v>
      </c>
      <c r="O16" s="77">
        <f>SUMIF(Sifarisler!$Y$3:$Y$10346,Şüşə!$M16,Sifarisler!$Z$3:$Z$10346)</f>
        <v>0</v>
      </c>
      <c r="P16" s="24">
        <f t="shared" si="1"/>
        <v>0</v>
      </c>
      <c r="Q16" s="76" t="e">
        <f t="shared" si="0"/>
        <v>#VALUE!</v>
      </c>
      <c r="R16" s="76">
        <f ca="1">SUMIF(Sifarisler!$Y$3:$Y$10346,Şüşə!$M16,Sifarisler!$AA$3:$AA$10000)</f>
        <v>1452</v>
      </c>
      <c r="S16" s="209">
        <f t="shared" si="2"/>
        <v>0</v>
      </c>
    </row>
    <row r="17" spans="4:22" ht="17.25">
      <c r="D17"/>
      <c r="L17" s="10" t="s">
        <v>1218</v>
      </c>
      <c r="M17" s="199" t="s">
        <v>203</v>
      </c>
      <c r="N17" s="23">
        <f>SUMIF($F$3:$F$1001,Şüşə!$M17,$G$3:$G$1001)</f>
        <v>2000</v>
      </c>
      <c r="O17" s="77">
        <f>SUMIF(Sifarisler!$Y$3:$Y$10346,Şüşə!$M17,Sifarisler!$Z$3:$Z$10346)</f>
        <v>0</v>
      </c>
      <c r="P17" s="24">
        <f t="shared" si="1"/>
        <v>2000</v>
      </c>
      <c r="Q17" s="208">
        <f t="shared" si="0"/>
        <v>58000</v>
      </c>
      <c r="R17" s="76">
        <f ca="1">SUMIF(Sifarisler!$Y$3:$Y$10346,Şüşə!$M17,Sifarisler!$AA$3:$AA$10000)</f>
        <v>2757</v>
      </c>
      <c r="S17" s="209">
        <f t="shared" si="2"/>
        <v>0</v>
      </c>
    </row>
    <row r="18" spans="4:22">
      <c r="D18"/>
    </row>
    <row r="19" spans="4:22">
      <c r="D19"/>
    </row>
    <row r="20" spans="4:22">
      <c r="D20"/>
    </row>
    <row r="21" spans="4:22">
      <c r="D21"/>
    </row>
    <row r="22" spans="4:22">
      <c r="D22"/>
    </row>
    <row r="23" spans="4:22">
      <c r="D23"/>
    </row>
    <row r="24" spans="4:22">
      <c r="D24"/>
    </row>
    <row r="25" spans="4:22">
      <c r="D25"/>
      <c r="S25" s="64" t="s">
        <v>1204</v>
      </c>
      <c r="T25" s="69" t="s">
        <v>78</v>
      </c>
      <c r="U25" s="70" t="s">
        <v>1216</v>
      </c>
      <c r="V25" s="71" t="s">
        <v>1218</v>
      </c>
    </row>
    <row r="26" spans="4:22">
      <c r="D26"/>
      <c r="S26" s="23" t="s">
        <v>1215</v>
      </c>
      <c r="T26" s="66" t="s">
        <v>36</v>
      </c>
      <c r="U26" s="66" t="s">
        <v>276</v>
      </c>
      <c r="V26" s="67" t="s">
        <v>490</v>
      </c>
    </row>
    <row r="27" spans="4:22">
      <c r="D27"/>
      <c r="S27" s="23" t="s">
        <v>1217</v>
      </c>
      <c r="T27" s="66" t="s">
        <v>199</v>
      </c>
      <c r="U27" s="66" t="s">
        <v>709</v>
      </c>
      <c r="V27" s="67" t="s">
        <v>325</v>
      </c>
    </row>
    <row r="28" spans="4:22">
      <c r="D28"/>
      <c r="S28" s="23" t="s">
        <v>1220</v>
      </c>
      <c r="T28" s="66" t="s">
        <v>387</v>
      </c>
      <c r="U28" s="66" t="s">
        <v>1221</v>
      </c>
      <c r="V28" s="67" t="s">
        <v>203</v>
      </c>
    </row>
    <row r="29" spans="4:22">
      <c r="D29"/>
      <c r="S29" s="23"/>
      <c r="T29" s="66" t="s">
        <v>1219</v>
      </c>
      <c r="U29" s="66"/>
      <c r="V29" s="68"/>
    </row>
    <row r="30" spans="4:22" ht="17.25">
      <c r="D30"/>
      <c r="J30" s="19"/>
      <c r="K30" s="203"/>
      <c r="L30" s="5"/>
      <c r="M30" s="4"/>
      <c r="S30" s="23"/>
      <c r="T30" s="66" t="s">
        <v>406</v>
      </c>
      <c r="U30" s="66"/>
      <c r="V30" s="68"/>
    </row>
    <row r="31" spans="4:22" ht="17.25">
      <c r="D31"/>
      <c r="J31" s="19"/>
      <c r="K31" s="203"/>
      <c r="L31" s="5"/>
      <c r="M31" s="16"/>
      <c r="S31" s="23"/>
      <c r="T31" s="66" t="s">
        <v>505</v>
      </c>
      <c r="U31" s="66"/>
      <c r="V31" s="68"/>
    </row>
    <row r="32" spans="4:22" ht="17.25">
      <c r="D32" s="45"/>
      <c r="E32" s="4"/>
      <c r="F32" s="5"/>
      <c r="G32" s="18"/>
      <c r="H32" s="6"/>
      <c r="I32" s="6"/>
      <c r="J32" s="19"/>
      <c r="K32" s="203"/>
      <c r="L32" s="5"/>
      <c r="M32" s="16"/>
      <c r="S32" s="23"/>
      <c r="T32" s="66" t="s">
        <v>419</v>
      </c>
      <c r="U32" s="66"/>
      <c r="V32" s="68"/>
    </row>
    <row r="33" spans="4:22" ht="17.25">
      <c r="D33" s="45"/>
      <c r="E33" s="4"/>
      <c r="F33" s="5"/>
      <c r="G33" s="18"/>
      <c r="H33" s="6"/>
      <c r="I33" s="6"/>
      <c r="J33" s="19"/>
      <c r="K33" s="203"/>
      <c r="L33" s="5"/>
      <c r="M33" s="16"/>
      <c r="S33" s="23"/>
      <c r="T33" s="66" t="s">
        <v>232</v>
      </c>
      <c r="U33" s="66"/>
      <c r="V33" s="68"/>
    </row>
    <row r="34" spans="4:22" ht="17.25">
      <c r="D34" s="45"/>
      <c r="E34" s="4"/>
      <c r="F34" s="5"/>
      <c r="G34" s="18"/>
      <c r="H34" s="6"/>
      <c r="I34" s="6"/>
      <c r="J34" s="20"/>
      <c r="K34" s="204"/>
      <c r="L34" s="4"/>
      <c r="M34" s="16"/>
      <c r="S34" s="23"/>
      <c r="T34" s="72" t="s">
        <v>473</v>
      </c>
      <c r="U34" s="72"/>
      <c r="V34" s="73"/>
    </row>
    <row r="35" spans="4:22" ht="17.25">
      <c r="D35" s="45"/>
      <c r="E35" s="4"/>
      <c r="F35" s="5"/>
      <c r="G35" s="18"/>
      <c r="H35" s="6"/>
      <c r="I35" s="6"/>
      <c r="J35" s="8"/>
      <c r="K35" s="204"/>
      <c r="L35" s="4"/>
      <c r="M35" s="16"/>
    </row>
    <row r="36" spans="4:22" ht="17.25">
      <c r="D36" s="45"/>
      <c r="E36" s="4"/>
      <c r="F36" s="5"/>
      <c r="G36" s="18"/>
      <c r="H36" s="6"/>
      <c r="I36" s="6"/>
      <c r="J36" s="8"/>
      <c r="K36" s="204"/>
      <c r="L36" s="4"/>
    </row>
    <row r="37" spans="4:22" ht="17.25">
      <c r="D37" s="45"/>
      <c r="E37" s="4"/>
      <c r="F37" s="5"/>
      <c r="G37" s="6"/>
      <c r="H37" s="6"/>
      <c r="I37" s="7"/>
      <c r="J37" s="8"/>
      <c r="K37" s="204"/>
      <c r="L37" s="4"/>
    </row>
    <row r="38" spans="4:22" ht="17.25">
      <c r="D38" s="45"/>
      <c r="E38" s="4"/>
      <c r="F38" s="5"/>
      <c r="G38" s="6"/>
      <c r="H38" s="6"/>
      <c r="I38" s="7"/>
      <c r="J38" s="8"/>
      <c r="K38" s="204"/>
      <c r="L38" s="4"/>
    </row>
    <row r="39" spans="4:22" ht="17.25">
      <c r="D39" s="45"/>
      <c r="E39" s="4"/>
      <c r="F39" s="5"/>
      <c r="G39" s="6"/>
      <c r="H39" s="6"/>
      <c r="I39" s="7"/>
    </row>
    <row r="40" spans="4:22" ht="17.25">
      <c r="D40" s="45"/>
      <c r="E40" s="4"/>
      <c r="F40" s="5"/>
      <c r="G40" s="6"/>
      <c r="H40" s="6"/>
      <c r="I40" s="7"/>
    </row>
    <row r="41" spans="4:22">
      <c r="D41" s="45"/>
    </row>
    <row r="42" spans="4:22">
      <c r="D42" s="45"/>
    </row>
    <row r="43" spans="4:22">
      <c r="D43" s="45"/>
    </row>
    <row r="44" spans="4:22">
      <c r="D44" s="45"/>
    </row>
    <row r="45" spans="4:22">
      <c r="D45" s="45"/>
    </row>
    <row r="46" spans="4:22">
      <c r="D46" s="45"/>
    </row>
    <row r="47" spans="4:22">
      <c r="D47" s="45"/>
    </row>
    <row r="48" spans="4:22">
      <c r="D48" s="45"/>
    </row>
    <row r="49" spans="4:4">
      <c r="D49" s="45"/>
    </row>
    <row r="50" spans="4:4">
      <c r="D50" s="45"/>
    </row>
    <row r="51" spans="4:4">
      <c r="D51" s="45"/>
    </row>
    <row r="52" spans="4:4">
      <c r="D52" s="45"/>
    </row>
  </sheetData>
  <mergeCells count="1">
    <mergeCell ref="L1:R1"/>
  </mergeCells>
  <dataValidations count="3">
    <dataValidation type="list" allowBlank="1" showInputMessage="1" showErrorMessage="1" sqref="L3:L17 E3:E10" xr:uid="{7143EB05-2218-4F31-BF71-B021BAEBA62A}">
      <formula1>$T$25:$V$25</formula1>
    </dataValidation>
    <dataValidation type="list" allowBlank="1" showInputMessage="1" showErrorMessage="1" sqref="D3:D10" xr:uid="{20C9A80B-B5AD-4383-B688-88A8BED5ECE0}">
      <formula1>$S$26:$S$34</formula1>
    </dataValidation>
    <dataValidation type="list" allowBlank="1" showInputMessage="1" showErrorMessage="1" sqref="F3:F10" xr:uid="{712206BC-AAA4-47D3-99E6-6F4B2EB9A27B}">
      <formula1>INDIRECT($E3)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1432-234A-40B3-883A-C0CF2E70C2A2}">
  <sheetPr codeName="Sayfa12"/>
  <dimension ref="A1:S184"/>
  <sheetViews>
    <sheetView showGridLines="0" workbookViewId="0">
      <selection activeCell="R3" sqref="R3"/>
    </sheetView>
  </sheetViews>
  <sheetFormatPr defaultRowHeight="15"/>
  <cols>
    <col min="1" max="1" width="7.28515625" style="37" customWidth="1"/>
    <col min="2" max="2" width="23.28515625" style="33" hidden="1" customWidth="1"/>
    <col min="3" max="3" width="5.7109375" style="36" customWidth="1"/>
    <col min="4" max="4" width="15.7109375" style="45" customWidth="1"/>
    <col min="5" max="5" width="28.85546875" style="112" customWidth="1"/>
    <col min="6" max="6" width="15.42578125" style="112" customWidth="1"/>
    <col min="7" max="7" width="19.28515625" customWidth="1"/>
    <col min="8" max="8" width="14.7109375" style="262" customWidth="1"/>
    <col min="9" max="9" width="31" style="262" customWidth="1"/>
    <col min="10" max="10" width="40.140625" customWidth="1"/>
    <col min="11" max="11" width="13.140625" customWidth="1"/>
    <col min="12" max="12" width="12.7109375" customWidth="1"/>
    <col min="13" max="13" width="15.85546875" customWidth="1"/>
    <col min="14" max="14" width="17.5703125" customWidth="1"/>
    <col min="15" max="16" width="16.28515625" customWidth="1"/>
    <col min="17" max="17" width="18.140625" customWidth="1"/>
    <col min="18" max="18" width="17.7109375" customWidth="1"/>
    <col min="19" max="19" width="18.28515625" customWidth="1"/>
  </cols>
  <sheetData>
    <row r="1" spans="2:19" ht="49.5" customHeight="1">
      <c r="B1" s="25"/>
      <c r="C1" s="34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</row>
    <row r="2" spans="2:19" ht="27.75" customHeight="1">
      <c r="D2" s="243" t="s">
        <v>1222</v>
      </c>
      <c r="E2" s="244" t="s">
        <v>1205</v>
      </c>
      <c r="F2" s="244" t="s">
        <v>20</v>
      </c>
      <c r="G2" s="244" t="s">
        <v>1223</v>
      </c>
      <c r="H2" s="258" t="s">
        <v>1224</v>
      </c>
      <c r="I2" s="258" t="s">
        <v>1225</v>
      </c>
      <c r="J2" s="244" t="s">
        <v>1226</v>
      </c>
      <c r="K2" s="244" t="s">
        <v>1227</v>
      </c>
      <c r="L2" s="244" t="s">
        <v>1228</v>
      </c>
      <c r="M2" s="245" t="s">
        <v>1207</v>
      </c>
      <c r="N2" s="268" t="s">
        <v>1229</v>
      </c>
      <c r="O2" s="245" t="s">
        <v>1208</v>
      </c>
      <c r="P2" s="268" t="s">
        <v>1230</v>
      </c>
      <c r="Q2" s="268" t="s">
        <v>1214</v>
      </c>
      <c r="R2" s="245" t="s">
        <v>1231</v>
      </c>
      <c r="S2" s="246" t="s">
        <v>63</v>
      </c>
    </row>
    <row r="3" spans="2:19" ht="17.25">
      <c r="D3" s="256">
        <v>45625</v>
      </c>
      <c r="E3" s="15" t="s">
        <v>1232</v>
      </c>
      <c r="F3" s="15" t="s">
        <v>1233</v>
      </c>
      <c r="G3" s="15" t="s">
        <v>257</v>
      </c>
      <c r="H3" s="259" t="s">
        <v>1234</v>
      </c>
      <c r="I3" s="259" t="str">
        <f>CONCATENATE(Tablo6[[#This Row],[Məhsul adı]]," ",Tablo6[[#This Row],[Rəng]])</f>
        <v>45 Profil  Qara</v>
      </c>
      <c r="J3" s="23" t="str">
        <f>CONCATENATE(Tablo6[[#This Row],[Məhsul adı]]," ",Tablo6[[#This Row],[Tip]]," ",Tablo6[[#This Row],[Rəng]])</f>
        <v>45 Profil  Yan Qara</v>
      </c>
      <c r="K3" s="247" t="s">
        <v>1235</v>
      </c>
      <c r="L3" s="270">
        <v>100</v>
      </c>
      <c r="M3" s="271">
        <v>5</v>
      </c>
      <c r="N3" s="271">
        <f>Tablo6[[#This Row],[Alış qiyməti]]*Tablo6[[#This Row],[Giriş sayı]]</f>
        <v>500</v>
      </c>
      <c r="O3" s="271">
        <v>6.5</v>
      </c>
      <c r="P3" s="272">
        <f ca="1">Tablo6[[#This Row],[Satılan sayı]]*Tablo6[[#This Row],[Satış qiyməti]]</f>
        <v>0</v>
      </c>
      <c r="Q3" s="272">
        <f ca="1">(Tablo6[[#This Row],[Satış qiyməti]]-Tablo6[[#This Row],[Alış qiyməti]])*Tablo6[[#This Row],[Satılan sayı]]</f>
        <v>0</v>
      </c>
      <c r="R3" s="273">
        <f ca="1">SUMIF(Sifarisler!$M:$AH,Tablo6[[#This Row],[Məhsul kodu]],Sifarisler!N:AH)</f>
        <v>0</v>
      </c>
      <c r="S3" s="274">
        <f ca="1">Tablo6[[#This Row],[Giriş sayı]]-Tablo6[[#This Row],[Satılan sayı]]</f>
        <v>100</v>
      </c>
    </row>
    <row r="4" spans="2:19" ht="17.25">
      <c r="D4" s="256">
        <f t="shared" ref="D4:D35" si="0">DATE(2024,11,20)</f>
        <v>45616</v>
      </c>
      <c r="E4" s="15" t="s">
        <v>1232</v>
      </c>
      <c r="F4" s="15" t="s">
        <v>1233</v>
      </c>
      <c r="G4" s="15" t="s">
        <v>629</v>
      </c>
      <c r="H4" s="259" t="s">
        <v>1236</v>
      </c>
      <c r="I4" s="259" t="str">
        <f>CONCATENATE(Tablo6[[#This Row],[Məhsul adı]]," ",Tablo6[[#This Row],[Rəng]])</f>
        <v>45 Profil  Qızılı</v>
      </c>
      <c r="J4" s="23" t="str">
        <f>CONCATENATE(Tablo6[[#This Row],[Məhsul adı]]," ",Tablo6[[#This Row],[Tip]]," ",Tablo6[[#This Row],[Rəng]])</f>
        <v>45 Profil  Yan Qızılı</v>
      </c>
      <c r="K4" s="247" t="s">
        <v>1235</v>
      </c>
      <c r="L4" s="270">
        <v>100</v>
      </c>
      <c r="M4" s="271">
        <v>5</v>
      </c>
      <c r="N4" s="271">
        <f>Tablo6[[#This Row],[Alış qiyməti]]*Tablo6[[#This Row],[Giriş sayı]]</f>
        <v>500</v>
      </c>
      <c r="O4" s="271">
        <v>7.5</v>
      </c>
      <c r="P4" s="272">
        <f ca="1">Tablo6[[#This Row],[Satılan sayı]]*Tablo6[[#This Row],[Satış qiyməti]]</f>
        <v>0</v>
      </c>
      <c r="Q4" s="272">
        <f ca="1">(Tablo6[[#This Row],[Satış qiyməti]]-Tablo6[[#This Row],[Alış qiyməti]])*Tablo6[[#This Row],[Satılan sayı]]</f>
        <v>0</v>
      </c>
      <c r="R4" s="273">
        <f ca="1">SUMIF(Sifarisler!$M:$AH,Tablo6[[#This Row],[Məhsul kodu]],Sifarisler!N:AH)</f>
        <v>0</v>
      </c>
      <c r="S4" s="274">
        <f ca="1">Tablo6[[#This Row],[Giriş sayı]]-Tablo6[[#This Row],[Satılan sayı]]</f>
        <v>100</v>
      </c>
    </row>
    <row r="5" spans="2:19" ht="17.25">
      <c r="D5" s="256">
        <f t="shared" si="0"/>
        <v>45616</v>
      </c>
      <c r="E5" s="15" t="s">
        <v>1232</v>
      </c>
      <c r="F5" s="15" t="s">
        <v>1233</v>
      </c>
      <c r="G5" s="15" t="s">
        <v>1237</v>
      </c>
      <c r="H5" s="259" t="s">
        <v>1238</v>
      </c>
      <c r="I5" s="259" t="str">
        <f>CONCATENATE(Tablo6[[#This Row],[Məhsul adı]]," ",Tablo6[[#This Row],[Rəng]])</f>
        <v>45 Profil  Antrasit</v>
      </c>
      <c r="J5" s="23" t="str">
        <f>CONCATENATE(Tablo6[[#This Row],[Məhsul adı]]," ",Tablo6[[#This Row],[Tip]]," ",Tablo6[[#This Row],[Rəng]])</f>
        <v>45 Profil  Yan Antrasit</v>
      </c>
      <c r="K5" s="247" t="s">
        <v>1235</v>
      </c>
      <c r="L5" s="270"/>
      <c r="M5" s="271"/>
      <c r="N5" s="271">
        <f>Tablo6[[#This Row],[Alış qiyməti]]*Tablo6[[#This Row],[Giriş sayı]]</f>
        <v>0</v>
      </c>
      <c r="O5" s="271"/>
      <c r="P5" s="272">
        <f ca="1">Tablo6[[#This Row],[Satılan sayı]]*Tablo6[[#This Row],[Satış qiyməti]]</f>
        <v>0</v>
      </c>
      <c r="Q5" s="272">
        <f ca="1">(Tablo6[[#This Row],[Satış qiyməti]]-Tablo6[[#This Row],[Alış qiyməti]])*Tablo6[[#This Row],[Satılan sayı]]</f>
        <v>0</v>
      </c>
      <c r="R5" s="273">
        <f ca="1">SUMIF(Sifarisler!$M:$AH,Tablo6[[#This Row],[Məhsul kodu]],Sifarisler!N:AH)</f>
        <v>0</v>
      </c>
      <c r="S5" s="274">
        <f ca="1">Tablo6[[#This Row],[Giriş sayı]]-Tablo6[[#This Row],[Satılan sayı]]</f>
        <v>0</v>
      </c>
    </row>
    <row r="6" spans="2:19" ht="17.25">
      <c r="D6" s="256">
        <f t="shared" si="0"/>
        <v>45616</v>
      </c>
      <c r="E6" s="15" t="s">
        <v>1232</v>
      </c>
      <c r="F6" s="15" t="s">
        <v>1233</v>
      </c>
      <c r="G6" s="15" t="s">
        <v>1239</v>
      </c>
      <c r="H6" s="259" t="s">
        <v>1240</v>
      </c>
      <c r="I6" s="259" t="str">
        <f>CONCATENATE(Tablo6[[#This Row],[Məhsul adı]]," ",Tablo6[[#This Row],[Rəng]])</f>
        <v>45 Profil  Açıq antrasit</v>
      </c>
      <c r="J6" s="23" t="str">
        <f>CONCATENATE(Tablo6[[#This Row],[Məhsul adı]]," ",Tablo6[[#This Row],[Tip]]," ",Tablo6[[#This Row],[Rəng]])</f>
        <v>45 Profil  Yan Açıq antrasit</v>
      </c>
      <c r="K6" s="247" t="s">
        <v>1235</v>
      </c>
      <c r="L6" s="270"/>
      <c r="M6" s="271"/>
      <c r="N6" s="271">
        <f>Tablo6[[#This Row],[Alış qiyməti]]*Tablo6[[#This Row],[Giriş sayı]]</f>
        <v>0</v>
      </c>
      <c r="O6" s="271"/>
      <c r="P6" s="272">
        <f ca="1">Tablo6[[#This Row],[Satılan sayı]]*Tablo6[[#This Row],[Satış qiyməti]]</f>
        <v>0</v>
      </c>
      <c r="Q6" s="272">
        <f ca="1">(Tablo6[[#This Row],[Satış qiyməti]]-Tablo6[[#This Row],[Alış qiyməti]])*Tablo6[[#This Row],[Satılan sayı]]</f>
        <v>0</v>
      </c>
      <c r="R6" s="273">
        <f ca="1">SUMIF(Sifarisler!$M:$AH,Tablo6[[#This Row],[Məhsul kodu]],Sifarisler!N:AH)</f>
        <v>0</v>
      </c>
      <c r="S6" s="274">
        <f ca="1">Tablo6[[#This Row],[Giriş sayı]]-Tablo6[[#This Row],[Satılan sayı]]</f>
        <v>0</v>
      </c>
    </row>
    <row r="7" spans="2:19" ht="17.25">
      <c r="D7" s="256">
        <f t="shared" si="0"/>
        <v>45616</v>
      </c>
      <c r="E7" s="15" t="s">
        <v>1232</v>
      </c>
      <c r="F7" s="15" t="s">
        <v>1233</v>
      </c>
      <c r="G7" s="15" t="s">
        <v>1241</v>
      </c>
      <c r="H7" s="259" t="s">
        <v>1242</v>
      </c>
      <c r="I7" s="259" t="str">
        <f>CONCATENATE(Tablo6[[#This Row],[Məhsul adı]]," ",Tablo6[[#This Row],[Rəng]])</f>
        <v>45 Profil  Kofe</v>
      </c>
      <c r="J7" s="23" t="str">
        <f>CONCATENATE(Tablo6[[#This Row],[Məhsul adı]]," ",Tablo6[[#This Row],[Tip]]," ",Tablo6[[#This Row],[Rəng]])</f>
        <v>45 Profil  Yan Kofe</v>
      </c>
      <c r="K7" s="247" t="s">
        <v>1235</v>
      </c>
      <c r="L7" s="270"/>
      <c r="M7" s="271"/>
      <c r="N7" s="271">
        <f>Tablo6[[#This Row],[Alış qiyməti]]*Tablo6[[#This Row],[Giriş sayı]]</f>
        <v>0</v>
      </c>
      <c r="O7" s="271"/>
      <c r="P7" s="272">
        <f ca="1">Tablo6[[#This Row],[Satılan sayı]]*Tablo6[[#This Row],[Satış qiyməti]]</f>
        <v>0</v>
      </c>
      <c r="Q7" s="272">
        <f ca="1">(Tablo6[[#This Row],[Satış qiyməti]]-Tablo6[[#This Row],[Alış qiyməti]])*Tablo6[[#This Row],[Satılan sayı]]</f>
        <v>0</v>
      </c>
      <c r="R7" s="273">
        <f ca="1">SUMIF(Sifarisler!$M:$AH,Tablo6[[#This Row],[Məhsul kodu]],Sifarisler!N:AH)</f>
        <v>0</v>
      </c>
      <c r="S7" s="274">
        <f ca="1">Tablo6[[#This Row],[Giriş sayı]]-Tablo6[[#This Row],[Satılan sayı]]</f>
        <v>0</v>
      </c>
    </row>
    <row r="8" spans="2:19" ht="17.25">
      <c r="D8" s="256">
        <f t="shared" si="0"/>
        <v>45616</v>
      </c>
      <c r="E8" s="15" t="s">
        <v>1232</v>
      </c>
      <c r="F8" s="15" t="s">
        <v>1243</v>
      </c>
      <c r="G8" s="15" t="s">
        <v>257</v>
      </c>
      <c r="H8" s="259" t="s">
        <v>1244</v>
      </c>
      <c r="I8" s="259" t="str">
        <f>CONCATENATE(Tablo6[[#This Row],[Məhsul adı]]," ",Tablo6[[#This Row],[Rəng]])</f>
        <v>45 Profil  Qara</v>
      </c>
      <c r="J8" s="23" t="str">
        <f>CONCATENATE(Tablo6[[#This Row],[Məhsul adı]]," ",Tablo6[[#This Row],[Tip]]," ",Tablo6[[#This Row],[Rəng]])</f>
        <v>45 Profil  Boy Qulp Qara</v>
      </c>
      <c r="K8" s="247" t="s">
        <v>1235</v>
      </c>
      <c r="L8" s="270"/>
      <c r="M8" s="271"/>
      <c r="N8" s="271">
        <f>Tablo6[[#This Row],[Alış qiyməti]]*Tablo6[[#This Row],[Giriş sayı]]</f>
        <v>0</v>
      </c>
      <c r="O8" s="271"/>
      <c r="P8" s="272">
        <f ca="1">Tablo6[[#This Row],[Satılan sayı]]*Tablo6[[#This Row],[Satış qiyməti]]</f>
        <v>0</v>
      </c>
      <c r="Q8" s="272">
        <f ca="1">(Tablo6[[#This Row],[Satış qiyməti]]-Tablo6[[#This Row],[Alış qiyməti]])*Tablo6[[#This Row],[Satılan sayı]]</f>
        <v>0</v>
      </c>
      <c r="R8" s="273">
        <f ca="1">SUMIF(Sifarisler!$M:$AH,Tablo6[[#This Row],[Məhsul kodu]],Sifarisler!N:AH)</f>
        <v>0</v>
      </c>
      <c r="S8" s="274">
        <f ca="1">Tablo6[[#This Row],[Giriş sayı]]-Tablo6[[#This Row],[Satılan sayı]]</f>
        <v>0</v>
      </c>
    </row>
    <row r="9" spans="2:19" ht="17.25">
      <c r="D9" s="256">
        <f t="shared" si="0"/>
        <v>45616</v>
      </c>
      <c r="E9" s="15" t="s">
        <v>1232</v>
      </c>
      <c r="F9" s="15" t="s">
        <v>1243</v>
      </c>
      <c r="G9" s="15" t="s">
        <v>629</v>
      </c>
      <c r="H9" s="259" t="s">
        <v>1245</v>
      </c>
      <c r="I9" s="259" t="str">
        <f>CONCATENATE(Tablo6[[#This Row],[Məhsul adı]]," ",Tablo6[[#This Row],[Rəng]])</f>
        <v>45 Profil  Qızılı</v>
      </c>
      <c r="J9" s="23" t="str">
        <f>CONCATENATE(Tablo6[[#This Row],[Məhsul adı]]," ",Tablo6[[#This Row],[Tip]]," ",Tablo6[[#This Row],[Rəng]])</f>
        <v>45 Profil  Boy Qulp Qızılı</v>
      </c>
      <c r="K9" s="247" t="s">
        <v>1235</v>
      </c>
      <c r="L9" s="270"/>
      <c r="M9" s="271"/>
      <c r="N9" s="271">
        <f>Tablo6[[#This Row],[Alış qiyməti]]*Tablo6[[#This Row],[Giriş sayı]]</f>
        <v>0</v>
      </c>
      <c r="O9" s="271"/>
      <c r="P9" s="272">
        <f ca="1">Tablo6[[#This Row],[Satılan sayı]]*Tablo6[[#This Row],[Satış qiyməti]]</f>
        <v>0</v>
      </c>
      <c r="Q9" s="272">
        <f ca="1">(Tablo6[[#This Row],[Satış qiyməti]]-Tablo6[[#This Row],[Alış qiyməti]])*Tablo6[[#This Row],[Satılan sayı]]</f>
        <v>0</v>
      </c>
      <c r="R9" s="273">
        <f ca="1">SUMIF(Sifarisler!$M:$AH,Tablo6[[#This Row],[Məhsul kodu]],Sifarisler!N:AH)</f>
        <v>0</v>
      </c>
      <c r="S9" s="274">
        <f ca="1">Tablo6[[#This Row],[Giriş sayı]]-Tablo6[[#This Row],[Satılan sayı]]</f>
        <v>0</v>
      </c>
    </row>
    <row r="10" spans="2:19" ht="17.25">
      <c r="D10" s="256">
        <f t="shared" si="0"/>
        <v>45616</v>
      </c>
      <c r="E10" s="15" t="s">
        <v>1232</v>
      </c>
      <c r="F10" s="15" t="s">
        <v>1243</v>
      </c>
      <c r="G10" s="15" t="s">
        <v>1237</v>
      </c>
      <c r="H10" s="259" t="s">
        <v>1246</v>
      </c>
      <c r="I10" s="259" t="str">
        <f>CONCATENATE(Tablo6[[#This Row],[Məhsul adı]]," ",Tablo6[[#This Row],[Rəng]])</f>
        <v>45 Profil  Antrasit</v>
      </c>
      <c r="J10" s="23" t="str">
        <f>CONCATENATE(Tablo6[[#This Row],[Məhsul adı]]," ",Tablo6[[#This Row],[Tip]]," ",Tablo6[[#This Row],[Rəng]])</f>
        <v>45 Profil  Boy Qulp Antrasit</v>
      </c>
      <c r="K10" s="247" t="s">
        <v>1235</v>
      </c>
      <c r="L10" s="270"/>
      <c r="M10" s="271"/>
      <c r="N10" s="271">
        <f>Tablo6[[#This Row],[Alış qiyməti]]*Tablo6[[#This Row],[Giriş sayı]]</f>
        <v>0</v>
      </c>
      <c r="O10" s="271"/>
      <c r="P10" s="272">
        <f ca="1">Tablo6[[#This Row],[Satılan sayı]]*Tablo6[[#This Row],[Satış qiyməti]]</f>
        <v>0</v>
      </c>
      <c r="Q10" s="272">
        <f ca="1">(Tablo6[[#This Row],[Satış qiyməti]]-Tablo6[[#This Row],[Alış qiyməti]])*Tablo6[[#This Row],[Satılan sayı]]</f>
        <v>0</v>
      </c>
      <c r="R10" s="273">
        <f ca="1">SUMIF(Sifarisler!$M:$AH,Tablo6[[#This Row],[Məhsul kodu]],Sifarisler!N:AH)</f>
        <v>0</v>
      </c>
      <c r="S10" s="274">
        <f ca="1">Tablo6[[#This Row],[Giriş sayı]]-Tablo6[[#This Row],[Satılan sayı]]</f>
        <v>0</v>
      </c>
    </row>
    <row r="11" spans="2:19" ht="17.25">
      <c r="D11" s="256">
        <f t="shared" si="0"/>
        <v>45616</v>
      </c>
      <c r="E11" s="15" t="s">
        <v>1232</v>
      </c>
      <c r="F11" s="15" t="s">
        <v>1243</v>
      </c>
      <c r="G11" s="15" t="s">
        <v>1239</v>
      </c>
      <c r="H11" s="259" t="s">
        <v>1247</v>
      </c>
      <c r="I11" s="259" t="str">
        <f>CONCATENATE(Tablo6[[#This Row],[Məhsul adı]]," ",Tablo6[[#This Row],[Rəng]])</f>
        <v>45 Profil  Açıq antrasit</v>
      </c>
      <c r="J11" s="23" t="str">
        <f>CONCATENATE(Tablo6[[#This Row],[Məhsul adı]]," ",Tablo6[[#This Row],[Tip]]," ",Tablo6[[#This Row],[Rəng]])</f>
        <v>45 Profil  Boy Qulp Açıq antrasit</v>
      </c>
      <c r="K11" s="247" t="s">
        <v>1235</v>
      </c>
      <c r="L11" s="270"/>
      <c r="M11" s="271"/>
      <c r="N11" s="271">
        <f>Tablo6[[#This Row],[Alış qiyməti]]*Tablo6[[#This Row],[Giriş sayı]]</f>
        <v>0</v>
      </c>
      <c r="O11" s="271"/>
      <c r="P11" s="272">
        <f ca="1">Tablo6[[#This Row],[Satılan sayı]]*Tablo6[[#This Row],[Satış qiyməti]]</f>
        <v>0</v>
      </c>
      <c r="Q11" s="272">
        <f ca="1">(Tablo6[[#This Row],[Satış qiyməti]]-Tablo6[[#This Row],[Alış qiyməti]])*Tablo6[[#This Row],[Satılan sayı]]</f>
        <v>0</v>
      </c>
      <c r="R11" s="273">
        <f ca="1">SUMIF(Sifarisler!$M:$AH,Tablo6[[#This Row],[Məhsul kodu]],Sifarisler!N:AH)</f>
        <v>0</v>
      </c>
      <c r="S11" s="274">
        <f ca="1">Tablo6[[#This Row],[Giriş sayı]]-Tablo6[[#This Row],[Satılan sayı]]</f>
        <v>0</v>
      </c>
    </row>
    <row r="12" spans="2:19" ht="17.25">
      <c r="D12" s="256">
        <f t="shared" si="0"/>
        <v>45616</v>
      </c>
      <c r="E12" s="15" t="s">
        <v>1232</v>
      </c>
      <c r="F12" s="15" t="s">
        <v>1243</v>
      </c>
      <c r="G12" s="15" t="s">
        <v>1241</v>
      </c>
      <c r="H12" s="259" t="s">
        <v>1248</v>
      </c>
      <c r="I12" s="259" t="str">
        <f>CONCATENATE(Tablo6[[#This Row],[Məhsul adı]]," ",Tablo6[[#This Row],[Rəng]])</f>
        <v>45 Profil  Kofe</v>
      </c>
      <c r="J12" s="23" t="str">
        <f>CONCATENATE(Tablo6[[#This Row],[Məhsul adı]]," ",Tablo6[[#This Row],[Tip]]," ",Tablo6[[#This Row],[Rəng]])</f>
        <v>45 Profil  Boy Qulp Kofe</v>
      </c>
      <c r="K12" s="247" t="s">
        <v>1235</v>
      </c>
      <c r="L12" s="270"/>
      <c r="M12" s="271"/>
      <c r="N12" s="271">
        <f>Tablo6[[#This Row],[Alış qiyməti]]*Tablo6[[#This Row],[Giriş sayı]]</f>
        <v>0</v>
      </c>
      <c r="O12" s="271"/>
      <c r="P12" s="272">
        <f ca="1">Tablo6[[#This Row],[Satılan sayı]]*Tablo6[[#This Row],[Satış qiyməti]]</f>
        <v>0</v>
      </c>
      <c r="Q12" s="272">
        <f ca="1">(Tablo6[[#This Row],[Satış qiyməti]]-Tablo6[[#This Row],[Alış qiyməti]])*Tablo6[[#This Row],[Satılan sayı]]</f>
        <v>0</v>
      </c>
      <c r="R12" s="273">
        <f ca="1">SUMIF(Sifarisler!$M:$AH,Tablo6[[#This Row],[Məhsul kodu]],Sifarisler!N:AH)</f>
        <v>0</v>
      </c>
      <c r="S12" s="274">
        <f ca="1">Tablo6[[#This Row],[Giriş sayı]]-Tablo6[[#This Row],[Satılan sayı]]</f>
        <v>0</v>
      </c>
    </row>
    <row r="13" spans="2:19" ht="17.25">
      <c r="D13" s="256">
        <f t="shared" si="0"/>
        <v>45616</v>
      </c>
      <c r="E13" s="23" t="s">
        <v>1249</v>
      </c>
      <c r="F13" s="15" t="s">
        <v>1233</v>
      </c>
      <c r="G13" s="15" t="s">
        <v>257</v>
      </c>
      <c r="H13" s="259" t="s">
        <v>1250</v>
      </c>
      <c r="I13" s="259" t="str">
        <f>CONCATENATE(Tablo6[[#This Row],[Məhsul adı]]," ",Tablo6[[#This Row],[Rəng]])</f>
        <v>2x2 Profil  Qara</v>
      </c>
      <c r="J13" s="23" t="str">
        <f>CONCATENATE(Tablo6[[#This Row],[Məhsul adı]]," ",Tablo6[[#This Row],[Tip]]," ",Tablo6[[#This Row],[Rəng]])</f>
        <v>2x2 Profil  Yan Qara</v>
      </c>
      <c r="K13" s="247" t="s">
        <v>1235</v>
      </c>
      <c r="L13" s="270"/>
      <c r="M13" s="271"/>
      <c r="N13" s="271">
        <f>Tablo6[[#This Row],[Alış qiyməti]]*Tablo6[[#This Row],[Giriş sayı]]</f>
        <v>0</v>
      </c>
      <c r="O13" s="271"/>
      <c r="P13" s="272">
        <f ca="1">Tablo6[[#This Row],[Satılan sayı]]*Tablo6[[#This Row],[Satış qiyməti]]</f>
        <v>0</v>
      </c>
      <c r="Q13" s="272">
        <f ca="1">(Tablo6[[#This Row],[Satış qiyməti]]-Tablo6[[#This Row],[Alış qiyməti]])*Tablo6[[#This Row],[Satılan sayı]]</f>
        <v>0</v>
      </c>
      <c r="R13" s="273">
        <f ca="1">SUMIF(Sifarisler!$M:$AH,Tablo6[[#This Row],[Məhsul kodu]],Sifarisler!N:AH)</f>
        <v>0</v>
      </c>
      <c r="S13" s="274">
        <f ca="1">Tablo6[[#This Row],[Giriş sayı]]-Tablo6[[#This Row],[Satılan sayı]]</f>
        <v>0</v>
      </c>
    </row>
    <row r="14" spans="2:19" ht="17.25">
      <c r="D14" s="256">
        <f t="shared" si="0"/>
        <v>45616</v>
      </c>
      <c r="E14" s="23" t="s">
        <v>1249</v>
      </c>
      <c r="F14" s="15" t="s">
        <v>1233</v>
      </c>
      <c r="G14" s="15" t="s">
        <v>629</v>
      </c>
      <c r="H14" s="259" t="s">
        <v>1251</v>
      </c>
      <c r="I14" s="259" t="str">
        <f>CONCATENATE(Tablo6[[#This Row],[Məhsul adı]]," ",Tablo6[[#This Row],[Rəng]])</f>
        <v>2x2 Profil  Qızılı</v>
      </c>
      <c r="J14" s="23" t="str">
        <f>CONCATENATE(Tablo6[[#This Row],[Məhsul adı]]," ",Tablo6[[#This Row],[Tip]]," ",Tablo6[[#This Row],[Rəng]])</f>
        <v>2x2 Profil  Yan Qızılı</v>
      </c>
      <c r="K14" s="247" t="s">
        <v>1235</v>
      </c>
      <c r="L14" s="270"/>
      <c r="M14" s="271"/>
      <c r="N14" s="271">
        <f>Tablo6[[#This Row],[Alış qiyməti]]*Tablo6[[#This Row],[Giriş sayı]]</f>
        <v>0</v>
      </c>
      <c r="O14" s="271"/>
      <c r="P14" s="272">
        <f ca="1">Tablo6[[#This Row],[Satılan sayı]]*Tablo6[[#This Row],[Satış qiyməti]]</f>
        <v>0</v>
      </c>
      <c r="Q14" s="272">
        <f ca="1">(Tablo6[[#This Row],[Satış qiyməti]]-Tablo6[[#This Row],[Alış qiyməti]])*Tablo6[[#This Row],[Satılan sayı]]</f>
        <v>0</v>
      </c>
      <c r="R14" s="273">
        <f ca="1">SUMIF(Sifarisler!$M:$AH,Tablo6[[#This Row],[Məhsul kodu]],Sifarisler!N:AH)</f>
        <v>0</v>
      </c>
      <c r="S14" s="274">
        <f ca="1">Tablo6[[#This Row],[Giriş sayı]]-Tablo6[[#This Row],[Satılan sayı]]</f>
        <v>0</v>
      </c>
    </row>
    <row r="15" spans="2:19" ht="17.25">
      <c r="D15" s="256">
        <f t="shared" si="0"/>
        <v>45616</v>
      </c>
      <c r="E15" s="23" t="s">
        <v>1249</v>
      </c>
      <c r="F15" s="15" t="s">
        <v>1233</v>
      </c>
      <c r="G15" s="15" t="s">
        <v>1237</v>
      </c>
      <c r="H15" s="259" t="s">
        <v>1252</v>
      </c>
      <c r="I15" s="259" t="str">
        <f>CONCATENATE(Tablo6[[#This Row],[Məhsul adı]]," ",Tablo6[[#This Row],[Rəng]])</f>
        <v>2x2 Profil  Antrasit</v>
      </c>
      <c r="J15" s="23" t="str">
        <f>CONCATENATE(Tablo6[[#This Row],[Məhsul adı]]," ",Tablo6[[#This Row],[Tip]]," ",Tablo6[[#This Row],[Rəng]])</f>
        <v>2x2 Profil  Yan Antrasit</v>
      </c>
      <c r="K15" s="247" t="s">
        <v>1235</v>
      </c>
      <c r="L15" s="270"/>
      <c r="M15" s="271"/>
      <c r="N15" s="271">
        <f>Tablo6[[#This Row],[Alış qiyməti]]*Tablo6[[#This Row],[Giriş sayı]]</f>
        <v>0</v>
      </c>
      <c r="O15" s="271"/>
      <c r="P15" s="272">
        <f ca="1">Tablo6[[#This Row],[Satılan sayı]]*Tablo6[[#This Row],[Satış qiyməti]]</f>
        <v>0</v>
      </c>
      <c r="Q15" s="272">
        <f ca="1">(Tablo6[[#This Row],[Satış qiyməti]]-Tablo6[[#This Row],[Alış qiyməti]])*Tablo6[[#This Row],[Satılan sayı]]</f>
        <v>0</v>
      </c>
      <c r="R15" s="273">
        <f ca="1">SUMIF(Sifarisler!$M:$AH,Tablo6[[#This Row],[Məhsul kodu]],Sifarisler!N:AH)</f>
        <v>0</v>
      </c>
      <c r="S15" s="274">
        <f ca="1">Tablo6[[#This Row],[Giriş sayı]]-Tablo6[[#This Row],[Satılan sayı]]</f>
        <v>0</v>
      </c>
    </row>
    <row r="16" spans="2:19" ht="17.25">
      <c r="D16" s="256">
        <f t="shared" si="0"/>
        <v>45616</v>
      </c>
      <c r="E16" s="23" t="s">
        <v>1249</v>
      </c>
      <c r="F16" s="15" t="s">
        <v>1233</v>
      </c>
      <c r="G16" s="15" t="s">
        <v>1239</v>
      </c>
      <c r="H16" s="259" t="s">
        <v>1253</v>
      </c>
      <c r="I16" s="259" t="str">
        <f>CONCATENATE(Tablo6[[#This Row],[Məhsul adı]]," ",Tablo6[[#This Row],[Rəng]])</f>
        <v>2x2 Profil  Açıq antrasit</v>
      </c>
      <c r="J16" s="23" t="str">
        <f>CONCATENATE(Tablo6[[#This Row],[Məhsul adı]]," ",Tablo6[[#This Row],[Tip]]," ",Tablo6[[#This Row],[Rəng]])</f>
        <v>2x2 Profil  Yan Açıq antrasit</v>
      </c>
      <c r="K16" s="247" t="s">
        <v>1235</v>
      </c>
      <c r="L16" s="270"/>
      <c r="M16" s="271"/>
      <c r="N16" s="271">
        <f>Tablo6[[#This Row],[Alış qiyməti]]*Tablo6[[#This Row],[Giriş sayı]]</f>
        <v>0</v>
      </c>
      <c r="O16" s="271"/>
      <c r="P16" s="272">
        <f ca="1">Tablo6[[#This Row],[Satılan sayı]]*Tablo6[[#This Row],[Satış qiyməti]]</f>
        <v>0</v>
      </c>
      <c r="Q16" s="272">
        <f ca="1">(Tablo6[[#This Row],[Satış qiyməti]]-Tablo6[[#This Row],[Alış qiyməti]])*Tablo6[[#This Row],[Satılan sayı]]</f>
        <v>0</v>
      </c>
      <c r="R16" s="273">
        <f ca="1">SUMIF(Sifarisler!$M:$AH,Tablo6[[#This Row],[Məhsul kodu]],Sifarisler!N:AH)</f>
        <v>0</v>
      </c>
      <c r="S16" s="274">
        <f ca="1">Tablo6[[#This Row],[Giriş sayı]]-Tablo6[[#This Row],[Satılan sayı]]</f>
        <v>0</v>
      </c>
    </row>
    <row r="17" spans="4:19" ht="17.25">
      <c r="D17" s="256">
        <f t="shared" si="0"/>
        <v>45616</v>
      </c>
      <c r="E17" s="23" t="s">
        <v>1249</v>
      </c>
      <c r="F17" s="15" t="s">
        <v>1233</v>
      </c>
      <c r="G17" s="15" t="s">
        <v>1241</v>
      </c>
      <c r="H17" s="259" t="s">
        <v>1254</v>
      </c>
      <c r="I17" s="259" t="str">
        <f>CONCATENATE(Tablo6[[#This Row],[Məhsul adı]]," ",Tablo6[[#This Row],[Rəng]])</f>
        <v>2x2 Profil  Kofe</v>
      </c>
      <c r="J17" s="23" t="str">
        <f>CONCATENATE(Tablo6[[#This Row],[Məhsul adı]]," ",Tablo6[[#This Row],[Tip]]," ",Tablo6[[#This Row],[Rəng]])</f>
        <v>2x2 Profil  Yan Kofe</v>
      </c>
      <c r="K17" s="247" t="s">
        <v>1235</v>
      </c>
      <c r="L17" s="270"/>
      <c r="M17" s="271"/>
      <c r="N17" s="271">
        <f>Tablo6[[#This Row],[Alış qiyməti]]*Tablo6[[#This Row],[Giriş sayı]]</f>
        <v>0</v>
      </c>
      <c r="O17" s="271"/>
      <c r="P17" s="272">
        <f ca="1">Tablo6[[#This Row],[Satılan sayı]]*Tablo6[[#This Row],[Satış qiyməti]]</f>
        <v>0</v>
      </c>
      <c r="Q17" s="272">
        <f ca="1">(Tablo6[[#This Row],[Satış qiyməti]]-Tablo6[[#This Row],[Alış qiyməti]])*Tablo6[[#This Row],[Satılan sayı]]</f>
        <v>0</v>
      </c>
      <c r="R17" s="273">
        <f ca="1">SUMIF(Sifarisler!$M:$AH,Tablo6[[#This Row],[Məhsul kodu]],Sifarisler!N:AH)</f>
        <v>0</v>
      </c>
      <c r="S17" s="274">
        <f ca="1">Tablo6[[#This Row],[Giriş sayı]]-Tablo6[[#This Row],[Satılan sayı]]</f>
        <v>0</v>
      </c>
    </row>
    <row r="18" spans="4:19" ht="17.25">
      <c r="D18" s="256">
        <f t="shared" si="0"/>
        <v>45616</v>
      </c>
      <c r="E18" s="23" t="s">
        <v>1249</v>
      </c>
      <c r="F18" s="15" t="s">
        <v>1243</v>
      </c>
      <c r="G18" s="15" t="s">
        <v>257</v>
      </c>
      <c r="H18" s="259" t="s">
        <v>1255</v>
      </c>
      <c r="I18" s="259" t="str">
        <f>CONCATENATE(Tablo6[[#This Row],[Məhsul adı]]," ",Tablo6[[#This Row],[Rəng]])</f>
        <v>2x2 Profil  Qara</v>
      </c>
      <c r="J18" s="23" t="str">
        <f>CONCATENATE(Tablo6[[#This Row],[Məhsul adı]]," ",Tablo6[[#This Row],[Tip]]," ",Tablo6[[#This Row],[Rəng]])</f>
        <v>2x2 Profil  Boy Qulp Qara</v>
      </c>
      <c r="K18" s="247" t="s">
        <v>1235</v>
      </c>
      <c r="L18" s="270"/>
      <c r="M18" s="271"/>
      <c r="N18" s="271">
        <f>Tablo6[[#This Row],[Alış qiyməti]]*Tablo6[[#This Row],[Giriş sayı]]</f>
        <v>0</v>
      </c>
      <c r="O18" s="271"/>
      <c r="P18" s="272">
        <f ca="1">Tablo6[[#This Row],[Satılan sayı]]*Tablo6[[#This Row],[Satış qiyməti]]</f>
        <v>0</v>
      </c>
      <c r="Q18" s="272">
        <f ca="1">(Tablo6[[#This Row],[Satış qiyməti]]-Tablo6[[#This Row],[Alış qiyməti]])*Tablo6[[#This Row],[Satılan sayı]]</f>
        <v>0</v>
      </c>
      <c r="R18" s="273">
        <f ca="1">SUMIF(Sifarisler!$M:$AH,Tablo6[[#This Row],[Məhsul kodu]],Sifarisler!N:AH)</f>
        <v>0</v>
      </c>
      <c r="S18" s="274">
        <f ca="1">Tablo6[[#This Row],[Giriş sayı]]-Tablo6[[#This Row],[Satılan sayı]]</f>
        <v>0</v>
      </c>
    </row>
    <row r="19" spans="4:19" ht="17.25">
      <c r="D19" s="256">
        <f t="shared" si="0"/>
        <v>45616</v>
      </c>
      <c r="E19" s="23" t="s">
        <v>1249</v>
      </c>
      <c r="F19" s="15" t="s">
        <v>1243</v>
      </c>
      <c r="G19" s="15" t="s">
        <v>629</v>
      </c>
      <c r="H19" s="259" t="s">
        <v>1256</v>
      </c>
      <c r="I19" s="259" t="str">
        <f>CONCATENATE(Tablo6[[#This Row],[Məhsul adı]]," ",Tablo6[[#This Row],[Rəng]])</f>
        <v>2x2 Profil  Qızılı</v>
      </c>
      <c r="J19" s="23" t="str">
        <f>CONCATENATE(Tablo6[[#This Row],[Məhsul adı]]," ",Tablo6[[#This Row],[Tip]]," ",Tablo6[[#This Row],[Rəng]])</f>
        <v>2x2 Profil  Boy Qulp Qızılı</v>
      </c>
      <c r="K19" s="247" t="s">
        <v>1235</v>
      </c>
      <c r="L19" s="270"/>
      <c r="M19" s="271"/>
      <c r="N19" s="271">
        <f>Tablo6[[#This Row],[Alış qiyməti]]*Tablo6[[#This Row],[Giriş sayı]]</f>
        <v>0</v>
      </c>
      <c r="O19" s="271"/>
      <c r="P19" s="272">
        <f ca="1">Tablo6[[#This Row],[Satılan sayı]]*Tablo6[[#This Row],[Satış qiyməti]]</f>
        <v>0</v>
      </c>
      <c r="Q19" s="272">
        <f ca="1">(Tablo6[[#This Row],[Satış qiyməti]]-Tablo6[[#This Row],[Alış qiyməti]])*Tablo6[[#This Row],[Satılan sayı]]</f>
        <v>0</v>
      </c>
      <c r="R19" s="273">
        <f ca="1">SUMIF(Sifarisler!$M:$AH,Tablo6[[#This Row],[Məhsul kodu]],Sifarisler!N:AH)</f>
        <v>0</v>
      </c>
      <c r="S19" s="274">
        <f ca="1">Tablo6[[#This Row],[Giriş sayı]]-Tablo6[[#This Row],[Satılan sayı]]</f>
        <v>0</v>
      </c>
    </row>
    <row r="20" spans="4:19" ht="17.25">
      <c r="D20" s="256">
        <f t="shared" si="0"/>
        <v>45616</v>
      </c>
      <c r="E20" s="23" t="s">
        <v>1249</v>
      </c>
      <c r="F20" s="15" t="s">
        <v>1243</v>
      </c>
      <c r="G20" s="15" t="s">
        <v>1237</v>
      </c>
      <c r="H20" s="259" t="s">
        <v>1257</v>
      </c>
      <c r="I20" s="259" t="str">
        <f>CONCATENATE(Tablo6[[#This Row],[Məhsul adı]]," ",Tablo6[[#This Row],[Rəng]])</f>
        <v>2x2 Profil  Antrasit</v>
      </c>
      <c r="J20" s="23" t="str">
        <f>CONCATENATE(Tablo6[[#This Row],[Məhsul adı]]," ",Tablo6[[#This Row],[Tip]]," ",Tablo6[[#This Row],[Rəng]])</f>
        <v>2x2 Profil  Boy Qulp Antrasit</v>
      </c>
      <c r="K20" s="247" t="s">
        <v>1235</v>
      </c>
      <c r="L20" s="270"/>
      <c r="M20" s="271"/>
      <c r="N20" s="271">
        <f>Tablo6[[#This Row],[Alış qiyməti]]*Tablo6[[#This Row],[Giriş sayı]]</f>
        <v>0</v>
      </c>
      <c r="O20" s="271"/>
      <c r="P20" s="272">
        <f ca="1">Tablo6[[#This Row],[Satılan sayı]]*Tablo6[[#This Row],[Satış qiyməti]]</f>
        <v>0</v>
      </c>
      <c r="Q20" s="272">
        <f ca="1">(Tablo6[[#This Row],[Satış qiyməti]]-Tablo6[[#This Row],[Alış qiyməti]])*Tablo6[[#This Row],[Satılan sayı]]</f>
        <v>0</v>
      </c>
      <c r="R20" s="273">
        <f ca="1">SUMIF(Sifarisler!$M:$AH,Tablo6[[#This Row],[Məhsul kodu]],Sifarisler!N:AH)</f>
        <v>0</v>
      </c>
      <c r="S20" s="274">
        <f ca="1">Tablo6[[#This Row],[Giriş sayı]]-Tablo6[[#This Row],[Satılan sayı]]</f>
        <v>0</v>
      </c>
    </row>
    <row r="21" spans="4:19" ht="17.25">
      <c r="D21" s="256">
        <f t="shared" si="0"/>
        <v>45616</v>
      </c>
      <c r="E21" s="23" t="s">
        <v>1249</v>
      </c>
      <c r="F21" s="15" t="s">
        <v>1243</v>
      </c>
      <c r="G21" s="15" t="s">
        <v>1239</v>
      </c>
      <c r="H21" s="259" t="s">
        <v>1258</v>
      </c>
      <c r="I21" s="259" t="str">
        <f>CONCATENATE(Tablo6[[#This Row],[Məhsul adı]]," ",Tablo6[[#This Row],[Rəng]])</f>
        <v>2x2 Profil  Açıq antrasit</v>
      </c>
      <c r="J21" s="23" t="str">
        <f>CONCATENATE(Tablo6[[#This Row],[Məhsul adı]]," ",Tablo6[[#This Row],[Tip]]," ",Tablo6[[#This Row],[Rəng]])</f>
        <v>2x2 Profil  Boy Qulp Açıq antrasit</v>
      </c>
      <c r="K21" s="247" t="s">
        <v>1235</v>
      </c>
      <c r="L21" s="270"/>
      <c r="M21" s="271"/>
      <c r="N21" s="271">
        <f>Tablo6[[#This Row],[Alış qiyməti]]*Tablo6[[#This Row],[Giriş sayı]]</f>
        <v>0</v>
      </c>
      <c r="O21" s="271"/>
      <c r="P21" s="272">
        <f ca="1">Tablo6[[#This Row],[Satılan sayı]]*Tablo6[[#This Row],[Satış qiyməti]]</f>
        <v>0</v>
      </c>
      <c r="Q21" s="272">
        <f ca="1">(Tablo6[[#This Row],[Satış qiyməti]]-Tablo6[[#This Row],[Alış qiyməti]])*Tablo6[[#This Row],[Satılan sayı]]</f>
        <v>0</v>
      </c>
      <c r="R21" s="273">
        <f ca="1">SUMIF(Sifarisler!$M:$AH,Tablo6[[#This Row],[Məhsul kodu]],Sifarisler!N:AH)</f>
        <v>0</v>
      </c>
      <c r="S21" s="274">
        <f ca="1">Tablo6[[#This Row],[Giriş sayı]]-Tablo6[[#This Row],[Satılan sayı]]</f>
        <v>0</v>
      </c>
    </row>
    <row r="22" spans="4:19" ht="17.25">
      <c r="D22" s="256">
        <f t="shared" si="0"/>
        <v>45616</v>
      </c>
      <c r="E22" s="23" t="s">
        <v>1249</v>
      </c>
      <c r="F22" s="15" t="s">
        <v>1243</v>
      </c>
      <c r="G22" s="15" t="s">
        <v>1241</v>
      </c>
      <c r="H22" s="259" t="s">
        <v>1259</v>
      </c>
      <c r="I22" s="259" t="str">
        <f>CONCATENATE(Tablo6[[#This Row],[Məhsul adı]]," ",Tablo6[[#This Row],[Rəng]])</f>
        <v>2x2 Profil  Kofe</v>
      </c>
      <c r="J22" s="23" t="str">
        <f>CONCATENATE(Tablo6[[#This Row],[Məhsul adı]]," ",Tablo6[[#This Row],[Tip]]," ",Tablo6[[#This Row],[Rəng]])</f>
        <v>2x2 Profil  Boy Qulp Kofe</v>
      </c>
      <c r="K22" s="247" t="s">
        <v>1235</v>
      </c>
      <c r="L22" s="270"/>
      <c r="M22" s="271"/>
      <c r="N22" s="271">
        <f>Tablo6[[#This Row],[Alış qiyməti]]*Tablo6[[#This Row],[Giriş sayı]]</f>
        <v>0</v>
      </c>
      <c r="O22" s="271"/>
      <c r="P22" s="272">
        <f ca="1">Tablo6[[#This Row],[Satılan sayı]]*Tablo6[[#This Row],[Satış qiyməti]]</f>
        <v>0</v>
      </c>
      <c r="Q22" s="272">
        <f ca="1">(Tablo6[[#This Row],[Satış qiyməti]]-Tablo6[[#This Row],[Alış qiyməti]])*Tablo6[[#This Row],[Satılan sayı]]</f>
        <v>0</v>
      </c>
      <c r="R22" s="273">
        <f ca="1">SUMIF(Sifarisler!$M:$AH,Tablo6[[#This Row],[Məhsul kodu]],Sifarisler!N:AH)</f>
        <v>0</v>
      </c>
      <c r="S22" s="274">
        <f ca="1">Tablo6[[#This Row],[Giriş sayı]]-Tablo6[[#This Row],[Satılan sayı]]</f>
        <v>0</v>
      </c>
    </row>
    <row r="23" spans="4:19" ht="17.25">
      <c r="D23" s="256">
        <f t="shared" si="0"/>
        <v>45616</v>
      </c>
      <c r="E23" s="23" t="s">
        <v>1249</v>
      </c>
      <c r="F23" s="15" t="s">
        <v>1260</v>
      </c>
      <c r="G23" s="15" t="s">
        <v>257</v>
      </c>
      <c r="H23" s="259" t="s">
        <v>1261</v>
      </c>
      <c r="I23" s="259" t="str">
        <f>CONCATENATE(Tablo6[[#This Row],[Məhsul adı]]," ",Tablo6[[#This Row],[Rəng]])</f>
        <v>2x2 Profil  Qara</v>
      </c>
      <c r="J23" s="23" t="str">
        <f>CONCATENATE(Tablo6[[#This Row],[Məhsul adı]]," ",Tablo6[[#This Row],[Tip]]," ",Tablo6[[#This Row],[Rəng]])</f>
        <v>2x2 Profil  Qulp 20 sol Qara</v>
      </c>
      <c r="K23" s="247" t="s">
        <v>1235</v>
      </c>
      <c r="L23" s="270"/>
      <c r="M23" s="271"/>
      <c r="N23" s="271">
        <f>Tablo6[[#This Row],[Alış qiyməti]]*Tablo6[[#This Row],[Giriş sayı]]</f>
        <v>0</v>
      </c>
      <c r="O23" s="271"/>
      <c r="P23" s="272">
        <f ca="1">Tablo6[[#This Row],[Satılan sayı]]*Tablo6[[#This Row],[Satış qiyməti]]</f>
        <v>0</v>
      </c>
      <c r="Q23" s="272">
        <f ca="1">(Tablo6[[#This Row],[Satış qiyməti]]-Tablo6[[#This Row],[Alış qiyməti]])*Tablo6[[#This Row],[Satılan sayı]]</f>
        <v>0</v>
      </c>
      <c r="R23" s="273">
        <f ca="1">SUMIF(Sifarisler!$M:$AH,Tablo6[[#This Row],[Məhsul kodu]],Sifarisler!N:AH)</f>
        <v>0</v>
      </c>
      <c r="S23" s="274">
        <f ca="1">Tablo6[[#This Row],[Giriş sayı]]-Tablo6[[#This Row],[Satılan sayı]]</f>
        <v>0</v>
      </c>
    </row>
    <row r="24" spans="4:19" ht="17.25">
      <c r="D24" s="256">
        <f t="shared" si="0"/>
        <v>45616</v>
      </c>
      <c r="E24" s="23" t="s">
        <v>1249</v>
      </c>
      <c r="F24" s="15" t="s">
        <v>1260</v>
      </c>
      <c r="G24" s="15" t="s">
        <v>629</v>
      </c>
      <c r="H24" s="259" t="s">
        <v>1262</v>
      </c>
      <c r="I24" s="259" t="str">
        <f>CONCATENATE(Tablo6[[#This Row],[Məhsul adı]]," ",Tablo6[[#This Row],[Rəng]])</f>
        <v>2x2 Profil  Qızılı</v>
      </c>
      <c r="J24" s="23" t="str">
        <f>CONCATENATE(Tablo6[[#This Row],[Məhsul adı]]," ",Tablo6[[#This Row],[Tip]]," ",Tablo6[[#This Row],[Rəng]])</f>
        <v>2x2 Profil  Qulp 20 sol Qızılı</v>
      </c>
      <c r="K24" s="247" t="s">
        <v>1235</v>
      </c>
      <c r="L24" s="270"/>
      <c r="M24" s="271"/>
      <c r="N24" s="271">
        <f>Tablo6[[#This Row],[Alış qiyməti]]*Tablo6[[#This Row],[Giriş sayı]]</f>
        <v>0</v>
      </c>
      <c r="O24" s="271"/>
      <c r="P24" s="272">
        <f ca="1">Tablo6[[#This Row],[Satılan sayı]]*Tablo6[[#This Row],[Satış qiyməti]]</f>
        <v>0</v>
      </c>
      <c r="Q24" s="272">
        <f ca="1">(Tablo6[[#This Row],[Satış qiyməti]]-Tablo6[[#This Row],[Alış qiyməti]])*Tablo6[[#This Row],[Satılan sayı]]</f>
        <v>0</v>
      </c>
      <c r="R24" s="273">
        <f ca="1">SUMIF(Sifarisler!$M:$AH,Tablo6[[#This Row],[Məhsul kodu]],Sifarisler!N:AH)</f>
        <v>0</v>
      </c>
      <c r="S24" s="274">
        <f ca="1">Tablo6[[#This Row],[Giriş sayı]]-Tablo6[[#This Row],[Satılan sayı]]</f>
        <v>0</v>
      </c>
    </row>
    <row r="25" spans="4:19" ht="17.25">
      <c r="D25" s="256">
        <f t="shared" si="0"/>
        <v>45616</v>
      </c>
      <c r="E25" s="23" t="s">
        <v>1249</v>
      </c>
      <c r="F25" s="15" t="s">
        <v>1260</v>
      </c>
      <c r="G25" s="15" t="s">
        <v>1237</v>
      </c>
      <c r="H25" s="259" t="s">
        <v>1263</v>
      </c>
      <c r="I25" s="259" t="str">
        <f>CONCATENATE(Tablo6[[#This Row],[Məhsul adı]]," ",Tablo6[[#This Row],[Rəng]])</f>
        <v>2x2 Profil  Antrasit</v>
      </c>
      <c r="J25" s="23" t="str">
        <f>CONCATENATE(Tablo6[[#This Row],[Məhsul adı]]," ",Tablo6[[#This Row],[Tip]]," ",Tablo6[[#This Row],[Rəng]])</f>
        <v>2x2 Profil  Qulp 20 sol Antrasit</v>
      </c>
      <c r="K25" s="247" t="s">
        <v>1235</v>
      </c>
      <c r="L25" s="270"/>
      <c r="M25" s="271"/>
      <c r="N25" s="271">
        <f>Tablo6[[#This Row],[Alış qiyməti]]*Tablo6[[#This Row],[Giriş sayı]]</f>
        <v>0</v>
      </c>
      <c r="O25" s="271"/>
      <c r="P25" s="272">
        <f ca="1">Tablo6[[#This Row],[Satılan sayı]]*Tablo6[[#This Row],[Satış qiyməti]]</f>
        <v>0</v>
      </c>
      <c r="Q25" s="272">
        <f ca="1">(Tablo6[[#This Row],[Satış qiyməti]]-Tablo6[[#This Row],[Alış qiyməti]])*Tablo6[[#This Row],[Satılan sayı]]</f>
        <v>0</v>
      </c>
      <c r="R25" s="273">
        <f ca="1">SUMIF(Sifarisler!$M:$AH,Tablo6[[#This Row],[Məhsul kodu]],Sifarisler!N:AH)</f>
        <v>0</v>
      </c>
      <c r="S25" s="274">
        <f ca="1">Tablo6[[#This Row],[Giriş sayı]]-Tablo6[[#This Row],[Satılan sayı]]</f>
        <v>0</v>
      </c>
    </row>
    <row r="26" spans="4:19" ht="17.25">
      <c r="D26" s="256">
        <f t="shared" si="0"/>
        <v>45616</v>
      </c>
      <c r="E26" s="23" t="s">
        <v>1249</v>
      </c>
      <c r="F26" s="15" t="s">
        <v>1260</v>
      </c>
      <c r="G26" s="15" t="s">
        <v>1239</v>
      </c>
      <c r="H26" s="259" t="s">
        <v>1264</v>
      </c>
      <c r="I26" s="259" t="str">
        <f>CONCATENATE(Tablo6[[#This Row],[Məhsul adı]]," ",Tablo6[[#This Row],[Rəng]])</f>
        <v>2x2 Profil  Açıq antrasit</v>
      </c>
      <c r="J26" s="23" t="str">
        <f>CONCATENATE(Tablo6[[#This Row],[Məhsul adı]]," ",Tablo6[[#This Row],[Tip]]," ",Tablo6[[#This Row],[Rəng]])</f>
        <v>2x2 Profil  Qulp 20 sol Açıq antrasit</v>
      </c>
      <c r="K26" s="247" t="s">
        <v>1235</v>
      </c>
      <c r="L26" s="270"/>
      <c r="M26" s="271"/>
      <c r="N26" s="271">
        <f>Tablo6[[#This Row],[Alış qiyməti]]*Tablo6[[#This Row],[Giriş sayı]]</f>
        <v>0</v>
      </c>
      <c r="O26" s="271"/>
      <c r="P26" s="272">
        <f ca="1">Tablo6[[#This Row],[Satılan sayı]]*Tablo6[[#This Row],[Satış qiyməti]]</f>
        <v>0</v>
      </c>
      <c r="Q26" s="272">
        <f ca="1">(Tablo6[[#This Row],[Satış qiyməti]]-Tablo6[[#This Row],[Alış qiyməti]])*Tablo6[[#This Row],[Satılan sayı]]</f>
        <v>0</v>
      </c>
      <c r="R26" s="273">
        <f ca="1">SUMIF(Sifarisler!$M:$AH,Tablo6[[#This Row],[Məhsul kodu]],Sifarisler!N:AH)</f>
        <v>0</v>
      </c>
      <c r="S26" s="274">
        <f ca="1">Tablo6[[#This Row],[Giriş sayı]]-Tablo6[[#This Row],[Satılan sayı]]</f>
        <v>0</v>
      </c>
    </row>
    <row r="27" spans="4:19" ht="17.25">
      <c r="D27" s="256">
        <f t="shared" si="0"/>
        <v>45616</v>
      </c>
      <c r="E27" s="23" t="s">
        <v>1249</v>
      </c>
      <c r="F27" s="15" t="s">
        <v>1260</v>
      </c>
      <c r="G27" s="15" t="s">
        <v>1241</v>
      </c>
      <c r="H27" s="259" t="s">
        <v>1265</v>
      </c>
      <c r="I27" s="259" t="str">
        <f>CONCATENATE(Tablo6[[#This Row],[Məhsul adı]]," ",Tablo6[[#This Row],[Rəng]])</f>
        <v>2x2 Profil  Kofe</v>
      </c>
      <c r="J27" s="23" t="str">
        <f>CONCATENATE(Tablo6[[#This Row],[Məhsul adı]]," ",Tablo6[[#This Row],[Tip]]," ",Tablo6[[#This Row],[Rəng]])</f>
        <v>2x2 Profil  Qulp 20 sol Kofe</v>
      </c>
      <c r="K27" s="247" t="s">
        <v>1235</v>
      </c>
      <c r="L27" s="270"/>
      <c r="M27" s="271"/>
      <c r="N27" s="271">
        <f>Tablo6[[#This Row],[Alış qiyməti]]*Tablo6[[#This Row],[Giriş sayı]]</f>
        <v>0</v>
      </c>
      <c r="O27" s="271"/>
      <c r="P27" s="272">
        <f ca="1">Tablo6[[#This Row],[Satılan sayı]]*Tablo6[[#This Row],[Satış qiyməti]]</f>
        <v>0</v>
      </c>
      <c r="Q27" s="272">
        <f ca="1">(Tablo6[[#This Row],[Satış qiyməti]]-Tablo6[[#This Row],[Alış qiyməti]])*Tablo6[[#This Row],[Satılan sayı]]</f>
        <v>0</v>
      </c>
      <c r="R27" s="273">
        <f ca="1">SUMIF(Sifarisler!$M:$AH,Tablo6[[#This Row],[Məhsul kodu]],Sifarisler!N:AH)</f>
        <v>0</v>
      </c>
      <c r="S27" s="274">
        <f ca="1">Tablo6[[#This Row],[Giriş sayı]]-Tablo6[[#This Row],[Satılan sayı]]</f>
        <v>0</v>
      </c>
    </row>
    <row r="28" spans="4:19" ht="17.25">
      <c r="D28" s="256">
        <f t="shared" si="0"/>
        <v>45616</v>
      </c>
      <c r="E28" s="23" t="s">
        <v>1249</v>
      </c>
      <c r="F28" s="15" t="s">
        <v>1266</v>
      </c>
      <c r="G28" s="15" t="s">
        <v>257</v>
      </c>
      <c r="H28" s="259" t="s">
        <v>1267</v>
      </c>
      <c r="I28" s="259" t="str">
        <f>CONCATENATE(Tablo6[[#This Row],[Məhsul adı]]," ",Tablo6[[#This Row],[Rəng]])</f>
        <v>2x2 Profil  Qara</v>
      </c>
      <c r="J28" s="23" t="str">
        <f>CONCATENATE(Tablo6[[#This Row],[Məhsul adı]]," ",Tablo6[[#This Row],[Tip]]," ",Tablo6[[#This Row],[Rəng]])</f>
        <v>2x2 Profil  Qulp 20 sağ Qara</v>
      </c>
      <c r="K28" s="247" t="s">
        <v>1235</v>
      </c>
      <c r="L28" s="270"/>
      <c r="M28" s="271"/>
      <c r="N28" s="271">
        <f>Tablo6[[#This Row],[Alış qiyməti]]*Tablo6[[#This Row],[Giriş sayı]]</f>
        <v>0</v>
      </c>
      <c r="O28" s="271"/>
      <c r="P28" s="272">
        <f ca="1">Tablo6[[#This Row],[Satılan sayı]]*Tablo6[[#This Row],[Satış qiyməti]]</f>
        <v>0</v>
      </c>
      <c r="Q28" s="272">
        <f ca="1">(Tablo6[[#This Row],[Satış qiyməti]]-Tablo6[[#This Row],[Alış qiyməti]])*Tablo6[[#This Row],[Satılan sayı]]</f>
        <v>0</v>
      </c>
      <c r="R28" s="273">
        <f ca="1">SUMIF(Sifarisler!$M:$AH,Tablo6[[#This Row],[Məhsul kodu]],Sifarisler!N:AH)</f>
        <v>0</v>
      </c>
      <c r="S28" s="274">
        <f ca="1">Tablo6[[#This Row],[Giriş sayı]]-Tablo6[[#This Row],[Satılan sayı]]</f>
        <v>0</v>
      </c>
    </row>
    <row r="29" spans="4:19" ht="17.25">
      <c r="D29" s="256">
        <f t="shared" si="0"/>
        <v>45616</v>
      </c>
      <c r="E29" s="23" t="s">
        <v>1249</v>
      </c>
      <c r="F29" s="15" t="s">
        <v>1266</v>
      </c>
      <c r="G29" s="15" t="s">
        <v>629</v>
      </c>
      <c r="H29" s="259" t="s">
        <v>1268</v>
      </c>
      <c r="I29" s="259" t="str">
        <f>CONCATENATE(Tablo6[[#This Row],[Məhsul adı]]," ",Tablo6[[#This Row],[Rəng]])</f>
        <v>2x2 Profil  Qızılı</v>
      </c>
      <c r="J29" s="23" t="str">
        <f>CONCATENATE(Tablo6[[#This Row],[Məhsul adı]]," ",Tablo6[[#This Row],[Tip]]," ",Tablo6[[#This Row],[Rəng]])</f>
        <v>2x2 Profil  Qulp 20 sağ Qızılı</v>
      </c>
      <c r="K29" s="247" t="s">
        <v>1235</v>
      </c>
      <c r="L29" s="270"/>
      <c r="M29" s="271"/>
      <c r="N29" s="271">
        <f>Tablo6[[#This Row],[Alış qiyməti]]*Tablo6[[#This Row],[Giriş sayı]]</f>
        <v>0</v>
      </c>
      <c r="O29" s="271"/>
      <c r="P29" s="272">
        <f ca="1">Tablo6[[#This Row],[Satılan sayı]]*Tablo6[[#This Row],[Satış qiyməti]]</f>
        <v>0</v>
      </c>
      <c r="Q29" s="272">
        <f ca="1">(Tablo6[[#This Row],[Satış qiyməti]]-Tablo6[[#This Row],[Alış qiyməti]])*Tablo6[[#This Row],[Satılan sayı]]</f>
        <v>0</v>
      </c>
      <c r="R29" s="273">
        <f ca="1">SUMIF(Sifarisler!$M:$AH,Tablo6[[#This Row],[Məhsul kodu]],Sifarisler!N:AH)</f>
        <v>0</v>
      </c>
      <c r="S29" s="274">
        <f ca="1">Tablo6[[#This Row],[Giriş sayı]]-Tablo6[[#This Row],[Satılan sayı]]</f>
        <v>0</v>
      </c>
    </row>
    <row r="30" spans="4:19" ht="17.25">
      <c r="D30" s="256">
        <f t="shared" si="0"/>
        <v>45616</v>
      </c>
      <c r="E30" s="23" t="s">
        <v>1249</v>
      </c>
      <c r="F30" s="15" t="s">
        <v>1266</v>
      </c>
      <c r="G30" s="15" t="s">
        <v>1237</v>
      </c>
      <c r="H30" s="259" t="s">
        <v>1269</v>
      </c>
      <c r="I30" s="259" t="str">
        <f>CONCATENATE(Tablo6[[#This Row],[Məhsul adı]]," ",Tablo6[[#This Row],[Rəng]])</f>
        <v>2x2 Profil  Antrasit</v>
      </c>
      <c r="J30" s="23" t="str">
        <f>CONCATENATE(Tablo6[[#This Row],[Məhsul adı]]," ",Tablo6[[#This Row],[Tip]]," ",Tablo6[[#This Row],[Rəng]])</f>
        <v>2x2 Profil  Qulp 20 sağ Antrasit</v>
      </c>
      <c r="K30" s="247" t="s">
        <v>1235</v>
      </c>
      <c r="L30" s="270"/>
      <c r="M30" s="271"/>
      <c r="N30" s="271">
        <f>Tablo6[[#This Row],[Alış qiyməti]]*Tablo6[[#This Row],[Giriş sayı]]</f>
        <v>0</v>
      </c>
      <c r="O30" s="271"/>
      <c r="P30" s="272">
        <f ca="1">Tablo6[[#This Row],[Satılan sayı]]*Tablo6[[#This Row],[Satış qiyməti]]</f>
        <v>0</v>
      </c>
      <c r="Q30" s="272">
        <f ca="1">(Tablo6[[#This Row],[Satış qiyməti]]-Tablo6[[#This Row],[Alış qiyməti]])*Tablo6[[#This Row],[Satılan sayı]]</f>
        <v>0</v>
      </c>
      <c r="R30" s="273">
        <f ca="1">SUMIF(Sifarisler!$M:$AH,Tablo6[[#This Row],[Məhsul kodu]],Sifarisler!N:AH)</f>
        <v>0</v>
      </c>
      <c r="S30" s="274">
        <f ca="1">Tablo6[[#This Row],[Giriş sayı]]-Tablo6[[#This Row],[Satılan sayı]]</f>
        <v>0</v>
      </c>
    </row>
    <row r="31" spans="4:19" ht="17.25">
      <c r="D31" s="256">
        <f t="shared" si="0"/>
        <v>45616</v>
      </c>
      <c r="E31" s="23" t="s">
        <v>1249</v>
      </c>
      <c r="F31" s="15" t="s">
        <v>1266</v>
      </c>
      <c r="G31" s="15" t="s">
        <v>1239</v>
      </c>
      <c r="H31" s="259" t="s">
        <v>1270</v>
      </c>
      <c r="I31" s="259" t="str">
        <f>CONCATENATE(Tablo6[[#This Row],[Məhsul adı]]," ",Tablo6[[#This Row],[Rəng]])</f>
        <v>2x2 Profil  Açıq antrasit</v>
      </c>
      <c r="J31" s="23" t="str">
        <f>CONCATENATE(Tablo6[[#This Row],[Məhsul adı]]," ",Tablo6[[#This Row],[Tip]]," ",Tablo6[[#This Row],[Rəng]])</f>
        <v>2x2 Profil  Qulp 20 sağ Açıq antrasit</v>
      </c>
      <c r="K31" s="247" t="s">
        <v>1235</v>
      </c>
      <c r="L31" s="270"/>
      <c r="M31" s="271"/>
      <c r="N31" s="271">
        <f>Tablo6[[#This Row],[Alış qiyməti]]*Tablo6[[#This Row],[Giriş sayı]]</f>
        <v>0</v>
      </c>
      <c r="O31" s="271"/>
      <c r="P31" s="272">
        <f ca="1">Tablo6[[#This Row],[Satılan sayı]]*Tablo6[[#This Row],[Satış qiyməti]]</f>
        <v>0</v>
      </c>
      <c r="Q31" s="272">
        <f ca="1">(Tablo6[[#This Row],[Satış qiyməti]]-Tablo6[[#This Row],[Alış qiyməti]])*Tablo6[[#This Row],[Satılan sayı]]</f>
        <v>0</v>
      </c>
      <c r="R31" s="273">
        <f ca="1">SUMIF(Sifarisler!$M:$AH,Tablo6[[#This Row],[Məhsul kodu]],Sifarisler!N:AH)</f>
        <v>0</v>
      </c>
      <c r="S31" s="274">
        <f ca="1">Tablo6[[#This Row],[Giriş sayı]]-Tablo6[[#This Row],[Satılan sayı]]</f>
        <v>0</v>
      </c>
    </row>
    <row r="32" spans="4:19" ht="17.25">
      <c r="D32" s="256">
        <f t="shared" si="0"/>
        <v>45616</v>
      </c>
      <c r="E32" s="23" t="s">
        <v>1249</v>
      </c>
      <c r="F32" s="15" t="s">
        <v>1266</v>
      </c>
      <c r="G32" s="15" t="s">
        <v>1241</v>
      </c>
      <c r="H32" s="259" t="s">
        <v>1271</v>
      </c>
      <c r="I32" s="259" t="str">
        <f>CONCATENATE(Tablo6[[#This Row],[Məhsul adı]]," ",Tablo6[[#This Row],[Rəng]])</f>
        <v>2x2 Profil  Kofe</v>
      </c>
      <c r="J32" s="23" t="str">
        <f>CONCATENATE(Tablo6[[#This Row],[Məhsul adı]]," ",Tablo6[[#This Row],[Tip]]," ",Tablo6[[#This Row],[Rəng]])</f>
        <v>2x2 Profil  Qulp 20 sağ Kofe</v>
      </c>
      <c r="K32" s="247" t="s">
        <v>1235</v>
      </c>
      <c r="L32" s="270"/>
      <c r="M32" s="271"/>
      <c r="N32" s="271">
        <f>Tablo6[[#This Row],[Alış qiyməti]]*Tablo6[[#This Row],[Giriş sayı]]</f>
        <v>0</v>
      </c>
      <c r="O32" s="271"/>
      <c r="P32" s="272">
        <f ca="1">Tablo6[[#This Row],[Satılan sayı]]*Tablo6[[#This Row],[Satış qiyməti]]</f>
        <v>0</v>
      </c>
      <c r="Q32" s="272">
        <f ca="1">(Tablo6[[#This Row],[Satış qiyməti]]-Tablo6[[#This Row],[Alış qiyməti]])*Tablo6[[#This Row],[Satılan sayı]]</f>
        <v>0</v>
      </c>
      <c r="R32" s="273">
        <f ca="1">SUMIF(Sifarisler!$M:$AH,Tablo6[[#This Row],[Məhsul kodu]],Sifarisler!N:AH)</f>
        <v>0</v>
      </c>
      <c r="S32" s="274">
        <f ca="1">Tablo6[[#This Row],[Giriş sayı]]-Tablo6[[#This Row],[Satılan sayı]]</f>
        <v>0</v>
      </c>
    </row>
    <row r="33" spans="4:19" ht="17.25">
      <c r="D33" s="256">
        <f t="shared" si="0"/>
        <v>45616</v>
      </c>
      <c r="E33" s="23" t="s">
        <v>1249</v>
      </c>
      <c r="F33" s="15" t="s">
        <v>1272</v>
      </c>
      <c r="G33" s="15" t="s">
        <v>257</v>
      </c>
      <c r="H33" s="259" t="s">
        <v>1273</v>
      </c>
      <c r="I33" s="259" t="str">
        <f>CONCATENATE(Tablo6[[#This Row],[Məhsul adı]]," ",Tablo6[[#This Row],[Rəng]])</f>
        <v>2x2 Profil  Qara</v>
      </c>
      <c r="J33" s="23" t="str">
        <f>CONCATENATE(Tablo6[[#This Row],[Məhsul adı]]," ",Tablo6[[#This Row],[Tip]]," ",Tablo6[[#This Row],[Rəng]])</f>
        <v>2x2 Profil  Qulp 110 sol Qara</v>
      </c>
      <c r="K33" s="247" t="s">
        <v>1235</v>
      </c>
      <c r="L33" s="270"/>
      <c r="M33" s="271"/>
      <c r="N33" s="271">
        <f>Tablo6[[#This Row],[Alış qiyməti]]*Tablo6[[#This Row],[Giriş sayı]]</f>
        <v>0</v>
      </c>
      <c r="O33" s="271"/>
      <c r="P33" s="272">
        <f ca="1">Tablo6[[#This Row],[Satılan sayı]]*Tablo6[[#This Row],[Satış qiyməti]]</f>
        <v>0</v>
      </c>
      <c r="Q33" s="272">
        <f ca="1">(Tablo6[[#This Row],[Satış qiyməti]]-Tablo6[[#This Row],[Alış qiyməti]])*Tablo6[[#This Row],[Satılan sayı]]</f>
        <v>0</v>
      </c>
      <c r="R33" s="273">
        <f ca="1">SUMIF(Sifarisler!$M:$AH,Tablo6[[#This Row],[Məhsul kodu]],Sifarisler!N:AH)</f>
        <v>0</v>
      </c>
      <c r="S33" s="274">
        <f ca="1">Tablo6[[#This Row],[Giriş sayı]]-Tablo6[[#This Row],[Satılan sayı]]</f>
        <v>0</v>
      </c>
    </row>
    <row r="34" spans="4:19" ht="17.25">
      <c r="D34" s="256">
        <f t="shared" si="0"/>
        <v>45616</v>
      </c>
      <c r="E34" s="23" t="s">
        <v>1249</v>
      </c>
      <c r="F34" s="15" t="s">
        <v>1272</v>
      </c>
      <c r="G34" s="15" t="s">
        <v>629</v>
      </c>
      <c r="H34" s="259" t="s">
        <v>1274</v>
      </c>
      <c r="I34" s="259" t="str">
        <f>CONCATENATE(Tablo6[[#This Row],[Məhsul adı]]," ",Tablo6[[#This Row],[Rəng]])</f>
        <v>2x2 Profil  Qızılı</v>
      </c>
      <c r="J34" s="23" t="str">
        <f>CONCATENATE(Tablo6[[#This Row],[Məhsul adı]]," ",Tablo6[[#This Row],[Tip]]," ",Tablo6[[#This Row],[Rəng]])</f>
        <v>2x2 Profil  Qulp 110 sol Qızılı</v>
      </c>
      <c r="K34" s="247" t="s">
        <v>1235</v>
      </c>
      <c r="L34" s="270"/>
      <c r="M34" s="271"/>
      <c r="N34" s="271">
        <f>Tablo6[[#This Row],[Alış qiyməti]]*Tablo6[[#This Row],[Giriş sayı]]</f>
        <v>0</v>
      </c>
      <c r="O34" s="271"/>
      <c r="P34" s="272">
        <f ca="1">Tablo6[[#This Row],[Satılan sayı]]*Tablo6[[#This Row],[Satış qiyməti]]</f>
        <v>0</v>
      </c>
      <c r="Q34" s="272">
        <f ca="1">(Tablo6[[#This Row],[Satış qiyməti]]-Tablo6[[#This Row],[Alış qiyməti]])*Tablo6[[#This Row],[Satılan sayı]]</f>
        <v>0</v>
      </c>
      <c r="R34" s="273">
        <f ca="1">SUMIF(Sifarisler!$M:$AH,Tablo6[[#This Row],[Məhsul kodu]],Sifarisler!N:AH)</f>
        <v>0</v>
      </c>
      <c r="S34" s="274">
        <f ca="1">Tablo6[[#This Row],[Giriş sayı]]-Tablo6[[#This Row],[Satılan sayı]]</f>
        <v>0</v>
      </c>
    </row>
    <row r="35" spans="4:19" ht="17.25">
      <c r="D35" s="256">
        <f t="shared" si="0"/>
        <v>45616</v>
      </c>
      <c r="E35" s="23" t="s">
        <v>1249</v>
      </c>
      <c r="F35" s="15" t="s">
        <v>1272</v>
      </c>
      <c r="G35" s="15" t="s">
        <v>1237</v>
      </c>
      <c r="H35" s="259" t="s">
        <v>1275</v>
      </c>
      <c r="I35" s="259" t="str">
        <f>CONCATENATE(Tablo6[[#This Row],[Məhsul adı]]," ",Tablo6[[#This Row],[Rəng]])</f>
        <v>2x2 Profil  Antrasit</v>
      </c>
      <c r="J35" s="23" t="str">
        <f>CONCATENATE(Tablo6[[#This Row],[Məhsul adı]]," ",Tablo6[[#This Row],[Tip]]," ",Tablo6[[#This Row],[Rəng]])</f>
        <v>2x2 Profil  Qulp 110 sol Antrasit</v>
      </c>
      <c r="K35" s="247" t="s">
        <v>1235</v>
      </c>
      <c r="L35" s="270"/>
      <c r="M35" s="271"/>
      <c r="N35" s="271">
        <f>Tablo6[[#This Row],[Alış qiyməti]]*Tablo6[[#This Row],[Giriş sayı]]</f>
        <v>0</v>
      </c>
      <c r="O35" s="271"/>
      <c r="P35" s="272">
        <f ca="1">Tablo6[[#This Row],[Satılan sayı]]*Tablo6[[#This Row],[Satış qiyməti]]</f>
        <v>0</v>
      </c>
      <c r="Q35" s="272">
        <f ca="1">(Tablo6[[#This Row],[Satış qiyməti]]-Tablo6[[#This Row],[Alış qiyməti]])*Tablo6[[#This Row],[Satılan sayı]]</f>
        <v>0</v>
      </c>
      <c r="R35" s="273">
        <f ca="1">SUMIF(Sifarisler!$M:$AH,Tablo6[[#This Row],[Məhsul kodu]],Sifarisler!N:AH)</f>
        <v>0</v>
      </c>
      <c r="S35" s="274">
        <f ca="1">Tablo6[[#This Row],[Giriş sayı]]-Tablo6[[#This Row],[Satılan sayı]]</f>
        <v>0</v>
      </c>
    </row>
    <row r="36" spans="4:19" ht="17.25">
      <c r="D36" s="256">
        <f t="shared" ref="D36:D67" si="1">DATE(2024,11,20)</f>
        <v>45616</v>
      </c>
      <c r="E36" s="23" t="s">
        <v>1249</v>
      </c>
      <c r="F36" s="15" t="s">
        <v>1272</v>
      </c>
      <c r="G36" s="15" t="s">
        <v>1239</v>
      </c>
      <c r="H36" s="259" t="s">
        <v>1276</v>
      </c>
      <c r="I36" s="259" t="str">
        <f>CONCATENATE(Tablo6[[#This Row],[Məhsul adı]]," ",Tablo6[[#This Row],[Rəng]])</f>
        <v>2x2 Profil  Açıq antrasit</v>
      </c>
      <c r="J36" s="23" t="str">
        <f>CONCATENATE(Tablo6[[#This Row],[Məhsul adı]]," ",Tablo6[[#This Row],[Tip]]," ",Tablo6[[#This Row],[Rəng]])</f>
        <v>2x2 Profil  Qulp 110 sol Açıq antrasit</v>
      </c>
      <c r="K36" s="247" t="s">
        <v>1235</v>
      </c>
      <c r="L36" s="270"/>
      <c r="M36" s="271"/>
      <c r="N36" s="271">
        <f>Tablo6[[#This Row],[Alış qiyməti]]*Tablo6[[#This Row],[Giriş sayı]]</f>
        <v>0</v>
      </c>
      <c r="O36" s="271"/>
      <c r="P36" s="272">
        <f ca="1">Tablo6[[#This Row],[Satılan sayı]]*Tablo6[[#This Row],[Satış qiyməti]]</f>
        <v>0</v>
      </c>
      <c r="Q36" s="272">
        <f ca="1">(Tablo6[[#This Row],[Satış qiyməti]]-Tablo6[[#This Row],[Alış qiyməti]])*Tablo6[[#This Row],[Satılan sayı]]</f>
        <v>0</v>
      </c>
      <c r="R36" s="273">
        <f ca="1">SUMIF(Sifarisler!$M:$AH,Tablo6[[#This Row],[Məhsul kodu]],Sifarisler!N:AH)</f>
        <v>0</v>
      </c>
      <c r="S36" s="274">
        <f ca="1">Tablo6[[#This Row],[Giriş sayı]]-Tablo6[[#This Row],[Satılan sayı]]</f>
        <v>0</v>
      </c>
    </row>
    <row r="37" spans="4:19" ht="17.25">
      <c r="D37" s="256">
        <f t="shared" si="1"/>
        <v>45616</v>
      </c>
      <c r="E37" s="23" t="s">
        <v>1249</v>
      </c>
      <c r="F37" s="15" t="s">
        <v>1272</v>
      </c>
      <c r="G37" s="15" t="s">
        <v>1241</v>
      </c>
      <c r="H37" s="259" t="s">
        <v>1277</v>
      </c>
      <c r="I37" s="259" t="str">
        <f>CONCATENATE(Tablo6[[#This Row],[Məhsul adı]]," ",Tablo6[[#This Row],[Rəng]])</f>
        <v>2x2 Profil  Kofe</v>
      </c>
      <c r="J37" s="23" t="str">
        <f>CONCATENATE(Tablo6[[#This Row],[Məhsul adı]]," ",Tablo6[[#This Row],[Tip]]," ",Tablo6[[#This Row],[Rəng]])</f>
        <v>2x2 Profil  Qulp 110 sol Kofe</v>
      </c>
      <c r="K37" s="247" t="s">
        <v>1235</v>
      </c>
      <c r="L37" s="270"/>
      <c r="M37" s="271"/>
      <c r="N37" s="271">
        <f>Tablo6[[#This Row],[Alış qiyməti]]*Tablo6[[#This Row],[Giriş sayı]]</f>
        <v>0</v>
      </c>
      <c r="O37" s="271"/>
      <c r="P37" s="272">
        <f ca="1">Tablo6[[#This Row],[Satılan sayı]]*Tablo6[[#This Row],[Satış qiyməti]]</f>
        <v>0</v>
      </c>
      <c r="Q37" s="272">
        <f ca="1">(Tablo6[[#This Row],[Satış qiyməti]]-Tablo6[[#This Row],[Alış qiyməti]])*Tablo6[[#This Row],[Satılan sayı]]</f>
        <v>0</v>
      </c>
      <c r="R37" s="273">
        <f ca="1">SUMIF(Sifarisler!$M:$AH,Tablo6[[#This Row],[Məhsul kodu]],Sifarisler!N:AH)</f>
        <v>0</v>
      </c>
      <c r="S37" s="274">
        <f ca="1">Tablo6[[#This Row],[Giriş sayı]]-Tablo6[[#This Row],[Satılan sayı]]</f>
        <v>0</v>
      </c>
    </row>
    <row r="38" spans="4:19" ht="17.25">
      <c r="D38" s="256">
        <f t="shared" si="1"/>
        <v>45616</v>
      </c>
      <c r="E38" s="23" t="s">
        <v>1249</v>
      </c>
      <c r="F38" s="15" t="s">
        <v>1278</v>
      </c>
      <c r="G38" s="15" t="s">
        <v>257</v>
      </c>
      <c r="H38" s="259" t="s">
        <v>1279</v>
      </c>
      <c r="I38" s="259" t="str">
        <f>CONCATENATE(Tablo6[[#This Row],[Məhsul adı]]," ",Tablo6[[#This Row],[Rəng]])</f>
        <v>2x2 Profil  Qara</v>
      </c>
      <c r="J38" s="23" t="str">
        <f>CONCATENATE(Tablo6[[#This Row],[Məhsul adı]]," ",Tablo6[[#This Row],[Tip]]," ",Tablo6[[#This Row],[Rəng]])</f>
        <v>2x2 Profil  Qulp 110 sağ Qara</v>
      </c>
      <c r="K38" s="247" t="s">
        <v>1235</v>
      </c>
      <c r="L38" s="270"/>
      <c r="M38" s="271"/>
      <c r="N38" s="271">
        <f>Tablo6[[#This Row],[Alış qiyməti]]*Tablo6[[#This Row],[Giriş sayı]]</f>
        <v>0</v>
      </c>
      <c r="O38" s="271"/>
      <c r="P38" s="272">
        <f ca="1">Tablo6[[#This Row],[Satılan sayı]]*Tablo6[[#This Row],[Satış qiyməti]]</f>
        <v>0</v>
      </c>
      <c r="Q38" s="272">
        <f ca="1">(Tablo6[[#This Row],[Satış qiyməti]]-Tablo6[[#This Row],[Alış qiyməti]])*Tablo6[[#This Row],[Satılan sayı]]</f>
        <v>0</v>
      </c>
      <c r="R38" s="273">
        <f ca="1">SUMIF(Sifarisler!$M:$AH,Tablo6[[#This Row],[Məhsul kodu]],Sifarisler!N:AH)</f>
        <v>0</v>
      </c>
      <c r="S38" s="274">
        <f ca="1">Tablo6[[#This Row],[Giriş sayı]]-Tablo6[[#This Row],[Satılan sayı]]</f>
        <v>0</v>
      </c>
    </row>
    <row r="39" spans="4:19" ht="17.25">
      <c r="D39" s="256">
        <f t="shared" si="1"/>
        <v>45616</v>
      </c>
      <c r="E39" s="23" t="s">
        <v>1249</v>
      </c>
      <c r="F39" s="15" t="s">
        <v>1278</v>
      </c>
      <c r="G39" s="15" t="s">
        <v>629</v>
      </c>
      <c r="H39" s="259" t="s">
        <v>1280</v>
      </c>
      <c r="I39" s="259" t="str">
        <f>CONCATENATE(Tablo6[[#This Row],[Məhsul adı]]," ",Tablo6[[#This Row],[Rəng]])</f>
        <v>2x2 Profil  Qızılı</v>
      </c>
      <c r="J39" s="23" t="str">
        <f>CONCATENATE(Tablo6[[#This Row],[Məhsul adı]]," ",Tablo6[[#This Row],[Tip]]," ",Tablo6[[#This Row],[Rəng]])</f>
        <v>2x2 Profil  Qulp 110 sağ Qızılı</v>
      </c>
      <c r="K39" s="247" t="s">
        <v>1235</v>
      </c>
      <c r="L39" s="270"/>
      <c r="M39" s="271"/>
      <c r="N39" s="271">
        <f>Tablo6[[#This Row],[Alış qiyməti]]*Tablo6[[#This Row],[Giriş sayı]]</f>
        <v>0</v>
      </c>
      <c r="O39" s="271"/>
      <c r="P39" s="272">
        <f ca="1">Tablo6[[#This Row],[Satılan sayı]]*Tablo6[[#This Row],[Satış qiyməti]]</f>
        <v>0</v>
      </c>
      <c r="Q39" s="272">
        <f ca="1">(Tablo6[[#This Row],[Satış qiyməti]]-Tablo6[[#This Row],[Alış qiyməti]])*Tablo6[[#This Row],[Satılan sayı]]</f>
        <v>0</v>
      </c>
      <c r="R39" s="273">
        <f ca="1">SUMIF(Sifarisler!$M:$AH,Tablo6[[#This Row],[Məhsul kodu]],Sifarisler!N:AH)</f>
        <v>0</v>
      </c>
      <c r="S39" s="274">
        <f ca="1">Tablo6[[#This Row],[Giriş sayı]]-Tablo6[[#This Row],[Satılan sayı]]</f>
        <v>0</v>
      </c>
    </row>
    <row r="40" spans="4:19" ht="17.25">
      <c r="D40" s="256">
        <f t="shared" si="1"/>
        <v>45616</v>
      </c>
      <c r="E40" s="23" t="s">
        <v>1249</v>
      </c>
      <c r="F40" s="15" t="s">
        <v>1278</v>
      </c>
      <c r="G40" s="15" t="s">
        <v>1237</v>
      </c>
      <c r="H40" s="259" t="s">
        <v>1281</v>
      </c>
      <c r="I40" s="259" t="str">
        <f>CONCATENATE(Tablo6[[#This Row],[Məhsul adı]]," ",Tablo6[[#This Row],[Rəng]])</f>
        <v>2x2 Profil  Antrasit</v>
      </c>
      <c r="J40" s="23" t="str">
        <f>CONCATENATE(Tablo6[[#This Row],[Məhsul adı]]," ",Tablo6[[#This Row],[Tip]]," ",Tablo6[[#This Row],[Rəng]])</f>
        <v>2x2 Profil  Qulp 110 sağ Antrasit</v>
      </c>
      <c r="K40" s="247" t="s">
        <v>1235</v>
      </c>
      <c r="L40" s="270"/>
      <c r="M40" s="271"/>
      <c r="N40" s="271">
        <f>Tablo6[[#This Row],[Alış qiyməti]]*Tablo6[[#This Row],[Giriş sayı]]</f>
        <v>0</v>
      </c>
      <c r="O40" s="271"/>
      <c r="P40" s="272">
        <f ca="1">Tablo6[[#This Row],[Satılan sayı]]*Tablo6[[#This Row],[Satış qiyməti]]</f>
        <v>0</v>
      </c>
      <c r="Q40" s="272">
        <f ca="1">(Tablo6[[#This Row],[Satış qiyməti]]-Tablo6[[#This Row],[Alış qiyməti]])*Tablo6[[#This Row],[Satılan sayı]]</f>
        <v>0</v>
      </c>
      <c r="R40" s="273">
        <f ca="1">SUMIF(Sifarisler!$M:$AH,Tablo6[[#This Row],[Məhsul kodu]],Sifarisler!N:AH)</f>
        <v>0</v>
      </c>
      <c r="S40" s="274">
        <f ca="1">Tablo6[[#This Row],[Giriş sayı]]-Tablo6[[#This Row],[Satılan sayı]]</f>
        <v>0</v>
      </c>
    </row>
    <row r="41" spans="4:19" ht="17.25">
      <c r="D41" s="256">
        <f t="shared" si="1"/>
        <v>45616</v>
      </c>
      <c r="E41" s="23" t="s">
        <v>1249</v>
      </c>
      <c r="F41" s="15" t="s">
        <v>1278</v>
      </c>
      <c r="G41" s="15" t="s">
        <v>1239</v>
      </c>
      <c r="H41" s="259" t="s">
        <v>1282</v>
      </c>
      <c r="I41" s="259" t="str">
        <f>CONCATENATE(Tablo6[[#This Row],[Məhsul adı]]," ",Tablo6[[#This Row],[Rəng]])</f>
        <v>2x2 Profil  Açıq antrasit</v>
      </c>
      <c r="J41" s="23" t="str">
        <f>CONCATENATE(Tablo6[[#This Row],[Məhsul adı]]," ",Tablo6[[#This Row],[Tip]]," ",Tablo6[[#This Row],[Rəng]])</f>
        <v>2x2 Profil  Qulp 110 sağ Açıq antrasit</v>
      </c>
      <c r="K41" s="247" t="s">
        <v>1235</v>
      </c>
      <c r="L41" s="270"/>
      <c r="M41" s="271"/>
      <c r="N41" s="271">
        <f>Tablo6[[#This Row],[Alış qiyməti]]*Tablo6[[#This Row],[Giriş sayı]]</f>
        <v>0</v>
      </c>
      <c r="O41" s="271"/>
      <c r="P41" s="272">
        <f ca="1">Tablo6[[#This Row],[Satılan sayı]]*Tablo6[[#This Row],[Satış qiyməti]]</f>
        <v>0</v>
      </c>
      <c r="Q41" s="272">
        <f ca="1">(Tablo6[[#This Row],[Satış qiyməti]]-Tablo6[[#This Row],[Alış qiyməti]])*Tablo6[[#This Row],[Satılan sayı]]</f>
        <v>0</v>
      </c>
      <c r="R41" s="273">
        <f ca="1">SUMIF(Sifarisler!$M:$AH,Tablo6[[#This Row],[Məhsul kodu]],Sifarisler!N:AH)</f>
        <v>0</v>
      </c>
      <c r="S41" s="274">
        <f ca="1">Tablo6[[#This Row],[Giriş sayı]]-Tablo6[[#This Row],[Satılan sayı]]</f>
        <v>0</v>
      </c>
    </row>
    <row r="42" spans="4:19" ht="17.25">
      <c r="D42" s="256">
        <f t="shared" si="1"/>
        <v>45616</v>
      </c>
      <c r="E42" s="23" t="s">
        <v>1249</v>
      </c>
      <c r="F42" s="15" t="s">
        <v>1278</v>
      </c>
      <c r="G42" s="15" t="s">
        <v>1241</v>
      </c>
      <c r="H42" s="259" t="s">
        <v>1283</v>
      </c>
      <c r="I42" s="259" t="str">
        <f>CONCATENATE(Tablo6[[#This Row],[Məhsul adı]]," ",Tablo6[[#This Row],[Rəng]])</f>
        <v>2x2 Profil  Kofe</v>
      </c>
      <c r="J42" s="23" t="str">
        <f>CONCATENATE(Tablo6[[#This Row],[Məhsul adı]]," ",Tablo6[[#This Row],[Tip]]," ",Tablo6[[#This Row],[Rəng]])</f>
        <v>2x2 Profil  Qulp 110 sağ Kofe</v>
      </c>
      <c r="K42" s="247" t="s">
        <v>1235</v>
      </c>
      <c r="L42" s="270"/>
      <c r="M42" s="271"/>
      <c r="N42" s="271">
        <f>Tablo6[[#This Row],[Alış qiyməti]]*Tablo6[[#This Row],[Giriş sayı]]</f>
        <v>0</v>
      </c>
      <c r="O42" s="271"/>
      <c r="P42" s="272">
        <f ca="1">Tablo6[[#This Row],[Satılan sayı]]*Tablo6[[#This Row],[Satış qiyməti]]</f>
        <v>0</v>
      </c>
      <c r="Q42" s="272">
        <f ca="1">(Tablo6[[#This Row],[Satış qiyməti]]-Tablo6[[#This Row],[Alış qiyməti]])*Tablo6[[#This Row],[Satılan sayı]]</f>
        <v>0</v>
      </c>
      <c r="R42" s="273">
        <f ca="1">SUMIF(Sifarisler!$M:$AH,Tablo6[[#This Row],[Məhsul kodu]],Sifarisler!N:AH)</f>
        <v>0</v>
      </c>
      <c r="S42" s="274">
        <f ca="1">Tablo6[[#This Row],[Giriş sayı]]-Tablo6[[#This Row],[Satılan sayı]]</f>
        <v>0</v>
      </c>
    </row>
    <row r="43" spans="4:19" ht="17.25">
      <c r="D43" s="256">
        <f t="shared" si="1"/>
        <v>45616</v>
      </c>
      <c r="E43" s="23" t="s">
        <v>1284</v>
      </c>
      <c r="F43" s="15" t="s">
        <v>1233</v>
      </c>
      <c r="G43" s="15" t="s">
        <v>257</v>
      </c>
      <c r="H43" s="259" t="s">
        <v>1285</v>
      </c>
      <c r="I43" s="259" t="str">
        <f>CONCATENATE(Tablo6[[#This Row],[Məhsul adı]]," ",Tablo6[[#This Row],[Rəng]])</f>
        <v>3x3 Profil  Qara</v>
      </c>
      <c r="J43" s="23" t="str">
        <f>CONCATENATE(Tablo6[[#This Row],[Məhsul adı]]," ",Tablo6[[#This Row],[Tip]]," ",Tablo6[[#This Row],[Rəng]])</f>
        <v>3x3 Profil  Yan Qara</v>
      </c>
      <c r="K43" s="247" t="s">
        <v>1235</v>
      </c>
      <c r="L43" s="270"/>
      <c r="M43" s="271"/>
      <c r="N43" s="271">
        <f>Tablo6[[#This Row],[Alış qiyməti]]*Tablo6[[#This Row],[Giriş sayı]]</f>
        <v>0</v>
      </c>
      <c r="O43" s="271"/>
      <c r="P43" s="272">
        <f ca="1">Tablo6[[#This Row],[Satılan sayı]]*Tablo6[[#This Row],[Satış qiyməti]]</f>
        <v>0</v>
      </c>
      <c r="Q43" s="272">
        <f ca="1">(Tablo6[[#This Row],[Satış qiyməti]]-Tablo6[[#This Row],[Alış qiyməti]])*Tablo6[[#This Row],[Satılan sayı]]</f>
        <v>0</v>
      </c>
      <c r="R43" s="273">
        <f ca="1">SUMIF(Sifarisler!$M:$AH,Tablo6[[#This Row],[Məhsul kodu]],Sifarisler!N:AH)</f>
        <v>0</v>
      </c>
      <c r="S43" s="274">
        <f ca="1">Tablo6[[#This Row],[Giriş sayı]]-Tablo6[[#This Row],[Satılan sayı]]</f>
        <v>0</v>
      </c>
    </row>
    <row r="44" spans="4:19" ht="17.25">
      <c r="D44" s="256">
        <f t="shared" si="1"/>
        <v>45616</v>
      </c>
      <c r="E44" s="23" t="s">
        <v>1284</v>
      </c>
      <c r="F44" s="15" t="s">
        <v>1233</v>
      </c>
      <c r="G44" s="15" t="s">
        <v>629</v>
      </c>
      <c r="H44" s="259" t="s">
        <v>1286</v>
      </c>
      <c r="I44" s="259" t="str">
        <f>CONCATENATE(Tablo6[[#This Row],[Məhsul adı]]," ",Tablo6[[#This Row],[Rəng]])</f>
        <v>3x3 Profil  Qızılı</v>
      </c>
      <c r="J44" s="23" t="str">
        <f>CONCATENATE(Tablo6[[#This Row],[Məhsul adı]]," ",Tablo6[[#This Row],[Tip]]," ",Tablo6[[#This Row],[Rəng]])</f>
        <v>3x3 Profil  Yan Qızılı</v>
      </c>
      <c r="K44" s="247" t="s">
        <v>1235</v>
      </c>
      <c r="L44" s="270"/>
      <c r="M44" s="271"/>
      <c r="N44" s="271">
        <f>Tablo6[[#This Row],[Alış qiyməti]]*Tablo6[[#This Row],[Giriş sayı]]</f>
        <v>0</v>
      </c>
      <c r="O44" s="271"/>
      <c r="P44" s="272">
        <f ca="1">Tablo6[[#This Row],[Satılan sayı]]*Tablo6[[#This Row],[Satış qiyməti]]</f>
        <v>0</v>
      </c>
      <c r="Q44" s="272">
        <f ca="1">(Tablo6[[#This Row],[Satış qiyməti]]-Tablo6[[#This Row],[Alış qiyməti]])*Tablo6[[#This Row],[Satılan sayı]]</f>
        <v>0</v>
      </c>
      <c r="R44" s="273">
        <f ca="1">SUMIF(Sifarisler!$M:$AH,Tablo6[[#This Row],[Məhsul kodu]],Sifarisler!N:AH)</f>
        <v>0</v>
      </c>
      <c r="S44" s="274">
        <f ca="1">Tablo6[[#This Row],[Giriş sayı]]-Tablo6[[#This Row],[Satılan sayı]]</f>
        <v>0</v>
      </c>
    </row>
    <row r="45" spans="4:19" ht="17.25">
      <c r="D45" s="256">
        <f t="shared" si="1"/>
        <v>45616</v>
      </c>
      <c r="E45" s="23" t="s">
        <v>1284</v>
      </c>
      <c r="F45" s="15" t="s">
        <v>1233</v>
      </c>
      <c r="G45" s="15" t="s">
        <v>1237</v>
      </c>
      <c r="H45" s="259" t="s">
        <v>1287</v>
      </c>
      <c r="I45" s="259" t="str">
        <f>CONCATENATE(Tablo6[[#This Row],[Məhsul adı]]," ",Tablo6[[#This Row],[Rəng]])</f>
        <v>3x3 Profil  Antrasit</v>
      </c>
      <c r="J45" s="23" t="str">
        <f>CONCATENATE(Tablo6[[#This Row],[Məhsul adı]]," ",Tablo6[[#This Row],[Tip]]," ",Tablo6[[#This Row],[Rəng]])</f>
        <v>3x3 Profil  Yan Antrasit</v>
      </c>
      <c r="K45" s="247" t="s">
        <v>1235</v>
      </c>
      <c r="L45" s="270"/>
      <c r="M45" s="271"/>
      <c r="N45" s="271">
        <f>Tablo6[[#This Row],[Alış qiyməti]]*Tablo6[[#This Row],[Giriş sayı]]</f>
        <v>0</v>
      </c>
      <c r="O45" s="271"/>
      <c r="P45" s="272">
        <f ca="1">Tablo6[[#This Row],[Satılan sayı]]*Tablo6[[#This Row],[Satış qiyməti]]</f>
        <v>0</v>
      </c>
      <c r="Q45" s="272">
        <f ca="1">(Tablo6[[#This Row],[Satış qiyməti]]-Tablo6[[#This Row],[Alış qiyməti]])*Tablo6[[#This Row],[Satılan sayı]]</f>
        <v>0</v>
      </c>
      <c r="R45" s="273">
        <f ca="1">SUMIF(Sifarisler!$M:$AH,Tablo6[[#This Row],[Məhsul kodu]],Sifarisler!N:AH)</f>
        <v>0</v>
      </c>
      <c r="S45" s="274">
        <f ca="1">Tablo6[[#This Row],[Giriş sayı]]-Tablo6[[#This Row],[Satılan sayı]]</f>
        <v>0</v>
      </c>
    </row>
    <row r="46" spans="4:19" ht="17.25">
      <c r="D46" s="256">
        <f t="shared" si="1"/>
        <v>45616</v>
      </c>
      <c r="E46" s="23" t="s">
        <v>1284</v>
      </c>
      <c r="F46" s="15" t="s">
        <v>1233</v>
      </c>
      <c r="G46" s="15" t="s">
        <v>1239</v>
      </c>
      <c r="H46" s="259" t="s">
        <v>1288</v>
      </c>
      <c r="I46" s="259" t="str">
        <f>CONCATENATE(Tablo6[[#This Row],[Məhsul adı]]," ",Tablo6[[#This Row],[Rəng]])</f>
        <v>3x3 Profil  Açıq antrasit</v>
      </c>
      <c r="J46" s="23" t="str">
        <f>CONCATENATE(Tablo6[[#This Row],[Məhsul adı]]," ",Tablo6[[#This Row],[Tip]]," ",Tablo6[[#This Row],[Rəng]])</f>
        <v>3x3 Profil  Yan Açıq antrasit</v>
      </c>
      <c r="K46" s="247" t="s">
        <v>1235</v>
      </c>
      <c r="L46" s="270"/>
      <c r="M46" s="271"/>
      <c r="N46" s="271">
        <f>Tablo6[[#This Row],[Alış qiyməti]]*Tablo6[[#This Row],[Giriş sayı]]</f>
        <v>0</v>
      </c>
      <c r="O46" s="271"/>
      <c r="P46" s="272">
        <f ca="1">Tablo6[[#This Row],[Satılan sayı]]*Tablo6[[#This Row],[Satış qiyməti]]</f>
        <v>0</v>
      </c>
      <c r="Q46" s="272">
        <f ca="1">(Tablo6[[#This Row],[Satış qiyməti]]-Tablo6[[#This Row],[Alış qiyməti]])*Tablo6[[#This Row],[Satılan sayı]]</f>
        <v>0</v>
      </c>
      <c r="R46" s="273">
        <f ca="1">SUMIF(Sifarisler!$M:$AH,Tablo6[[#This Row],[Məhsul kodu]],Sifarisler!N:AH)</f>
        <v>0</v>
      </c>
      <c r="S46" s="274">
        <f ca="1">Tablo6[[#This Row],[Giriş sayı]]-Tablo6[[#This Row],[Satılan sayı]]</f>
        <v>0</v>
      </c>
    </row>
    <row r="47" spans="4:19" ht="17.25">
      <c r="D47" s="256">
        <f t="shared" si="1"/>
        <v>45616</v>
      </c>
      <c r="E47" s="23" t="s">
        <v>1284</v>
      </c>
      <c r="F47" s="15" t="s">
        <v>1233</v>
      </c>
      <c r="G47" s="15" t="s">
        <v>1241</v>
      </c>
      <c r="H47" s="259" t="s">
        <v>1289</v>
      </c>
      <c r="I47" s="259" t="str">
        <f>CONCATENATE(Tablo6[[#This Row],[Məhsul adı]]," ",Tablo6[[#This Row],[Rəng]])</f>
        <v>3x3 Profil  Kofe</v>
      </c>
      <c r="J47" s="23" t="str">
        <f>CONCATENATE(Tablo6[[#This Row],[Məhsul adı]]," ",Tablo6[[#This Row],[Tip]]," ",Tablo6[[#This Row],[Rəng]])</f>
        <v>3x3 Profil  Yan Kofe</v>
      </c>
      <c r="K47" s="247" t="s">
        <v>1235</v>
      </c>
      <c r="L47" s="270"/>
      <c r="M47" s="271"/>
      <c r="N47" s="271">
        <f>Tablo6[[#This Row],[Alış qiyməti]]*Tablo6[[#This Row],[Giriş sayı]]</f>
        <v>0</v>
      </c>
      <c r="O47" s="271"/>
      <c r="P47" s="272">
        <f ca="1">Tablo6[[#This Row],[Satılan sayı]]*Tablo6[[#This Row],[Satış qiyməti]]</f>
        <v>0</v>
      </c>
      <c r="Q47" s="272">
        <f ca="1">(Tablo6[[#This Row],[Satış qiyməti]]-Tablo6[[#This Row],[Alış qiyməti]])*Tablo6[[#This Row],[Satılan sayı]]</f>
        <v>0</v>
      </c>
      <c r="R47" s="273">
        <f ca="1">SUMIF(Sifarisler!$M:$AH,Tablo6[[#This Row],[Məhsul kodu]],Sifarisler!N:AH)</f>
        <v>0</v>
      </c>
      <c r="S47" s="274">
        <f ca="1">Tablo6[[#This Row],[Giriş sayı]]-Tablo6[[#This Row],[Satılan sayı]]</f>
        <v>0</v>
      </c>
    </row>
    <row r="48" spans="4:19" ht="17.25">
      <c r="D48" s="256">
        <f t="shared" si="1"/>
        <v>45616</v>
      </c>
      <c r="E48" s="23" t="s">
        <v>1284</v>
      </c>
      <c r="F48" s="15" t="s">
        <v>1266</v>
      </c>
      <c r="G48" s="15" t="s">
        <v>257</v>
      </c>
      <c r="H48" s="259" t="s">
        <v>1290</v>
      </c>
      <c r="I48" s="259" t="str">
        <f>CONCATENATE(Tablo6[[#This Row],[Məhsul adı]]," ",Tablo6[[#This Row],[Rəng]])</f>
        <v>3x3 Profil  Qara</v>
      </c>
      <c r="J48" s="23" t="str">
        <f>CONCATENATE(Tablo6[[#This Row],[Məhsul adı]]," ",Tablo6[[#This Row],[Tip]]," ",Tablo6[[#This Row],[Rəng]])</f>
        <v>3x3 Profil  Qulp 20 sağ Qara</v>
      </c>
      <c r="K48" s="247" t="s">
        <v>1235</v>
      </c>
      <c r="L48" s="270"/>
      <c r="M48" s="271"/>
      <c r="N48" s="271">
        <f>Tablo6[[#This Row],[Alış qiyməti]]*Tablo6[[#This Row],[Giriş sayı]]</f>
        <v>0</v>
      </c>
      <c r="O48" s="271"/>
      <c r="P48" s="272">
        <f ca="1">Tablo6[[#This Row],[Satılan sayı]]*Tablo6[[#This Row],[Satış qiyməti]]</f>
        <v>0</v>
      </c>
      <c r="Q48" s="272">
        <f ca="1">(Tablo6[[#This Row],[Satış qiyməti]]-Tablo6[[#This Row],[Alış qiyməti]])*Tablo6[[#This Row],[Satılan sayı]]</f>
        <v>0</v>
      </c>
      <c r="R48" s="273">
        <f ca="1">SUMIF(Sifarisler!$M:$AH,Tablo6[[#This Row],[Məhsul kodu]],Sifarisler!N:AH)</f>
        <v>0</v>
      </c>
      <c r="S48" s="274">
        <f ca="1">Tablo6[[#This Row],[Giriş sayı]]-Tablo6[[#This Row],[Satılan sayı]]</f>
        <v>0</v>
      </c>
    </row>
    <row r="49" spans="4:19" ht="17.25">
      <c r="D49" s="256">
        <f t="shared" si="1"/>
        <v>45616</v>
      </c>
      <c r="E49" s="23" t="s">
        <v>1284</v>
      </c>
      <c r="F49" s="15" t="s">
        <v>1266</v>
      </c>
      <c r="G49" s="15" t="s">
        <v>629</v>
      </c>
      <c r="H49" s="259" t="s">
        <v>1291</v>
      </c>
      <c r="I49" s="259" t="str">
        <f>CONCATENATE(Tablo6[[#This Row],[Məhsul adı]]," ",Tablo6[[#This Row],[Rəng]])</f>
        <v>3x3 Profil  Qızılı</v>
      </c>
      <c r="J49" s="23" t="str">
        <f>CONCATENATE(Tablo6[[#This Row],[Məhsul adı]]," ",Tablo6[[#This Row],[Tip]]," ",Tablo6[[#This Row],[Rəng]])</f>
        <v>3x3 Profil  Qulp 20 sağ Qızılı</v>
      </c>
      <c r="K49" s="247" t="s">
        <v>1235</v>
      </c>
      <c r="L49" s="270"/>
      <c r="M49" s="271"/>
      <c r="N49" s="271">
        <f>Tablo6[[#This Row],[Alış qiyməti]]*Tablo6[[#This Row],[Giriş sayı]]</f>
        <v>0</v>
      </c>
      <c r="O49" s="271"/>
      <c r="P49" s="272">
        <f ca="1">Tablo6[[#This Row],[Satılan sayı]]*Tablo6[[#This Row],[Satış qiyməti]]</f>
        <v>0</v>
      </c>
      <c r="Q49" s="272">
        <f ca="1">(Tablo6[[#This Row],[Satış qiyməti]]-Tablo6[[#This Row],[Alış qiyməti]])*Tablo6[[#This Row],[Satılan sayı]]</f>
        <v>0</v>
      </c>
      <c r="R49" s="273">
        <f ca="1">SUMIF(Sifarisler!$M:$AH,Tablo6[[#This Row],[Məhsul kodu]],Sifarisler!N:AH)</f>
        <v>0</v>
      </c>
      <c r="S49" s="274">
        <f ca="1">Tablo6[[#This Row],[Giriş sayı]]-Tablo6[[#This Row],[Satılan sayı]]</f>
        <v>0</v>
      </c>
    </row>
    <row r="50" spans="4:19" ht="17.25">
      <c r="D50" s="256">
        <f t="shared" si="1"/>
        <v>45616</v>
      </c>
      <c r="E50" s="23" t="s">
        <v>1284</v>
      </c>
      <c r="F50" s="15" t="s">
        <v>1266</v>
      </c>
      <c r="G50" s="15" t="s">
        <v>1237</v>
      </c>
      <c r="H50" s="259" t="s">
        <v>1292</v>
      </c>
      <c r="I50" s="259" t="str">
        <f>CONCATENATE(Tablo6[[#This Row],[Məhsul adı]]," ",Tablo6[[#This Row],[Rəng]])</f>
        <v>3x3 Profil  Antrasit</v>
      </c>
      <c r="J50" s="23" t="str">
        <f>CONCATENATE(Tablo6[[#This Row],[Məhsul adı]]," ",Tablo6[[#This Row],[Tip]]," ",Tablo6[[#This Row],[Rəng]])</f>
        <v>3x3 Profil  Qulp 20 sağ Antrasit</v>
      </c>
      <c r="K50" s="247" t="s">
        <v>1235</v>
      </c>
      <c r="L50" s="270"/>
      <c r="M50" s="271"/>
      <c r="N50" s="271">
        <f>Tablo6[[#This Row],[Alış qiyməti]]*Tablo6[[#This Row],[Giriş sayı]]</f>
        <v>0</v>
      </c>
      <c r="O50" s="271"/>
      <c r="P50" s="272">
        <f ca="1">Tablo6[[#This Row],[Satılan sayı]]*Tablo6[[#This Row],[Satış qiyməti]]</f>
        <v>0</v>
      </c>
      <c r="Q50" s="272">
        <f ca="1">(Tablo6[[#This Row],[Satış qiyməti]]-Tablo6[[#This Row],[Alış qiyməti]])*Tablo6[[#This Row],[Satılan sayı]]</f>
        <v>0</v>
      </c>
      <c r="R50" s="273">
        <f ca="1">SUMIF(Sifarisler!$M:$AH,Tablo6[[#This Row],[Məhsul kodu]],Sifarisler!N:AH)</f>
        <v>0</v>
      </c>
      <c r="S50" s="274">
        <f ca="1">Tablo6[[#This Row],[Giriş sayı]]-Tablo6[[#This Row],[Satılan sayı]]</f>
        <v>0</v>
      </c>
    </row>
    <row r="51" spans="4:19" ht="17.25">
      <c r="D51" s="256">
        <f t="shared" si="1"/>
        <v>45616</v>
      </c>
      <c r="E51" s="23" t="s">
        <v>1284</v>
      </c>
      <c r="F51" s="15" t="s">
        <v>1266</v>
      </c>
      <c r="G51" s="15" t="s">
        <v>1239</v>
      </c>
      <c r="H51" s="259" t="s">
        <v>1293</v>
      </c>
      <c r="I51" s="259" t="str">
        <f>CONCATENATE(Tablo6[[#This Row],[Məhsul adı]]," ",Tablo6[[#This Row],[Rəng]])</f>
        <v>3x3 Profil  Açıq antrasit</v>
      </c>
      <c r="J51" s="23" t="str">
        <f>CONCATENATE(Tablo6[[#This Row],[Məhsul adı]]," ",Tablo6[[#This Row],[Tip]]," ",Tablo6[[#This Row],[Rəng]])</f>
        <v>3x3 Profil  Qulp 20 sağ Açıq antrasit</v>
      </c>
      <c r="K51" s="247" t="s">
        <v>1235</v>
      </c>
      <c r="L51" s="270"/>
      <c r="M51" s="271"/>
      <c r="N51" s="271">
        <f>Tablo6[[#This Row],[Alış qiyməti]]*Tablo6[[#This Row],[Giriş sayı]]</f>
        <v>0</v>
      </c>
      <c r="O51" s="271"/>
      <c r="P51" s="272">
        <f ca="1">Tablo6[[#This Row],[Satılan sayı]]*Tablo6[[#This Row],[Satış qiyməti]]</f>
        <v>0</v>
      </c>
      <c r="Q51" s="272">
        <f ca="1">(Tablo6[[#This Row],[Satış qiyməti]]-Tablo6[[#This Row],[Alış qiyməti]])*Tablo6[[#This Row],[Satılan sayı]]</f>
        <v>0</v>
      </c>
      <c r="R51" s="273">
        <f ca="1">SUMIF(Sifarisler!$M:$AH,Tablo6[[#This Row],[Məhsul kodu]],Sifarisler!N:AH)</f>
        <v>0</v>
      </c>
      <c r="S51" s="274">
        <f ca="1">Tablo6[[#This Row],[Giriş sayı]]-Tablo6[[#This Row],[Satılan sayı]]</f>
        <v>0</v>
      </c>
    </row>
    <row r="52" spans="4:19" ht="17.25">
      <c r="D52" s="256">
        <f t="shared" si="1"/>
        <v>45616</v>
      </c>
      <c r="E52" s="23" t="s">
        <v>1284</v>
      </c>
      <c r="F52" s="15" t="s">
        <v>1266</v>
      </c>
      <c r="G52" s="15" t="s">
        <v>1241</v>
      </c>
      <c r="H52" s="259" t="s">
        <v>1294</v>
      </c>
      <c r="I52" s="259" t="str">
        <f>CONCATENATE(Tablo6[[#This Row],[Məhsul adı]]," ",Tablo6[[#This Row],[Rəng]])</f>
        <v>3x3 Profil  Kofe</v>
      </c>
      <c r="J52" s="23" t="str">
        <f>CONCATENATE(Tablo6[[#This Row],[Məhsul adı]]," ",Tablo6[[#This Row],[Tip]]," ",Tablo6[[#This Row],[Rəng]])</f>
        <v>3x3 Profil  Qulp 20 sağ Kofe</v>
      </c>
      <c r="K52" s="247" t="s">
        <v>1235</v>
      </c>
      <c r="L52" s="270"/>
      <c r="M52" s="271"/>
      <c r="N52" s="271">
        <f>Tablo6[[#This Row],[Alış qiyməti]]*Tablo6[[#This Row],[Giriş sayı]]</f>
        <v>0</v>
      </c>
      <c r="O52" s="271"/>
      <c r="P52" s="272">
        <f ca="1">Tablo6[[#This Row],[Satılan sayı]]*Tablo6[[#This Row],[Satış qiyməti]]</f>
        <v>0</v>
      </c>
      <c r="Q52" s="272">
        <f ca="1">(Tablo6[[#This Row],[Satış qiyməti]]-Tablo6[[#This Row],[Alış qiyməti]])*Tablo6[[#This Row],[Satılan sayı]]</f>
        <v>0</v>
      </c>
      <c r="R52" s="273">
        <f ca="1">SUMIF(Sifarisler!$M:$AH,Tablo6[[#This Row],[Məhsul kodu]],Sifarisler!N:AH)</f>
        <v>0</v>
      </c>
      <c r="S52" s="274">
        <f ca="1">Tablo6[[#This Row],[Giriş sayı]]-Tablo6[[#This Row],[Satılan sayı]]</f>
        <v>0</v>
      </c>
    </row>
    <row r="53" spans="4:19" ht="17.25">
      <c r="D53" s="256">
        <f t="shared" si="1"/>
        <v>45616</v>
      </c>
      <c r="E53" s="23" t="s">
        <v>1284</v>
      </c>
      <c r="F53" s="15" t="s">
        <v>1260</v>
      </c>
      <c r="G53" s="15" t="s">
        <v>257</v>
      </c>
      <c r="H53" s="259" t="s">
        <v>1295</v>
      </c>
      <c r="I53" s="259" t="str">
        <f>CONCATENATE(Tablo6[[#This Row],[Məhsul adı]]," ",Tablo6[[#This Row],[Rəng]])</f>
        <v>3x3 Profil  Qara</v>
      </c>
      <c r="J53" s="23" t="str">
        <f>CONCATENATE(Tablo6[[#This Row],[Məhsul adı]]," ",Tablo6[[#This Row],[Tip]]," ",Tablo6[[#This Row],[Rəng]])</f>
        <v>3x3 Profil  Qulp 20 sol Qara</v>
      </c>
      <c r="K53" s="247" t="s">
        <v>1235</v>
      </c>
      <c r="L53" s="270"/>
      <c r="M53" s="271"/>
      <c r="N53" s="271">
        <f>Tablo6[[#This Row],[Alış qiyməti]]*Tablo6[[#This Row],[Giriş sayı]]</f>
        <v>0</v>
      </c>
      <c r="O53" s="271"/>
      <c r="P53" s="272">
        <f ca="1">Tablo6[[#This Row],[Satılan sayı]]*Tablo6[[#This Row],[Satış qiyməti]]</f>
        <v>0</v>
      </c>
      <c r="Q53" s="272">
        <f ca="1">(Tablo6[[#This Row],[Satış qiyməti]]-Tablo6[[#This Row],[Alış qiyməti]])*Tablo6[[#This Row],[Satılan sayı]]</f>
        <v>0</v>
      </c>
      <c r="R53" s="273">
        <f ca="1">SUMIF(Sifarisler!$M:$AH,Tablo6[[#This Row],[Məhsul kodu]],Sifarisler!N:AH)</f>
        <v>0</v>
      </c>
      <c r="S53" s="274">
        <f ca="1">Tablo6[[#This Row],[Giriş sayı]]-Tablo6[[#This Row],[Satılan sayı]]</f>
        <v>0</v>
      </c>
    </row>
    <row r="54" spans="4:19" ht="17.25">
      <c r="D54" s="256">
        <f t="shared" si="1"/>
        <v>45616</v>
      </c>
      <c r="E54" s="23" t="s">
        <v>1284</v>
      </c>
      <c r="F54" s="15" t="s">
        <v>1260</v>
      </c>
      <c r="G54" s="15" t="s">
        <v>629</v>
      </c>
      <c r="H54" s="259" t="s">
        <v>1296</v>
      </c>
      <c r="I54" s="259" t="str">
        <f>CONCATENATE(Tablo6[[#This Row],[Məhsul adı]]," ",Tablo6[[#This Row],[Rəng]])</f>
        <v>3x3 Profil  Qızılı</v>
      </c>
      <c r="J54" s="23" t="str">
        <f>CONCATENATE(Tablo6[[#This Row],[Məhsul adı]]," ",Tablo6[[#This Row],[Tip]]," ",Tablo6[[#This Row],[Rəng]])</f>
        <v>3x3 Profil  Qulp 20 sol Qızılı</v>
      </c>
      <c r="K54" s="247" t="s">
        <v>1235</v>
      </c>
      <c r="L54" s="270"/>
      <c r="M54" s="271"/>
      <c r="N54" s="271">
        <f>Tablo6[[#This Row],[Alış qiyməti]]*Tablo6[[#This Row],[Giriş sayı]]</f>
        <v>0</v>
      </c>
      <c r="O54" s="271"/>
      <c r="P54" s="272">
        <f ca="1">Tablo6[[#This Row],[Satılan sayı]]*Tablo6[[#This Row],[Satış qiyməti]]</f>
        <v>0</v>
      </c>
      <c r="Q54" s="272">
        <f ca="1">(Tablo6[[#This Row],[Satış qiyməti]]-Tablo6[[#This Row],[Alış qiyməti]])*Tablo6[[#This Row],[Satılan sayı]]</f>
        <v>0</v>
      </c>
      <c r="R54" s="273">
        <f ca="1">SUMIF(Sifarisler!$M:$AH,Tablo6[[#This Row],[Məhsul kodu]],Sifarisler!N:AH)</f>
        <v>0</v>
      </c>
      <c r="S54" s="274">
        <f ca="1">Tablo6[[#This Row],[Giriş sayı]]-Tablo6[[#This Row],[Satılan sayı]]</f>
        <v>0</v>
      </c>
    </row>
    <row r="55" spans="4:19" ht="17.25">
      <c r="D55" s="256">
        <f t="shared" si="1"/>
        <v>45616</v>
      </c>
      <c r="E55" s="23" t="s">
        <v>1284</v>
      </c>
      <c r="F55" s="15" t="s">
        <v>1260</v>
      </c>
      <c r="G55" s="15" t="s">
        <v>1237</v>
      </c>
      <c r="H55" s="259" t="s">
        <v>1297</v>
      </c>
      <c r="I55" s="259" t="str">
        <f>CONCATENATE(Tablo6[[#This Row],[Məhsul adı]]," ",Tablo6[[#This Row],[Rəng]])</f>
        <v>3x3 Profil  Antrasit</v>
      </c>
      <c r="J55" s="23" t="str">
        <f>CONCATENATE(Tablo6[[#This Row],[Məhsul adı]]," ",Tablo6[[#This Row],[Tip]]," ",Tablo6[[#This Row],[Rəng]])</f>
        <v>3x3 Profil  Qulp 20 sol Antrasit</v>
      </c>
      <c r="K55" s="247" t="s">
        <v>1235</v>
      </c>
      <c r="L55" s="270"/>
      <c r="M55" s="271"/>
      <c r="N55" s="271">
        <f>Tablo6[[#This Row],[Alış qiyməti]]*Tablo6[[#This Row],[Giriş sayı]]</f>
        <v>0</v>
      </c>
      <c r="O55" s="271"/>
      <c r="P55" s="272">
        <f ca="1">Tablo6[[#This Row],[Satılan sayı]]*Tablo6[[#This Row],[Satış qiyməti]]</f>
        <v>0</v>
      </c>
      <c r="Q55" s="272">
        <f ca="1">(Tablo6[[#This Row],[Satış qiyməti]]-Tablo6[[#This Row],[Alış qiyməti]])*Tablo6[[#This Row],[Satılan sayı]]</f>
        <v>0</v>
      </c>
      <c r="R55" s="273">
        <f ca="1">SUMIF(Sifarisler!$M:$AH,Tablo6[[#This Row],[Məhsul kodu]],Sifarisler!N:AH)</f>
        <v>0</v>
      </c>
      <c r="S55" s="274">
        <f ca="1">Tablo6[[#This Row],[Giriş sayı]]-Tablo6[[#This Row],[Satılan sayı]]</f>
        <v>0</v>
      </c>
    </row>
    <row r="56" spans="4:19" ht="17.25">
      <c r="D56" s="256">
        <f t="shared" si="1"/>
        <v>45616</v>
      </c>
      <c r="E56" s="23" t="s">
        <v>1284</v>
      </c>
      <c r="F56" s="15" t="s">
        <v>1260</v>
      </c>
      <c r="G56" s="15" t="s">
        <v>1239</v>
      </c>
      <c r="H56" s="259" t="s">
        <v>1298</v>
      </c>
      <c r="I56" s="259" t="str">
        <f>CONCATENATE(Tablo6[[#This Row],[Məhsul adı]]," ",Tablo6[[#This Row],[Rəng]])</f>
        <v>3x3 Profil  Açıq antrasit</v>
      </c>
      <c r="J56" s="23" t="str">
        <f>CONCATENATE(Tablo6[[#This Row],[Məhsul adı]]," ",Tablo6[[#This Row],[Tip]]," ",Tablo6[[#This Row],[Rəng]])</f>
        <v>3x3 Profil  Qulp 20 sol Açıq antrasit</v>
      </c>
      <c r="K56" s="247" t="s">
        <v>1235</v>
      </c>
      <c r="L56" s="270"/>
      <c r="M56" s="271"/>
      <c r="N56" s="271">
        <f>Tablo6[[#This Row],[Alış qiyməti]]*Tablo6[[#This Row],[Giriş sayı]]</f>
        <v>0</v>
      </c>
      <c r="O56" s="271"/>
      <c r="P56" s="272">
        <f ca="1">Tablo6[[#This Row],[Satılan sayı]]*Tablo6[[#This Row],[Satış qiyməti]]</f>
        <v>0</v>
      </c>
      <c r="Q56" s="272">
        <f ca="1">(Tablo6[[#This Row],[Satış qiyməti]]-Tablo6[[#This Row],[Alış qiyməti]])*Tablo6[[#This Row],[Satılan sayı]]</f>
        <v>0</v>
      </c>
      <c r="R56" s="273">
        <f ca="1">SUMIF(Sifarisler!$M:$AH,Tablo6[[#This Row],[Məhsul kodu]],Sifarisler!N:AH)</f>
        <v>0</v>
      </c>
      <c r="S56" s="274">
        <f ca="1">Tablo6[[#This Row],[Giriş sayı]]-Tablo6[[#This Row],[Satılan sayı]]</f>
        <v>0</v>
      </c>
    </row>
    <row r="57" spans="4:19" ht="17.25">
      <c r="D57" s="256">
        <f t="shared" si="1"/>
        <v>45616</v>
      </c>
      <c r="E57" s="23" t="s">
        <v>1284</v>
      </c>
      <c r="F57" s="15" t="s">
        <v>1260</v>
      </c>
      <c r="G57" s="15" t="s">
        <v>1241</v>
      </c>
      <c r="H57" s="259" t="s">
        <v>1299</v>
      </c>
      <c r="I57" s="259" t="str">
        <f>CONCATENATE(Tablo6[[#This Row],[Məhsul adı]]," ",Tablo6[[#This Row],[Rəng]])</f>
        <v>3x3 Profil  Kofe</v>
      </c>
      <c r="J57" s="23" t="str">
        <f>CONCATENATE(Tablo6[[#This Row],[Məhsul adı]]," ",Tablo6[[#This Row],[Tip]]," ",Tablo6[[#This Row],[Rəng]])</f>
        <v>3x3 Profil  Qulp 20 sol Kofe</v>
      </c>
      <c r="K57" s="247" t="s">
        <v>1235</v>
      </c>
      <c r="L57" s="270"/>
      <c r="M57" s="271"/>
      <c r="N57" s="271">
        <f>Tablo6[[#This Row],[Alış qiyməti]]*Tablo6[[#This Row],[Giriş sayı]]</f>
        <v>0</v>
      </c>
      <c r="O57" s="271"/>
      <c r="P57" s="272">
        <f ca="1">Tablo6[[#This Row],[Satılan sayı]]*Tablo6[[#This Row],[Satış qiyməti]]</f>
        <v>0</v>
      </c>
      <c r="Q57" s="272">
        <f ca="1">(Tablo6[[#This Row],[Satış qiyməti]]-Tablo6[[#This Row],[Alış qiyməti]])*Tablo6[[#This Row],[Satılan sayı]]</f>
        <v>0</v>
      </c>
      <c r="R57" s="273">
        <f ca="1">SUMIF(Sifarisler!$M:$AH,Tablo6[[#This Row],[Məhsul kodu]],Sifarisler!N:AH)</f>
        <v>0</v>
      </c>
      <c r="S57" s="274">
        <f ca="1">Tablo6[[#This Row],[Giriş sayı]]-Tablo6[[#This Row],[Satılan sayı]]</f>
        <v>0</v>
      </c>
    </row>
    <row r="58" spans="4:19" ht="17.25">
      <c r="D58" s="256">
        <f t="shared" si="1"/>
        <v>45616</v>
      </c>
      <c r="E58" s="23" t="s">
        <v>1284</v>
      </c>
      <c r="F58" s="15" t="s">
        <v>1278</v>
      </c>
      <c r="G58" s="15" t="s">
        <v>257</v>
      </c>
      <c r="H58" s="259" t="s">
        <v>1300</v>
      </c>
      <c r="I58" s="259" t="str">
        <f>CONCATENATE(Tablo6[[#This Row],[Məhsul adı]]," ",Tablo6[[#This Row],[Rəng]])</f>
        <v>3x3 Profil  Qara</v>
      </c>
      <c r="J58" s="23" t="str">
        <f>CONCATENATE(Tablo6[[#This Row],[Məhsul adı]]," ",Tablo6[[#This Row],[Tip]]," ",Tablo6[[#This Row],[Rəng]])</f>
        <v>3x3 Profil  Qulp 110 sağ Qara</v>
      </c>
      <c r="K58" s="247" t="s">
        <v>1235</v>
      </c>
      <c r="L58" s="270"/>
      <c r="M58" s="271"/>
      <c r="N58" s="271">
        <f>Tablo6[[#This Row],[Alış qiyməti]]*Tablo6[[#This Row],[Giriş sayı]]</f>
        <v>0</v>
      </c>
      <c r="O58" s="271"/>
      <c r="P58" s="272">
        <f ca="1">Tablo6[[#This Row],[Satılan sayı]]*Tablo6[[#This Row],[Satış qiyməti]]</f>
        <v>0</v>
      </c>
      <c r="Q58" s="272">
        <f ca="1">(Tablo6[[#This Row],[Satış qiyməti]]-Tablo6[[#This Row],[Alış qiyməti]])*Tablo6[[#This Row],[Satılan sayı]]</f>
        <v>0</v>
      </c>
      <c r="R58" s="273">
        <f ca="1">SUMIF(Sifarisler!$M:$AH,Tablo6[[#This Row],[Məhsul kodu]],Sifarisler!N:AH)</f>
        <v>0</v>
      </c>
      <c r="S58" s="274">
        <f ca="1">Tablo6[[#This Row],[Giriş sayı]]-Tablo6[[#This Row],[Satılan sayı]]</f>
        <v>0</v>
      </c>
    </row>
    <row r="59" spans="4:19" ht="17.25">
      <c r="D59" s="256">
        <f t="shared" si="1"/>
        <v>45616</v>
      </c>
      <c r="E59" s="23" t="s">
        <v>1284</v>
      </c>
      <c r="F59" s="15" t="s">
        <v>1278</v>
      </c>
      <c r="G59" s="15" t="s">
        <v>629</v>
      </c>
      <c r="H59" s="259" t="s">
        <v>1301</v>
      </c>
      <c r="I59" s="259" t="str">
        <f>CONCATENATE(Tablo6[[#This Row],[Məhsul adı]]," ",Tablo6[[#This Row],[Rəng]])</f>
        <v>3x3 Profil  Qızılı</v>
      </c>
      <c r="J59" s="23" t="str">
        <f>CONCATENATE(Tablo6[[#This Row],[Məhsul adı]]," ",Tablo6[[#This Row],[Tip]]," ",Tablo6[[#This Row],[Rəng]])</f>
        <v>3x3 Profil  Qulp 110 sağ Qızılı</v>
      </c>
      <c r="K59" s="247" t="s">
        <v>1235</v>
      </c>
      <c r="L59" s="270"/>
      <c r="M59" s="271"/>
      <c r="N59" s="271">
        <f>Tablo6[[#This Row],[Alış qiyməti]]*Tablo6[[#This Row],[Giriş sayı]]</f>
        <v>0</v>
      </c>
      <c r="O59" s="271"/>
      <c r="P59" s="272">
        <f ca="1">Tablo6[[#This Row],[Satılan sayı]]*Tablo6[[#This Row],[Satış qiyməti]]</f>
        <v>0</v>
      </c>
      <c r="Q59" s="272">
        <f ca="1">(Tablo6[[#This Row],[Satış qiyməti]]-Tablo6[[#This Row],[Alış qiyməti]])*Tablo6[[#This Row],[Satılan sayı]]</f>
        <v>0</v>
      </c>
      <c r="R59" s="273">
        <f ca="1">SUMIF(Sifarisler!$M:$AH,Tablo6[[#This Row],[Məhsul kodu]],Sifarisler!N:AH)</f>
        <v>0</v>
      </c>
      <c r="S59" s="274">
        <f ca="1">Tablo6[[#This Row],[Giriş sayı]]-Tablo6[[#This Row],[Satılan sayı]]</f>
        <v>0</v>
      </c>
    </row>
    <row r="60" spans="4:19" ht="17.25">
      <c r="D60" s="256">
        <f t="shared" si="1"/>
        <v>45616</v>
      </c>
      <c r="E60" s="23" t="s">
        <v>1284</v>
      </c>
      <c r="F60" s="15" t="s">
        <v>1278</v>
      </c>
      <c r="G60" s="15" t="s">
        <v>1237</v>
      </c>
      <c r="H60" s="259" t="s">
        <v>1302</v>
      </c>
      <c r="I60" s="259" t="str">
        <f>CONCATENATE(Tablo6[[#This Row],[Məhsul adı]]," ",Tablo6[[#This Row],[Rəng]])</f>
        <v>3x3 Profil  Antrasit</v>
      </c>
      <c r="J60" s="23" t="str">
        <f>CONCATENATE(Tablo6[[#This Row],[Məhsul adı]]," ",Tablo6[[#This Row],[Tip]]," ",Tablo6[[#This Row],[Rəng]])</f>
        <v>3x3 Profil  Qulp 110 sağ Antrasit</v>
      </c>
      <c r="K60" s="247" t="s">
        <v>1235</v>
      </c>
      <c r="L60" s="270"/>
      <c r="M60" s="271"/>
      <c r="N60" s="271">
        <f>Tablo6[[#This Row],[Alış qiyməti]]*Tablo6[[#This Row],[Giriş sayı]]</f>
        <v>0</v>
      </c>
      <c r="O60" s="271"/>
      <c r="P60" s="272">
        <f ca="1">Tablo6[[#This Row],[Satılan sayı]]*Tablo6[[#This Row],[Satış qiyməti]]</f>
        <v>0</v>
      </c>
      <c r="Q60" s="272">
        <f ca="1">(Tablo6[[#This Row],[Satış qiyməti]]-Tablo6[[#This Row],[Alış qiyməti]])*Tablo6[[#This Row],[Satılan sayı]]</f>
        <v>0</v>
      </c>
      <c r="R60" s="273">
        <f ca="1">SUMIF(Sifarisler!$M:$AH,Tablo6[[#This Row],[Məhsul kodu]],Sifarisler!N:AH)</f>
        <v>0</v>
      </c>
      <c r="S60" s="274">
        <f ca="1">Tablo6[[#This Row],[Giriş sayı]]-Tablo6[[#This Row],[Satılan sayı]]</f>
        <v>0</v>
      </c>
    </row>
    <row r="61" spans="4:19" ht="17.25">
      <c r="D61" s="256">
        <f t="shared" si="1"/>
        <v>45616</v>
      </c>
      <c r="E61" s="23" t="s">
        <v>1284</v>
      </c>
      <c r="F61" s="15" t="s">
        <v>1278</v>
      </c>
      <c r="G61" s="15" t="s">
        <v>1239</v>
      </c>
      <c r="H61" s="259" t="s">
        <v>1303</v>
      </c>
      <c r="I61" s="259" t="str">
        <f>CONCATENATE(Tablo6[[#This Row],[Məhsul adı]]," ",Tablo6[[#This Row],[Rəng]])</f>
        <v>3x3 Profil  Açıq antrasit</v>
      </c>
      <c r="J61" s="23" t="str">
        <f>CONCATENATE(Tablo6[[#This Row],[Məhsul adı]]," ",Tablo6[[#This Row],[Tip]]," ",Tablo6[[#This Row],[Rəng]])</f>
        <v>3x3 Profil  Qulp 110 sağ Açıq antrasit</v>
      </c>
      <c r="K61" s="247" t="s">
        <v>1235</v>
      </c>
      <c r="L61" s="270"/>
      <c r="M61" s="271"/>
      <c r="N61" s="271">
        <f>Tablo6[[#This Row],[Alış qiyməti]]*Tablo6[[#This Row],[Giriş sayı]]</f>
        <v>0</v>
      </c>
      <c r="O61" s="271"/>
      <c r="P61" s="272">
        <f ca="1">Tablo6[[#This Row],[Satılan sayı]]*Tablo6[[#This Row],[Satış qiyməti]]</f>
        <v>0</v>
      </c>
      <c r="Q61" s="272">
        <f ca="1">(Tablo6[[#This Row],[Satış qiyməti]]-Tablo6[[#This Row],[Alış qiyməti]])*Tablo6[[#This Row],[Satılan sayı]]</f>
        <v>0</v>
      </c>
      <c r="R61" s="273">
        <f ca="1">SUMIF(Sifarisler!$M:$AH,Tablo6[[#This Row],[Məhsul kodu]],Sifarisler!N:AH)</f>
        <v>0</v>
      </c>
      <c r="S61" s="274">
        <f ca="1">Tablo6[[#This Row],[Giriş sayı]]-Tablo6[[#This Row],[Satılan sayı]]</f>
        <v>0</v>
      </c>
    </row>
    <row r="62" spans="4:19" ht="17.25">
      <c r="D62" s="256">
        <f t="shared" si="1"/>
        <v>45616</v>
      </c>
      <c r="E62" s="23" t="s">
        <v>1284</v>
      </c>
      <c r="F62" s="15" t="s">
        <v>1278</v>
      </c>
      <c r="G62" s="15" t="s">
        <v>1241</v>
      </c>
      <c r="H62" s="259" t="s">
        <v>1304</v>
      </c>
      <c r="I62" s="259" t="str">
        <f>CONCATENATE(Tablo6[[#This Row],[Məhsul adı]]," ",Tablo6[[#This Row],[Rəng]])</f>
        <v>3x3 Profil  Kofe</v>
      </c>
      <c r="J62" s="23" t="str">
        <f>CONCATENATE(Tablo6[[#This Row],[Məhsul adı]]," ",Tablo6[[#This Row],[Tip]]," ",Tablo6[[#This Row],[Rəng]])</f>
        <v>3x3 Profil  Qulp 110 sağ Kofe</v>
      </c>
      <c r="K62" s="247" t="s">
        <v>1235</v>
      </c>
      <c r="L62" s="270"/>
      <c r="M62" s="271"/>
      <c r="N62" s="271">
        <f>Tablo6[[#This Row],[Alış qiyməti]]*Tablo6[[#This Row],[Giriş sayı]]</f>
        <v>0</v>
      </c>
      <c r="O62" s="271"/>
      <c r="P62" s="272">
        <f ca="1">Tablo6[[#This Row],[Satılan sayı]]*Tablo6[[#This Row],[Satış qiyməti]]</f>
        <v>0</v>
      </c>
      <c r="Q62" s="272">
        <f ca="1">(Tablo6[[#This Row],[Satış qiyməti]]-Tablo6[[#This Row],[Alış qiyməti]])*Tablo6[[#This Row],[Satılan sayı]]</f>
        <v>0</v>
      </c>
      <c r="R62" s="273">
        <f ca="1">SUMIF(Sifarisler!$M:$AH,Tablo6[[#This Row],[Məhsul kodu]],Sifarisler!N:AH)</f>
        <v>0</v>
      </c>
      <c r="S62" s="274">
        <f ca="1">Tablo6[[#This Row],[Giriş sayı]]-Tablo6[[#This Row],[Satılan sayı]]</f>
        <v>0</v>
      </c>
    </row>
    <row r="63" spans="4:19" ht="17.25">
      <c r="D63" s="256">
        <f t="shared" si="1"/>
        <v>45616</v>
      </c>
      <c r="E63" s="23" t="s">
        <v>1284</v>
      </c>
      <c r="F63" s="15" t="s">
        <v>1272</v>
      </c>
      <c r="G63" s="15" t="s">
        <v>257</v>
      </c>
      <c r="H63" s="259" t="s">
        <v>1305</v>
      </c>
      <c r="I63" s="259" t="str">
        <f>CONCATENATE(Tablo6[[#This Row],[Məhsul adı]]," ",Tablo6[[#This Row],[Rəng]])</f>
        <v>3x3 Profil  Qara</v>
      </c>
      <c r="J63" s="23" t="str">
        <f>CONCATENATE(Tablo6[[#This Row],[Məhsul adı]]," ",Tablo6[[#This Row],[Tip]]," ",Tablo6[[#This Row],[Rəng]])</f>
        <v>3x3 Profil  Qulp 110 sol Qara</v>
      </c>
      <c r="K63" s="247" t="s">
        <v>1235</v>
      </c>
      <c r="L63" s="270"/>
      <c r="M63" s="271"/>
      <c r="N63" s="271">
        <f>Tablo6[[#This Row],[Alış qiyməti]]*Tablo6[[#This Row],[Giriş sayı]]</f>
        <v>0</v>
      </c>
      <c r="O63" s="271"/>
      <c r="P63" s="272">
        <f ca="1">Tablo6[[#This Row],[Satılan sayı]]*Tablo6[[#This Row],[Satış qiyməti]]</f>
        <v>0</v>
      </c>
      <c r="Q63" s="272">
        <f ca="1">(Tablo6[[#This Row],[Satış qiyməti]]-Tablo6[[#This Row],[Alış qiyməti]])*Tablo6[[#This Row],[Satılan sayı]]</f>
        <v>0</v>
      </c>
      <c r="R63" s="273">
        <f ca="1">SUMIF(Sifarisler!$M:$AH,Tablo6[[#This Row],[Məhsul kodu]],Sifarisler!N:AH)</f>
        <v>0</v>
      </c>
      <c r="S63" s="274">
        <f ca="1">Tablo6[[#This Row],[Giriş sayı]]-Tablo6[[#This Row],[Satılan sayı]]</f>
        <v>0</v>
      </c>
    </row>
    <row r="64" spans="4:19" ht="17.25">
      <c r="D64" s="256">
        <f t="shared" si="1"/>
        <v>45616</v>
      </c>
      <c r="E64" s="23" t="s">
        <v>1284</v>
      </c>
      <c r="F64" s="15" t="s">
        <v>1272</v>
      </c>
      <c r="G64" s="15" t="s">
        <v>629</v>
      </c>
      <c r="H64" s="259" t="s">
        <v>1306</v>
      </c>
      <c r="I64" s="259" t="str">
        <f>CONCATENATE(Tablo6[[#This Row],[Məhsul adı]]," ",Tablo6[[#This Row],[Rəng]])</f>
        <v>3x3 Profil  Qızılı</v>
      </c>
      <c r="J64" s="23" t="str">
        <f>CONCATENATE(Tablo6[[#This Row],[Məhsul adı]]," ",Tablo6[[#This Row],[Tip]]," ",Tablo6[[#This Row],[Rəng]])</f>
        <v>3x3 Profil  Qulp 110 sol Qızılı</v>
      </c>
      <c r="K64" s="247" t="s">
        <v>1235</v>
      </c>
      <c r="L64" s="270"/>
      <c r="M64" s="271"/>
      <c r="N64" s="271">
        <f>Tablo6[[#This Row],[Alış qiyməti]]*Tablo6[[#This Row],[Giriş sayı]]</f>
        <v>0</v>
      </c>
      <c r="O64" s="271"/>
      <c r="P64" s="272">
        <f ca="1">Tablo6[[#This Row],[Satılan sayı]]*Tablo6[[#This Row],[Satış qiyməti]]</f>
        <v>0</v>
      </c>
      <c r="Q64" s="272">
        <f ca="1">(Tablo6[[#This Row],[Satış qiyməti]]-Tablo6[[#This Row],[Alış qiyməti]])*Tablo6[[#This Row],[Satılan sayı]]</f>
        <v>0</v>
      </c>
      <c r="R64" s="273">
        <f ca="1">SUMIF(Sifarisler!$M:$AH,Tablo6[[#This Row],[Məhsul kodu]],Sifarisler!N:AH)</f>
        <v>0</v>
      </c>
      <c r="S64" s="274">
        <f ca="1">Tablo6[[#This Row],[Giriş sayı]]-Tablo6[[#This Row],[Satılan sayı]]</f>
        <v>0</v>
      </c>
    </row>
    <row r="65" spans="4:19" ht="17.25">
      <c r="D65" s="256">
        <f t="shared" si="1"/>
        <v>45616</v>
      </c>
      <c r="E65" s="23" t="s">
        <v>1284</v>
      </c>
      <c r="F65" s="15" t="s">
        <v>1272</v>
      </c>
      <c r="G65" s="15" t="s">
        <v>1237</v>
      </c>
      <c r="H65" s="259" t="s">
        <v>1307</v>
      </c>
      <c r="I65" s="259" t="str">
        <f>CONCATENATE(Tablo6[[#This Row],[Məhsul adı]]," ",Tablo6[[#This Row],[Rəng]])</f>
        <v>3x3 Profil  Antrasit</v>
      </c>
      <c r="J65" s="23" t="str">
        <f>CONCATENATE(Tablo6[[#This Row],[Məhsul adı]]," ",Tablo6[[#This Row],[Tip]]," ",Tablo6[[#This Row],[Rəng]])</f>
        <v>3x3 Profil  Qulp 110 sol Antrasit</v>
      </c>
      <c r="K65" s="247" t="s">
        <v>1235</v>
      </c>
      <c r="L65" s="270"/>
      <c r="M65" s="271"/>
      <c r="N65" s="271">
        <f>Tablo6[[#This Row],[Alış qiyməti]]*Tablo6[[#This Row],[Giriş sayı]]</f>
        <v>0</v>
      </c>
      <c r="O65" s="271"/>
      <c r="P65" s="272">
        <f ca="1">Tablo6[[#This Row],[Satılan sayı]]*Tablo6[[#This Row],[Satış qiyməti]]</f>
        <v>0</v>
      </c>
      <c r="Q65" s="272">
        <f ca="1">(Tablo6[[#This Row],[Satış qiyməti]]-Tablo6[[#This Row],[Alış qiyməti]])*Tablo6[[#This Row],[Satılan sayı]]</f>
        <v>0</v>
      </c>
      <c r="R65" s="273">
        <f ca="1">SUMIF(Sifarisler!$M:$AH,Tablo6[[#This Row],[Məhsul kodu]],Sifarisler!N:AH)</f>
        <v>0</v>
      </c>
      <c r="S65" s="274">
        <f ca="1">Tablo6[[#This Row],[Giriş sayı]]-Tablo6[[#This Row],[Satılan sayı]]</f>
        <v>0</v>
      </c>
    </row>
    <row r="66" spans="4:19" ht="17.25">
      <c r="D66" s="256">
        <f t="shared" si="1"/>
        <v>45616</v>
      </c>
      <c r="E66" s="23" t="s">
        <v>1284</v>
      </c>
      <c r="F66" s="15" t="s">
        <v>1272</v>
      </c>
      <c r="G66" s="15" t="s">
        <v>1239</v>
      </c>
      <c r="H66" s="259" t="s">
        <v>1308</v>
      </c>
      <c r="I66" s="259" t="str">
        <f>CONCATENATE(Tablo6[[#This Row],[Məhsul adı]]," ",Tablo6[[#This Row],[Rəng]])</f>
        <v>3x3 Profil  Açıq antrasit</v>
      </c>
      <c r="J66" s="23" t="str">
        <f>CONCATENATE(Tablo6[[#This Row],[Məhsul adı]]," ",Tablo6[[#This Row],[Tip]]," ",Tablo6[[#This Row],[Rəng]])</f>
        <v>3x3 Profil  Qulp 110 sol Açıq antrasit</v>
      </c>
      <c r="K66" s="247" t="s">
        <v>1235</v>
      </c>
      <c r="L66" s="270"/>
      <c r="M66" s="271"/>
      <c r="N66" s="271">
        <f>Tablo6[[#This Row],[Alış qiyməti]]*Tablo6[[#This Row],[Giriş sayı]]</f>
        <v>0</v>
      </c>
      <c r="O66" s="271"/>
      <c r="P66" s="272">
        <f ca="1">Tablo6[[#This Row],[Satılan sayı]]*Tablo6[[#This Row],[Satış qiyməti]]</f>
        <v>0</v>
      </c>
      <c r="Q66" s="272">
        <f ca="1">(Tablo6[[#This Row],[Satış qiyməti]]-Tablo6[[#This Row],[Alış qiyməti]])*Tablo6[[#This Row],[Satılan sayı]]</f>
        <v>0</v>
      </c>
      <c r="R66" s="273">
        <f ca="1">SUMIF(Sifarisler!$M:$AH,Tablo6[[#This Row],[Məhsul kodu]],Sifarisler!N:AH)</f>
        <v>0</v>
      </c>
      <c r="S66" s="274">
        <f ca="1">Tablo6[[#This Row],[Giriş sayı]]-Tablo6[[#This Row],[Satılan sayı]]</f>
        <v>0</v>
      </c>
    </row>
    <row r="67" spans="4:19" ht="17.25">
      <c r="D67" s="256">
        <f t="shared" si="1"/>
        <v>45616</v>
      </c>
      <c r="E67" s="23" t="s">
        <v>1284</v>
      </c>
      <c r="F67" s="15" t="s">
        <v>1272</v>
      </c>
      <c r="G67" s="15" t="s">
        <v>1241</v>
      </c>
      <c r="H67" s="259" t="s">
        <v>1309</v>
      </c>
      <c r="I67" s="259" t="str">
        <f>CONCATENATE(Tablo6[[#This Row],[Məhsul adı]]," ",Tablo6[[#This Row],[Rəng]])</f>
        <v>3x3 Profil  Kofe</v>
      </c>
      <c r="J67" s="23" t="str">
        <f>CONCATENATE(Tablo6[[#This Row],[Məhsul adı]]," ",Tablo6[[#This Row],[Tip]]," ",Tablo6[[#This Row],[Rəng]])</f>
        <v>3x3 Profil  Qulp 110 sol Kofe</v>
      </c>
      <c r="K67" s="247" t="s">
        <v>1235</v>
      </c>
      <c r="L67" s="270"/>
      <c r="M67" s="271"/>
      <c r="N67" s="271">
        <f>Tablo6[[#This Row],[Alış qiyməti]]*Tablo6[[#This Row],[Giriş sayı]]</f>
        <v>0</v>
      </c>
      <c r="O67" s="271"/>
      <c r="P67" s="272">
        <f ca="1">Tablo6[[#This Row],[Satılan sayı]]*Tablo6[[#This Row],[Satış qiyməti]]</f>
        <v>0</v>
      </c>
      <c r="Q67" s="272">
        <f ca="1">(Tablo6[[#This Row],[Satış qiyməti]]-Tablo6[[#This Row],[Alış qiyməti]])*Tablo6[[#This Row],[Satılan sayı]]</f>
        <v>0</v>
      </c>
      <c r="R67" s="273">
        <f ca="1">SUMIF(Sifarisler!$M:$AH,Tablo6[[#This Row],[Məhsul kodu]],Sifarisler!N:AH)</f>
        <v>0</v>
      </c>
      <c r="S67" s="274">
        <f ca="1">Tablo6[[#This Row],[Giriş sayı]]-Tablo6[[#This Row],[Satılan sayı]]</f>
        <v>0</v>
      </c>
    </row>
    <row r="68" spans="4:19" ht="17.25">
      <c r="D68" s="256">
        <f t="shared" ref="D68:D99" si="2">DATE(2024,11,20)</f>
        <v>45616</v>
      </c>
      <c r="E68" s="23" t="s">
        <v>1310</v>
      </c>
      <c r="F68" s="15"/>
      <c r="G68" s="15" t="s">
        <v>257</v>
      </c>
      <c r="H68" s="259" t="s">
        <v>1311</v>
      </c>
      <c r="I68" s="259" t="str">
        <f>CONCATENATE(Tablo6[[#This Row],[Məhsul adı]]," ",Tablo6[[#This Row],[Rəng]])</f>
        <v>Konus Profil  Qara</v>
      </c>
      <c r="J68" s="23" t="str">
        <f>CONCATENATE(Tablo6[[#This Row],[Məhsul adı]]," ",Tablo6[[#This Row],[Tip]]," ",Tablo6[[#This Row],[Rəng]])</f>
        <v>Konus Profil   Qara</v>
      </c>
      <c r="K68" s="247" t="s">
        <v>1235</v>
      </c>
      <c r="L68" s="270"/>
      <c r="M68" s="271"/>
      <c r="N68" s="271">
        <f>Tablo6[[#This Row],[Alış qiyməti]]*Tablo6[[#This Row],[Giriş sayı]]</f>
        <v>0</v>
      </c>
      <c r="O68" s="271"/>
      <c r="P68" s="272">
        <f ca="1">Tablo6[[#This Row],[Satılan sayı]]*Tablo6[[#This Row],[Satış qiyməti]]</f>
        <v>0</v>
      </c>
      <c r="Q68" s="272">
        <f ca="1">(Tablo6[[#This Row],[Satış qiyməti]]-Tablo6[[#This Row],[Alış qiyməti]])*Tablo6[[#This Row],[Satılan sayı]]</f>
        <v>0</v>
      </c>
      <c r="R68" s="273">
        <f ca="1">SUMIF(Sifarisler!$M:$AH,Tablo6[[#This Row],[Məhsul kodu]],Sifarisler!N:AH)</f>
        <v>0</v>
      </c>
      <c r="S68" s="274">
        <f ca="1">Tablo6[[#This Row],[Giriş sayı]]-Tablo6[[#This Row],[Satılan sayı]]</f>
        <v>0</v>
      </c>
    </row>
    <row r="69" spans="4:19" ht="17.25">
      <c r="D69" s="256">
        <f t="shared" si="2"/>
        <v>45616</v>
      </c>
      <c r="E69" s="23" t="s">
        <v>1310</v>
      </c>
      <c r="F69" s="15"/>
      <c r="G69" s="15" t="s">
        <v>629</v>
      </c>
      <c r="H69" s="259" t="s">
        <v>1312</v>
      </c>
      <c r="I69" s="259" t="str">
        <f>CONCATENATE(Tablo6[[#This Row],[Məhsul adı]]," ",Tablo6[[#This Row],[Rəng]])</f>
        <v>Konus Profil  Qızılı</v>
      </c>
      <c r="J69" s="23" t="str">
        <f>CONCATENATE(Tablo6[[#This Row],[Məhsul adı]]," ",Tablo6[[#This Row],[Tip]]," ",Tablo6[[#This Row],[Rəng]])</f>
        <v>Konus Profil   Qızılı</v>
      </c>
      <c r="K69" s="247" t="s">
        <v>1235</v>
      </c>
      <c r="L69" s="270"/>
      <c r="M69" s="271"/>
      <c r="N69" s="271">
        <f>Tablo6[[#This Row],[Alış qiyməti]]*Tablo6[[#This Row],[Giriş sayı]]</f>
        <v>0</v>
      </c>
      <c r="O69" s="271"/>
      <c r="P69" s="272">
        <f ca="1">Tablo6[[#This Row],[Satılan sayı]]*Tablo6[[#This Row],[Satış qiyməti]]</f>
        <v>0</v>
      </c>
      <c r="Q69" s="272">
        <f ca="1">(Tablo6[[#This Row],[Satış qiyməti]]-Tablo6[[#This Row],[Alış qiyməti]])*Tablo6[[#This Row],[Satılan sayı]]</f>
        <v>0</v>
      </c>
      <c r="R69" s="273">
        <f ca="1">SUMIF(Sifarisler!$M:$AH,Tablo6[[#This Row],[Məhsul kodu]],Sifarisler!N:AH)</f>
        <v>0</v>
      </c>
      <c r="S69" s="274">
        <f ca="1">Tablo6[[#This Row],[Giriş sayı]]-Tablo6[[#This Row],[Satılan sayı]]</f>
        <v>0</v>
      </c>
    </row>
    <row r="70" spans="4:19" ht="17.25">
      <c r="D70" s="256">
        <f t="shared" si="2"/>
        <v>45616</v>
      </c>
      <c r="E70" s="23" t="s">
        <v>1310</v>
      </c>
      <c r="F70" s="15"/>
      <c r="G70" s="15" t="s">
        <v>1237</v>
      </c>
      <c r="H70" s="259" t="s">
        <v>1313</v>
      </c>
      <c r="I70" s="259" t="str">
        <f>CONCATENATE(Tablo6[[#This Row],[Məhsul adı]]," ",Tablo6[[#This Row],[Rəng]])</f>
        <v>Konus Profil  Antrasit</v>
      </c>
      <c r="J70" s="23" t="str">
        <f>CONCATENATE(Tablo6[[#This Row],[Məhsul adı]]," ",Tablo6[[#This Row],[Tip]]," ",Tablo6[[#This Row],[Rəng]])</f>
        <v>Konus Profil   Antrasit</v>
      </c>
      <c r="K70" s="247" t="s">
        <v>1235</v>
      </c>
      <c r="L70" s="270"/>
      <c r="M70" s="271"/>
      <c r="N70" s="271">
        <f>Tablo6[[#This Row],[Alış qiyməti]]*Tablo6[[#This Row],[Giriş sayı]]</f>
        <v>0</v>
      </c>
      <c r="O70" s="271"/>
      <c r="P70" s="272">
        <f ca="1">Tablo6[[#This Row],[Satılan sayı]]*Tablo6[[#This Row],[Satış qiyməti]]</f>
        <v>0</v>
      </c>
      <c r="Q70" s="272">
        <f ca="1">(Tablo6[[#This Row],[Satış qiyməti]]-Tablo6[[#This Row],[Alış qiyməti]])*Tablo6[[#This Row],[Satılan sayı]]</f>
        <v>0</v>
      </c>
      <c r="R70" s="273">
        <f ca="1">SUMIF(Sifarisler!$M:$AH,Tablo6[[#This Row],[Məhsul kodu]],Sifarisler!N:AH)</f>
        <v>0</v>
      </c>
      <c r="S70" s="274">
        <f ca="1">Tablo6[[#This Row],[Giriş sayı]]-Tablo6[[#This Row],[Satılan sayı]]</f>
        <v>0</v>
      </c>
    </row>
    <row r="71" spans="4:19" ht="17.25">
      <c r="D71" s="256">
        <f t="shared" si="2"/>
        <v>45616</v>
      </c>
      <c r="E71" s="23" t="s">
        <v>1310</v>
      </c>
      <c r="F71" s="15"/>
      <c r="G71" s="15" t="s">
        <v>1239</v>
      </c>
      <c r="H71" s="259" t="s">
        <v>1314</v>
      </c>
      <c r="I71" s="259" t="str">
        <f>CONCATENATE(Tablo6[[#This Row],[Məhsul adı]]," ",Tablo6[[#This Row],[Rəng]])</f>
        <v>Konus Profil  Açıq antrasit</v>
      </c>
      <c r="J71" s="23" t="str">
        <f>CONCATENATE(Tablo6[[#This Row],[Məhsul adı]]," ",Tablo6[[#This Row],[Tip]]," ",Tablo6[[#This Row],[Rəng]])</f>
        <v>Konus Profil   Açıq antrasit</v>
      </c>
      <c r="K71" s="247" t="s">
        <v>1235</v>
      </c>
      <c r="L71" s="270"/>
      <c r="M71" s="271"/>
      <c r="N71" s="271">
        <f>Tablo6[[#This Row],[Alış qiyməti]]*Tablo6[[#This Row],[Giriş sayı]]</f>
        <v>0</v>
      </c>
      <c r="O71" s="271"/>
      <c r="P71" s="272">
        <f ca="1">Tablo6[[#This Row],[Satılan sayı]]*Tablo6[[#This Row],[Satış qiyməti]]</f>
        <v>0</v>
      </c>
      <c r="Q71" s="272">
        <f ca="1">(Tablo6[[#This Row],[Satış qiyməti]]-Tablo6[[#This Row],[Alış qiyməti]])*Tablo6[[#This Row],[Satılan sayı]]</f>
        <v>0</v>
      </c>
      <c r="R71" s="273">
        <f ca="1">SUMIF(Sifarisler!$M:$AH,Tablo6[[#This Row],[Məhsul kodu]],Sifarisler!N:AH)</f>
        <v>0</v>
      </c>
      <c r="S71" s="274">
        <f ca="1">Tablo6[[#This Row],[Giriş sayı]]-Tablo6[[#This Row],[Satılan sayı]]</f>
        <v>0</v>
      </c>
    </row>
    <row r="72" spans="4:19" ht="17.25">
      <c r="D72" s="256">
        <f t="shared" si="2"/>
        <v>45616</v>
      </c>
      <c r="E72" s="23" t="s">
        <v>1310</v>
      </c>
      <c r="F72" s="15"/>
      <c r="G72" s="15" t="s">
        <v>1241</v>
      </c>
      <c r="H72" s="259" t="s">
        <v>1315</v>
      </c>
      <c r="I72" s="259" t="str">
        <f>CONCATENATE(Tablo6[[#This Row],[Məhsul adı]]," ",Tablo6[[#This Row],[Rəng]])</f>
        <v>Konus Profil  Kofe</v>
      </c>
      <c r="J72" s="23" t="str">
        <f>CONCATENATE(Tablo6[[#This Row],[Məhsul adı]]," ",Tablo6[[#This Row],[Tip]]," ",Tablo6[[#This Row],[Rəng]])</f>
        <v>Konus Profil   Kofe</v>
      </c>
      <c r="K72" s="247" t="s">
        <v>1235</v>
      </c>
      <c r="L72" s="270"/>
      <c r="M72" s="271"/>
      <c r="N72" s="271">
        <f>Tablo6[[#This Row],[Alış qiyməti]]*Tablo6[[#This Row],[Giriş sayı]]</f>
        <v>0</v>
      </c>
      <c r="O72" s="271"/>
      <c r="P72" s="272">
        <f ca="1">Tablo6[[#This Row],[Satılan sayı]]*Tablo6[[#This Row],[Satış qiyməti]]</f>
        <v>0</v>
      </c>
      <c r="Q72" s="272">
        <f ca="1">(Tablo6[[#This Row],[Satış qiyməti]]-Tablo6[[#This Row],[Alış qiyməti]])*Tablo6[[#This Row],[Satılan sayı]]</f>
        <v>0</v>
      </c>
      <c r="R72" s="273">
        <f ca="1">SUMIF(Sifarisler!$M:$AH,Tablo6[[#This Row],[Məhsul kodu]],Sifarisler!N:AH)</f>
        <v>0</v>
      </c>
      <c r="S72" s="274">
        <f ca="1">Tablo6[[#This Row],[Giriş sayı]]-Tablo6[[#This Row],[Satılan sayı]]</f>
        <v>0</v>
      </c>
    </row>
    <row r="73" spans="4:19" ht="17.25">
      <c r="D73" s="256">
        <f t="shared" si="2"/>
        <v>45616</v>
      </c>
      <c r="E73" s="23" t="s">
        <v>1316</v>
      </c>
      <c r="F73" s="15"/>
      <c r="G73" s="15" t="s">
        <v>257</v>
      </c>
      <c r="H73" s="259" t="s">
        <v>1317</v>
      </c>
      <c r="I73" s="259" t="str">
        <f>CONCATENATE(Tablo6[[#This Row],[Məhsul adı]]," ",Tablo6[[#This Row],[Rəng]])</f>
        <v>Konus 2 Sm Qulp Qara</v>
      </c>
      <c r="J73" s="23" t="str">
        <f>CONCATENATE(Tablo6[[#This Row],[Məhsul adı]]," ",Tablo6[[#This Row],[Tip]]," ",Tablo6[[#This Row],[Rəng]])</f>
        <v>Konus 2 Sm Qulp  Qara</v>
      </c>
      <c r="K73" s="247" t="s">
        <v>1235</v>
      </c>
      <c r="L73" s="270"/>
      <c r="M73" s="271"/>
      <c r="N73" s="271">
        <f>Tablo6[[#This Row],[Alış qiyməti]]*Tablo6[[#This Row],[Giriş sayı]]</f>
        <v>0</v>
      </c>
      <c r="O73" s="271"/>
      <c r="P73" s="272">
        <f ca="1">Tablo6[[#This Row],[Satılan sayı]]*Tablo6[[#This Row],[Satış qiyməti]]</f>
        <v>0</v>
      </c>
      <c r="Q73" s="272">
        <f ca="1">(Tablo6[[#This Row],[Satış qiyməti]]-Tablo6[[#This Row],[Alış qiyməti]])*Tablo6[[#This Row],[Satılan sayı]]</f>
        <v>0</v>
      </c>
      <c r="R73" s="273">
        <f ca="1">SUMIF(Sifarisler!$M:$AH,Tablo6[[#This Row],[Məhsul kodu]],Sifarisler!N:AH)</f>
        <v>0</v>
      </c>
      <c r="S73" s="274">
        <f ca="1">Tablo6[[#This Row],[Giriş sayı]]-Tablo6[[#This Row],[Satılan sayı]]</f>
        <v>0</v>
      </c>
    </row>
    <row r="74" spans="4:19" ht="17.25">
      <c r="D74" s="256">
        <f t="shared" si="2"/>
        <v>45616</v>
      </c>
      <c r="E74" s="23" t="s">
        <v>1316</v>
      </c>
      <c r="F74" s="15"/>
      <c r="G74" s="15" t="s">
        <v>629</v>
      </c>
      <c r="H74" s="259" t="s">
        <v>1318</v>
      </c>
      <c r="I74" s="259" t="str">
        <f>CONCATENATE(Tablo6[[#This Row],[Məhsul adı]]," ",Tablo6[[#This Row],[Rəng]])</f>
        <v>Konus 2 Sm Qulp Qızılı</v>
      </c>
      <c r="J74" s="23" t="str">
        <f>CONCATENATE(Tablo6[[#This Row],[Məhsul adı]]," ",Tablo6[[#This Row],[Tip]]," ",Tablo6[[#This Row],[Rəng]])</f>
        <v>Konus 2 Sm Qulp  Qızılı</v>
      </c>
      <c r="K74" s="247" t="s">
        <v>1235</v>
      </c>
      <c r="L74" s="270"/>
      <c r="M74" s="271"/>
      <c r="N74" s="271">
        <f>Tablo6[[#This Row],[Alış qiyməti]]*Tablo6[[#This Row],[Giriş sayı]]</f>
        <v>0</v>
      </c>
      <c r="O74" s="271"/>
      <c r="P74" s="272">
        <f ca="1">Tablo6[[#This Row],[Satılan sayı]]*Tablo6[[#This Row],[Satış qiyməti]]</f>
        <v>0</v>
      </c>
      <c r="Q74" s="272">
        <f ca="1">(Tablo6[[#This Row],[Satış qiyməti]]-Tablo6[[#This Row],[Alış qiyməti]])*Tablo6[[#This Row],[Satılan sayı]]</f>
        <v>0</v>
      </c>
      <c r="R74" s="273">
        <f ca="1">SUMIF(Sifarisler!$M:$AH,Tablo6[[#This Row],[Məhsul kodu]],Sifarisler!N:AH)</f>
        <v>0</v>
      </c>
      <c r="S74" s="274">
        <f ca="1">Tablo6[[#This Row],[Giriş sayı]]-Tablo6[[#This Row],[Satılan sayı]]</f>
        <v>0</v>
      </c>
    </row>
    <row r="75" spans="4:19" ht="17.25">
      <c r="D75" s="256">
        <f t="shared" si="2"/>
        <v>45616</v>
      </c>
      <c r="E75" s="23" t="s">
        <v>1316</v>
      </c>
      <c r="F75" s="15"/>
      <c r="G75" s="15" t="s">
        <v>1237</v>
      </c>
      <c r="H75" s="259" t="s">
        <v>1319</v>
      </c>
      <c r="I75" s="259" t="str">
        <f>CONCATENATE(Tablo6[[#This Row],[Məhsul adı]]," ",Tablo6[[#This Row],[Rəng]])</f>
        <v>Konus 2 Sm Qulp Antrasit</v>
      </c>
      <c r="J75" s="23" t="str">
        <f>CONCATENATE(Tablo6[[#This Row],[Məhsul adı]]," ",Tablo6[[#This Row],[Tip]]," ",Tablo6[[#This Row],[Rəng]])</f>
        <v>Konus 2 Sm Qulp  Antrasit</v>
      </c>
      <c r="K75" s="247" t="s">
        <v>1235</v>
      </c>
      <c r="L75" s="270"/>
      <c r="M75" s="271"/>
      <c r="N75" s="271">
        <f>Tablo6[[#This Row],[Alış qiyməti]]*Tablo6[[#This Row],[Giriş sayı]]</f>
        <v>0</v>
      </c>
      <c r="O75" s="271"/>
      <c r="P75" s="272">
        <f ca="1">Tablo6[[#This Row],[Satılan sayı]]*Tablo6[[#This Row],[Satış qiyməti]]</f>
        <v>0</v>
      </c>
      <c r="Q75" s="272">
        <f ca="1">(Tablo6[[#This Row],[Satış qiyməti]]-Tablo6[[#This Row],[Alış qiyməti]])*Tablo6[[#This Row],[Satılan sayı]]</f>
        <v>0</v>
      </c>
      <c r="R75" s="273">
        <f ca="1">SUMIF(Sifarisler!$M:$AH,Tablo6[[#This Row],[Məhsul kodu]],Sifarisler!N:AH)</f>
        <v>0</v>
      </c>
      <c r="S75" s="274">
        <f ca="1">Tablo6[[#This Row],[Giriş sayı]]-Tablo6[[#This Row],[Satılan sayı]]</f>
        <v>0</v>
      </c>
    </row>
    <row r="76" spans="4:19" ht="17.25">
      <c r="D76" s="256">
        <f t="shared" si="2"/>
        <v>45616</v>
      </c>
      <c r="E76" s="23" t="s">
        <v>1316</v>
      </c>
      <c r="F76" s="15"/>
      <c r="G76" s="15" t="s">
        <v>1239</v>
      </c>
      <c r="H76" s="259" t="s">
        <v>1320</v>
      </c>
      <c r="I76" s="259" t="str">
        <f>CONCATENATE(Tablo6[[#This Row],[Məhsul adı]]," ",Tablo6[[#This Row],[Rəng]])</f>
        <v>Konus 2 Sm Qulp Açıq antrasit</v>
      </c>
      <c r="J76" s="23" t="str">
        <f>CONCATENATE(Tablo6[[#This Row],[Məhsul adı]]," ",Tablo6[[#This Row],[Tip]]," ",Tablo6[[#This Row],[Rəng]])</f>
        <v>Konus 2 Sm Qulp  Açıq antrasit</v>
      </c>
      <c r="K76" s="247" t="s">
        <v>1235</v>
      </c>
      <c r="L76" s="270"/>
      <c r="M76" s="271"/>
      <c r="N76" s="271">
        <f>Tablo6[[#This Row],[Alış qiyməti]]*Tablo6[[#This Row],[Giriş sayı]]</f>
        <v>0</v>
      </c>
      <c r="O76" s="271"/>
      <c r="P76" s="272">
        <f ca="1">Tablo6[[#This Row],[Satılan sayı]]*Tablo6[[#This Row],[Satış qiyməti]]</f>
        <v>0</v>
      </c>
      <c r="Q76" s="272">
        <f ca="1">(Tablo6[[#This Row],[Satış qiyməti]]-Tablo6[[#This Row],[Alış qiyməti]])*Tablo6[[#This Row],[Satılan sayı]]</f>
        <v>0</v>
      </c>
      <c r="R76" s="273">
        <f ca="1">SUMIF(Sifarisler!$M:$AH,Tablo6[[#This Row],[Məhsul kodu]],Sifarisler!N:AH)</f>
        <v>0</v>
      </c>
      <c r="S76" s="274">
        <f ca="1">Tablo6[[#This Row],[Giriş sayı]]-Tablo6[[#This Row],[Satılan sayı]]</f>
        <v>0</v>
      </c>
    </row>
    <row r="77" spans="4:19" ht="17.25">
      <c r="D77" s="256">
        <f t="shared" si="2"/>
        <v>45616</v>
      </c>
      <c r="E77" s="23" t="s">
        <v>1316</v>
      </c>
      <c r="F77" s="15"/>
      <c r="G77" s="15" t="s">
        <v>1241</v>
      </c>
      <c r="H77" s="259" t="s">
        <v>1321</v>
      </c>
      <c r="I77" s="259" t="str">
        <f>CONCATENATE(Tablo6[[#This Row],[Məhsul adı]]," ",Tablo6[[#This Row],[Rəng]])</f>
        <v>Konus 2 Sm Qulp Kofe</v>
      </c>
      <c r="J77" s="23" t="str">
        <f>CONCATENATE(Tablo6[[#This Row],[Məhsul adı]]," ",Tablo6[[#This Row],[Tip]]," ",Tablo6[[#This Row],[Rəng]])</f>
        <v>Konus 2 Sm Qulp  Kofe</v>
      </c>
      <c r="K77" s="247" t="s">
        <v>1235</v>
      </c>
      <c r="L77" s="270"/>
      <c r="M77" s="271"/>
      <c r="N77" s="271">
        <f>Tablo6[[#This Row],[Alış qiyməti]]*Tablo6[[#This Row],[Giriş sayı]]</f>
        <v>0</v>
      </c>
      <c r="O77" s="271"/>
      <c r="P77" s="272">
        <f ca="1">Tablo6[[#This Row],[Satılan sayı]]*Tablo6[[#This Row],[Satış qiyməti]]</f>
        <v>0</v>
      </c>
      <c r="Q77" s="272">
        <f ca="1">(Tablo6[[#This Row],[Satış qiyməti]]-Tablo6[[#This Row],[Alış qiyməti]])*Tablo6[[#This Row],[Satılan sayı]]</f>
        <v>0</v>
      </c>
      <c r="R77" s="273">
        <f ca="1">SUMIF(Sifarisler!$M:$AH,Tablo6[[#This Row],[Məhsul kodu]],Sifarisler!N:AH)</f>
        <v>0</v>
      </c>
      <c r="S77" s="274">
        <f ca="1">Tablo6[[#This Row],[Giriş sayı]]-Tablo6[[#This Row],[Satılan sayı]]</f>
        <v>0</v>
      </c>
    </row>
    <row r="78" spans="4:19" ht="17.25">
      <c r="D78" s="256">
        <f t="shared" si="2"/>
        <v>45616</v>
      </c>
      <c r="E78" s="23" t="s">
        <v>1322</v>
      </c>
      <c r="F78" s="15" t="s">
        <v>1323</v>
      </c>
      <c r="G78" s="15" t="s">
        <v>257</v>
      </c>
      <c r="H78" s="259" t="s">
        <v>1324</v>
      </c>
      <c r="I78" s="259" t="str">
        <f>CONCATENATE(Tablo6[[#This Row],[Məhsul adı]]," ",Tablo6[[#This Row],[Rəng]])</f>
        <v>Konus  Qara</v>
      </c>
      <c r="J78" s="23" t="str">
        <f>CONCATENATE(Tablo6[[#This Row],[Məhsul adı]]," ",Tablo6[[#This Row],[Tip]]," ",Tablo6[[#This Row],[Rəng]])</f>
        <v>Konus  Alt-üst Qara</v>
      </c>
      <c r="K78" s="247" t="s">
        <v>1235</v>
      </c>
      <c r="L78" s="270"/>
      <c r="M78" s="271"/>
      <c r="N78" s="271">
        <f>Tablo6[[#This Row],[Alış qiyməti]]*Tablo6[[#This Row],[Giriş sayı]]</f>
        <v>0</v>
      </c>
      <c r="O78" s="271"/>
      <c r="P78" s="272">
        <f ca="1">Tablo6[[#This Row],[Satılan sayı]]*Tablo6[[#This Row],[Satış qiyməti]]</f>
        <v>0</v>
      </c>
      <c r="Q78" s="272">
        <f ca="1">(Tablo6[[#This Row],[Satış qiyməti]]-Tablo6[[#This Row],[Alış qiyməti]])*Tablo6[[#This Row],[Satılan sayı]]</f>
        <v>0</v>
      </c>
      <c r="R78" s="273">
        <f ca="1">SUMIF(Sifarisler!$M:$AH,Tablo6[[#This Row],[Məhsul kodu]],Sifarisler!N:AH)</f>
        <v>0</v>
      </c>
      <c r="S78" s="274">
        <f ca="1">Tablo6[[#This Row],[Giriş sayı]]-Tablo6[[#This Row],[Satılan sayı]]</f>
        <v>0</v>
      </c>
    </row>
    <row r="79" spans="4:19" ht="17.25">
      <c r="D79" s="256">
        <f t="shared" si="2"/>
        <v>45616</v>
      </c>
      <c r="E79" s="23" t="s">
        <v>1322</v>
      </c>
      <c r="F79" s="15" t="s">
        <v>1323</v>
      </c>
      <c r="G79" s="15" t="s">
        <v>629</v>
      </c>
      <c r="H79" s="259" t="s">
        <v>1325</v>
      </c>
      <c r="I79" s="259" t="str">
        <f>CONCATENATE(Tablo6[[#This Row],[Məhsul adı]]," ",Tablo6[[#This Row],[Rəng]])</f>
        <v>Konus  Qızılı</v>
      </c>
      <c r="J79" s="23" t="str">
        <f>CONCATENATE(Tablo6[[#This Row],[Məhsul adı]]," ",Tablo6[[#This Row],[Tip]]," ",Tablo6[[#This Row],[Rəng]])</f>
        <v>Konus  Alt-üst Qızılı</v>
      </c>
      <c r="K79" s="247" t="s">
        <v>1235</v>
      </c>
      <c r="L79" s="270"/>
      <c r="M79" s="271"/>
      <c r="N79" s="271">
        <f>Tablo6[[#This Row],[Alış qiyməti]]*Tablo6[[#This Row],[Giriş sayı]]</f>
        <v>0</v>
      </c>
      <c r="O79" s="271"/>
      <c r="P79" s="272">
        <f ca="1">Tablo6[[#This Row],[Satılan sayı]]*Tablo6[[#This Row],[Satış qiyməti]]</f>
        <v>0</v>
      </c>
      <c r="Q79" s="272">
        <f ca="1">(Tablo6[[#This Row],[Satış qiyməti]]-Tablo6[[#This Row],[Alış qiyməti]])*Tablo6[[#This Row],[Satılan sayı]]</f>
        <v>0</v>
      </c>
      <c r="R79" s="273">
        <f ca="1">SUMIF(Sifarisler!$M:$AH,Tablo6[[#This Row],[Məhsul kodu]],Sifarisler!N:AH)</f>
        <v>0</v>
      </c>
      <c r="S79" s="274">
        <f ca="1">Tablo6[[#This Row],[Giriş sayı]]-Tablo6[[#This Row],[Satılan sayı]]</f>
        <v>0</v>
      </c>
    </row>
    <row r="80" spans="4:19" ht="17.25">
      <c r="D80" s="256">
        <f t="shared" si="2"/>
        <v>45616</v>
      </c>
      <c r="E80" s="23" t="s">
        <v>1322</v>
      </c>
      <c r="F80" s="15" t="s">
        <v>1323</v>
      </c>
      <c r="G80" s="15" t="s">
        <v>1237</v>
      </c>
      <c r="H80" s="259" t="s">
        <v>1326</v>
      </c>
      <c r="I80" s="259" t="str">
        <f>CONCATENATE(Tablo6[[#This Row],[Məhsul adı]]," ",Tablo6[[#This Row],[Rəng]])</f>
        <v>Konus  Antrasit</v>
      </c>
      <c r="J80" s="23" t="str">
        <f>CONCATENATE(Tablo6[[#This Row],[Məhsul adı]]," ",Tablo6[[#This Row],[Tip]]," ",Tablo6[[#This Row],[Rəng]])</f>
        <v>Konus  Alt-üst Antrasit</v>
      </c>
      <c r="K80" s="247" t="s">
        <v>1235</v>
      </c>
      <c r="L80" s="270"/>
      <c r="M80" s="271"/>
      <c r="N80" s="271">
        <f>Tablo6[[#This Row],[Alış qiyməti]]*Tablo6[[#This Row],[Giriş sayı]]</f>
        <v>0</v>
      </c>
      <c r="O80" s="271"/>
      <c r="P80" s="272">
        <f ca="1">Tablo6[[#This Row],[Satılan sayı]]*Tablo6[[#This Row],[Satış qiyməti]]</f>
        <v>0</v>
      </c>
      <c r="Q80" s="272">
        <f ca="1">(Tablo6[[#This Row],[Satış qiyməti]]-Tablo6[[#This Row],[Alış qiyməti]])*Tablo6[[#This Row],[Satılan sayı]]</f>
        <v>0</v>
      </c>
      <c r="R80" s="273">
        <f ca="1">SUMIF(Sifarisler!$M:$AH,Tablo6[[#This Row],[Məhsul kodu]],Sifarisler!N:AH)</f>
        <v>0</v>
      </c>
      <c r="S80" s="274">
        <f ca="1">Tablo6[[#This Row],[Giriş sayı]]-Tablo6[[#This Row],[Satılan sayı]]</f>
        <v>0</v>
      </c>
    </row>
    <row r="81" spans="4:19" ht="17.25">
      <c r="D81" s="256">
        <f t="shared" si="2"/>
        <v>45616</v>
      </c>
      <c r="E81" s="23" t="s">
        <v>1322</v>
      </c>
      <c r="F81" s="15" t="s">
        <v>1323</v>
      </c>
      <c r="G81" s="15" t="s">
        <v>1239</v>
      </c>
      <c r="H81" s="259" t="s">
        <v>1327</v>
      </c>
      <c r="I81" s="259" t="str">
        <f>CONCATENATE(Tablo6[[#This Row],[Məhsul adı]]," ",Tablo6[[#This Row],[Rəng]])</f>
        <v>Konus  Açıq antrasit</v>
      </c>
      <c r="J81" s="23" t="str">
        <f>CONCATENATE(Tablo6[[#This Row],[Məhsul adı]]," ",Tablo6[[#This Row],[Tip]]," ",Tablo6[[#This Row],[Rəng]])</f>
        <v>Konus  Alt-üst Açıq antrasit</v>
      </c>
      <c r="K81" s="247" t="s">
        <v>1235</v>
      </c>
      <c r="L81" s="270"/>
      <c r="M81" s="271"/>
      <c r="N81" s="271">
        <f>Tablo6[[#This Row],[Alış qiyməti]]*Tablo6[[#This Row],[Giriş sayı]]</f>
        <v>0</v>
      </c>
      <c r="O81" s="271"/>
      <c r="P81" s="272">
        <f ca="1">Tablo6[[#This Row],[Satılan sayı]]*Tablo6[[#This Row],[Satış qiyməti]]</f>
        <v>0</v>
      </c>
      <c r="Q81" s="272">
        <f ca="1">(Tablo6[[#This Row],[Satış qiyməti]]-Tablo6[[#This Row],[Alış qiyməti]])*Tablo6[[#This Row],[Satılan sayı]]</f>
        <v>0</v>
      </c>
      <c r="R81" s="273">
        <f ca="1">SUMIF(Sifarisler!$M:$AH,Tablo6[[#This Row],[Məhsul kodu]],Sifarisler!N:AH)</f>
        <v>0</v>
      </c>
      <c r="S81" s="274">
        <f ca="1">Tablo6[[#This Row],[Giriş sayı]]-Tablo6[[#This Row],[Satılan sayı]]</f>
        <v>0</v>
      </c>
    </row>
    <row r="82" spans="4:19" ht="17.25">
      <c r="D82" s="256">
        <f t="shared" si="2"/>
        <v>45616</v>
      </c>
      <c r="E82" s="23" t="s">
        <v>1322</v>
      </c>
      <c r="F82" s="15" t="s">
        <v>1323</v>
      </c>
      <c r="G82" s="15" t="s">
        <v>1241</v>
      </c>
      <c r="H82" s="259" t="s">
        <v>1328</v>
      </c>
      <c r="I82" s="259" t="str">
        <f>CONCATENATE(Tablo6[[#This Row],[Məhsul adı]]," ",Tablo6[[#This Row],[Rəng]])</f>
        <v>Konus  Kofe</v>
      </c>
      <c r="J82" s="23" t="str">
        <f>CONCATENATE(Tablo6[[#This Row],[Məhsul adı]]," ",Tablo6[[#This Row],[Tip]]," ",Tablo6[[#This Row],[Rəng]])</f>
        <v>Konus  Alt-üst Kofe</v>
      </c>
      <c r="K82" s="247" t="s">
        <v>1235</v>
      </c>
      <c r="L82" s="270"/>
      <c r="M82" s="271"/>
      <c r="N82" s="271">
        <f>Tablo6[[#This Row],[Alış qiyməti]]*Tablo6[[#This Row],[Giriş sayı]]</f>
        <v>0</v>
      </c>
      <c r="O82" s="271"/>
      <c r="P82" s="272">
        <f ca="1">Tablo6[[#This Row],[Satılan sayı]]*Tablo6[[#This Row],[Satış qiyməti]]</f>
        <v>0</v>
      </c>
      <c r="Q82" s="272">
        <f ca="1">(Tablo6[[#This Row],[Satış qiyməti]]-Tablo6[[#This Row],[Alış qiyməti]])*Tablo6[[#This Row],[Satılan sayı]]</f>
        <v>0</v>
      </c>
      <c r="R82" s="273">
        <f ca="1">SUMIF(Sifarisler!$M:$AH,Tablo6[[#This Row],[Məhsul kodu]],Sifarisler!N:AH)</f>
        <v>0</v>
      </c>
      <c r="S82" s="274">
        <f ca="1">Tablo6[[#This Row],[Giriş sayı]]-Tablo6[[#This Row],[Satılan sayı]]</f>
        <v>0</v>
      </c>
    </row>
    <row r="83" spans="4:19" ht="17.25">
      <c r="D83" s="256">
        <f t="shared" si="2"/>
        <v>45616</v>
      </c>
      <c r="E83" s="23" t="s">
        <v>1322</v>
      </c>
      <c r="F83" s="15" t="s">
        <v>1329</v>
      </c>
      <c r="G83" s="15" t="s">
        <v>257</v>
      </c>
      <c r="H83" s="259" t="s">
        <v>1330</v>
      </c>
      <c r="I83" s="259" t="str">
        <f>CONCATENATE(Tablo6[[#This Row],[Məhsul adı]]," ",Tablo6[[#This Row],[Rəng]])</f>
        <v>Konus  Qara</v>
      </c>
      <c r="J83" s="23" t="str">
        <f>CONCATENATE(Tablo6[[#This Row],[Məhsul adı]]," ",Tablo6[[#This Row],[Tip]]," ",Tablo6[[#This Row],[Rəng]])</f>
        <v>Konus  Qulp 20 Qara</v>
      </c>
      <c r="K83" s="247" t="s">
        <v>1235</v>
      </c>
      <c r="L83" s="270"/>
      <c r="M83" s="271"/>
      <c r="N83" s="271">
        <f>Tablo6[[#This Row],[Alış qiyməti]]*Tablo6[[#This Row],[Giriş sayı]]</f>
        <v>0</v>
      </c>
      <c r="O83" s="271"/>
      <c r="P83" s="272">
        <f ca="1">Tablo6[[#This Row],[Satılan sayı]]*Tablo6[[#This Row],[Satış qiyməti]]</f>
        <v>0</v>
      </c>
      <c r="Q83" s="272">
        <f ca="1">(Tablo6[[#This Row],[Satış qiyməti]]-Tablo6[[#This Row],[Alış qiyməti]])*Tablo6[[#This Row],[Satılan sayı]]</f>
        <v>0</v>
      </c>
      <c r="R83" s="273">
        <f ca="1">SUMIF(Sifarisler!$M:$AH,Tablo6[[#This Row],[Məhsul kodu]],Sifarisler!N:AH)</f>
        <v>0</v>
      </c>
      <c r="S83" s="274">
        <f ca="1">Tablo6[[#This Row],[Giriş sayı]]-Tablo6[[#This Row],[Satılan sayı]]</f>
        <v>0</v>
      </c>
    </row>
    <row r="84" spans="4:19" ht="17.25">
      <c r="D84" s="256">
        <f t="shared" si="2"/>
        <v>45616</v>
      </c>
      <c r="E84" s="23" t="s">
        <v>1322</v>
      </c>
      <c r="F84" s="15" t="s">
        <v>1329</v>
      </c>
      <c r="G84" s="15" t="s">
        <v>629</v>
      </c>
      <c r="H84" s="259" t="s">
        <v>1331</v>
      </c>
      <c r="I84" s="259" t="str">
        <f>CONCATENATE(Tablo6[[#This Row],[Məhsul adı]]," ",Tablo6[[#This Row],[Rəng]])</f>
        <v>Konus  Qızılı</v>
      </c>
      <c r="J84" s="23" t="str">
        <f>CONCATENATE(Tablo6[[#This Row],[Məhsul adı]]," ",Tablo6[[#This Row],[Tip]]," ",Tablo6[[#This Row],[Rəng]])</f>
        <v>Konus  Qulp 20 Qızılı</v>
      </c>
      <c r="K84" s="247" t="s">
        <v>1235</v>
      </c>
      <c r="L84" s="270"/>
      <c r="M84" s="271"/>
      <c r="N84" s="271">
        <f>Tablo6[[#This Row],[Alış qiyməti]]*Tablo6[[#This Row],[Giriş sayı]]</f>
        <v>0</v>
      </c>
      <c r="O84" s="271"/>
      <c r="P84" s="272">
        <f ca="1">Tablo6[[#This Row],[Satılan sayı]]*Tablo6[[#This Row],[Satış qiyməti]]</f>
        <v>0</v>
      </c>
      <c r="Q84" s="272">
        <f ca="1">(Tablo6[[#This Row],[Satış qiyməti]]-Tablo6[[#This Row],[Alış qiyməti]])*Tablo6[[#This Row],[Satılan sayı]]</f>
        <v>0</v>
      </c>
      <c r="R84" s="273">
        <f ca="1">SUMIF(Sifarisler!$M:$AH,Tablo6[[#This Row],[Məhsul kodu]],Sifarisler!N:AH)</f>
        <v>0</v>
      </c>
      <c r="S84" s="274">
        <f ca="1">Tablo6[[#This Row],[Giriş sayı]]-Tablo6[[#This Row],[Satılan sayı]]</f>
        <v>0</v>
      </c>
    </row>
    <row r="85" spans="4:19" ht="17.25">
      <c r="D85" s="256">
        <f t="shared" si="2"/>
        <v>45616</v>
      </c>
      <c r="E85" s="23" t="s">
        <v>1322</v>
      </c>
      <c r="F85" s="15" t="s">
        <v>1329</v>
      </c>
      <c r="G85" s="15" t="s">
        <v>1237</v>
      </c>
      <c r="H85" s="259" t="s">
        <v>1332</v>
      </c>
      <c r="I85" s="259" t="str">
        <f>CONCATENATE(Tablo6[[#This Row],[Məhsul adı]]," ",Tablo6[[#This Row],[Rəng]])</f>
        <v>Konus  Antrasit</v>
      </c>
      <c r="J85" s="23" t="str">
        <f>CONCATENATE(Tablo6[[#This Row],[Məhsul adı]]," ",Tablo6[[#This Row],[Tip]]," ",Tablo6[[#This Row],[Rəng]])</f>
        <v>Konus  Qulp 20 Antrasit</v>
      </c>
      <c r="K85" s="247" t="s">
        <v>1235</v>
      </c>
      <c r="L85" s="270"/>
      <c r="M85" s="271"/>
      <c r="N85" s="271">
        <f>Tablo6[[#This Row],[Alış qiyməti]]*Tablo6[[#This Row],[Giriş sayı]]</f>
        <v>0</v>
      </c>
      <c r="O85" s="271"/>
      <c r="P85" s="272">
        <f ca="1">Tablo6[[#This Row],[Satılan sayı]]*Tablo6[[#This Row],[Satış qiyməti]]</f>
        <v>0</v>
      </c>
      <c r="Q85" s="272">
        <f ca="1">(Tablo6[[#This Row],[Satış qiyməti]]-Tablo6[[#This Row],[Alış qiyməti]])*Tablo6[[#This Row],[Satılan sayı]]</f>
        <v>0</v>
      </c>
      <c r="R85" s="273">
        <f ca="1">SUMIF(Sifarisler!$M:$AH,Tablo6[[#This Row],[Məhsul kodu]],Sifarisler!N:AH)</f>
        <v>0</v>
      </c>
      <c r="S85" s="274">
        <f ca="1">Tablo6[[#This Row],[Giriş sayı]]-Tablo6[[#This Row],[Satılan sayı]]</f>
        <v>0</v>
      </c>
    </row>
    <row r="86" spans="4:19" ht="17.25">
      <c r="D86" s="256">
        <f t="shared" si="2"/>
        <v>45616</v>
      </c>
      <c r="E86" s="23" t="s">
        <v>1322</v>
      </c>
      <c r="F86" s="15" t="s">
        <v>1329</v>
      </c>
      <c r="G86" s="15" t="s">
        <v>1239</v>
      </c>
      <c r="H86" s="259" t="s">
        <v>1333</v>
      </c>
      <c r="I86" s="259" t="str">
        <f>CONCATENATE(Tablo6[[#This Row],[Məhsul adı]]," ",Tablo6[[#This Row],[Rəng]])</f>
        <v>Konus  Açıq antrasit</v>
      </c>
      <c r="J86" s="23" t="str">
        <f>CONCATENATE(Tablo6[[#This Row],[Məhsul adı]]," ",Tablo6[[#This Row],[Tip]]," ",Tablo6[[#This Row],[Rəng]])</f>
        <v>Konus  Qulp 20 Açıq antrasit</v>
      </c>
      <c r="K86" s="247" t="s">
        <v>1235</v>
      </c>
      <c r="L86" s="270"/>
      <c r="M86" s="271"/>
      <c r="N86" s="271">
        <f>Tablo6[[#This Row],[Alış qiyməti]]*Tablo6[[#This Row],[Giriş sayı]]</f>
        <v>0</v>
      </c>
      <c r="O86" s="271"/>
      <c r="P86" s="272">
        <f ca="1">Tablo6[[#This Row],[Satılan sayı]]*Tablo6[[#This Row],[Satış qiyməti]]</f>
        <v>0</v>
      </c>
      <c r="Q86" s="272">
        <f ca="1">(Tablo6[[#This Row],[Satış qiyməti]]-Tablo6[[#This Row],[Alış qiyməti]])*Tablo6[[#This Row],[Satılan sayı]]</f>
        <v>0</v>
      </c>
      <c r="R86" s="273">
        <f ca="1">SUMIF(Sifarisler!$M:$AH,Tablo6[[#This Row],[Məhsul kodu]],Sifarisler!N:AH)</f>
        <v>0</v>
      </c>
      <c r="S86" s="274">
        <f ca="1">Tablo6[[#This Row],[Giriş sayı]]-Tablo6[[#This Row],[Satılan sayı]]</f>
        <v>0</v>
      </c>
    </row>
    <row r="87" spans="4:19" ht="17.25">
      <c r="D87" s="256">
        <f t="shared" si="2"/>
        <v>45616</v>
      </c>
      <c r="E87" s="23" t="s">
        <v>1322</v>
      </c>
      <c r="F87" s="15" t="s">
        <v>1329</v>
      </c>
      <c r="G87" s="15" t="s">
        <v>1241</v>
      </c>
      <c r="H87" s="259" t="s">
        <v>1334</v>
      </c>
      <c r="I87" s="259" t="str">
        <f>CONCATENATE(Tablo6[[#This Row],[Məhsul adı]]," ",Tablo6[[#This Row],[Rəng]])</f>
        <v>Konus  Kofe</v>
      </c>
      <c r="J87" s="23" t="str">
        <f>CONCATENATE(Tablo6[[#This Row],[Məhsul adı]]," ",Tablo6[[#This Row],[Tip]]," ",Tablo6[[#This Row],[Rəng]])</f>
        <v>Konus  Qulp 20 Kofe</v>
      </c>
      <c r="K87" s="247" t="s">
        <v>1235</v>
      </c>
      <c r="L87" s="270"/>
      <c r="M87" s="271"/>
      <c r="N87" s="271">
        <f>Tablo6[[#This Row],[Alış qiyməti]]*Tablo6[[#This Row],[Giriş sayı]]</f>
        <v>0</v>
      </c>
      <c r="O87" s="271"/>
      <c r="P87" s="272">
        <f ca="1">Tablo6[[#This Row],[Satılan sayı]]*Tablo6[[#This Row],[Satış qiyməti]]</f>
        <v>0</v>
      </c>
      <c r="Q87" s="272">
        <f ca="1">(Tablo6[[#This Row],[Satış qiyməti]]-Tablo6[[#This Row],[Alış qiyməti]])*Tablo6[[#This Row],[Satılan sayı]]</f>
        <v>0</v>
      </c>
      <c r="R87" s="273">
        <f ca="1">SUMIF(Sifarisler!$M:$AH,Tablo6[[#This Row],[Məhsul kodu]],Sifarisler!N:AH)</f>
        <v>0</v>
      </c>
      <c r="S87" s="274">
        <f ca="1">Tablo6[[#This Row],[Giriş sayı]]-Tablo6[[#This Row],[Satılan sayı]]</f>
        <v>0</v>
      </c>
    </row>
    <row r="88" spans="4:19" ht="17.25">
      <c r="D88" s="256">
        <f t="shared" si="2"/>
        <v>45616</v>
      </c>
      <c r="E88" s="23" t="s">
        <v>1335</v>
      </c>
      <c r="F88" s="15"/>
      <c r="G88" s="15" t="s">
        <v>257</v>
      </c>
      <c r="H88" s="259" t="s">
        <v>1336</v>
      </c>
      <c r="I88" s="259" t="str">
        <f>CONCATENATE(Tablo6[[#This Row],[Məhsul adı]]," ",Tablo6[[#This Row],[Rəng]])</f>
        <v>Mətbəx Qulpu Qara</v>
      </c>
      <c r="J88" s="23" t="str">
        <f>CONCATENATE(Tablo6[[#This Row],[Məhsul adı]]," ",Tablo6[[#This Row],[Tip]]," ",Tablo6[[#This Row],[Rəng]])</f>
        <v>Mətbəx Qulpu  Qara</v>
      </c>
      <c r="K88" s="247" t="s">
        <v>1235</v>
      </c>
      <c r="L88" s="270"/>
      <c r="M88" s="271"/>
      <c r="N88" s="271">
        <f>Tablo6[[#This Row],[Alış qiyməti]]*Tablo6[[#This Row],[Giriş sayı]]</f>
        <v>0</v>
      </c>
      <c r="O88" s="271"/>
      <c r="P88" s="272">
        <f ca="1">Tablo6[[#This Row],[Satılan sayı]]*Tablo6[[#This Row],[Satış qiyməti]]</f>
        <v>0</v>
      </c>
      <c r="Q88" s="272">
        <f ca="1">(Tablo6[[#This Row],[Satış qiyməti]]-Tablo6[[#This Row],[Alış qiyməti]])*Tablo6[[#This Row],[Satılan sayı]]</f>
        <v>0</v>
      </c>
      <c r="R88" s="273">
        <f ca="1">SUMIF(Sifarisler!$M:$AH,Tablo6[[#This Row],[Məhsul kodu]],Sifarisler!N:AH)</f>
        <v>0</v>
      </c>
      <c r="S88" s="274">
        <f ca="1">Tablo6[[#This Row],[Giriş sayı]]-Tablo6[[#This Row],[Satılan sayı]]</f>
        <v>0</v>
      </c>
    </row>
    <row r="89" spans="4:19" ht="17.25">
      <c r="D89" s="256">
        <f t="shared" si="2"/>
        <v>45616</v>
      </c>
      <c r="E89" s="23" t="s">
        <v>1335</v>
      </c>
      <c r="F89" s="15"/>
      <c r="G89" s="15" t="s">
        <v>629</v>
      </c>
      <c r="H89" s="259" t="s">
        <v>1337</v>
      </c>
      <c r="I89" s="259" t="str">
        <f>CONCATENATE(Tablo6[[#This Row],[Məhsul adı]]," ",Tablo6[[#This Row],[Rəng]])</f>
        <v>Mətbəx Qulpu Qızılı</v>
      </c>
      <c r="J89" s="23" t="str">
        <f>CONCATENATE(Tablo6[[#This Row],[Məhsul adı]]," ",Tablo6[[#This Row],[Tip]]," ",Tablo6[[#This Row],[Rəng]])</f>
        <v>Mətbəx Qulpu  Qızılı</v>
      </c>
      <c r="K89" s="247" t="s">
        <v>1235</v>
      </c>
      <c r="L89" s="270"/>
      <c r="M89" s="271"/>
      <c r="N89" s="271">
        <f>Tablo6[[#This Row],[Alış qiyməti]]*Tablo6[[#This Row],[Giriş sayı]]</f>
        <v>0</v>
      </c>
      <c r="O89" s="271"/>
      <c r="P89" s="272">
        <f ca="1">Tablo6[[#This Row],[Satılan sayı]]*Tablo6[[#This Row],[Satış qiyməti]]</f>
        <v>0</v>
      </c>
      <c r="Q89" s="272">
        <f ca="1">(Tablo6[[#This Row],[Satış qiyməti]]-Tablo6[[#This Row],[Alış qiyməti]])*Tablo6[[#This Row],[Satılan sayı]]</f>
        <v>0</v>
      </c>
      <c r="R89" s="273">
        <f ca="1">SUMIF(Sifarisler!$M:$AH,Tablo6[[#This Row],[Məhsul kodu]],Sifarisler!N:AH)</f>
        <v>0</v>
      </c>
      <c r="S89" s="274">
        <f ca="1">Tablo6[[#This Row],[Giriş sayı]]-Tablo6[[#This Row],[Satılan sayı]]</f>
        <v>0</v>
      </c>
    </row>
    <row r="90" spans="4:19" ht="17.25">
      <c r="D90" s="256">
        <f t="shared" si="2"/>
        <v>45616</v>
      </c>
      <c r="E90" s="23" t="s">
        <v>1335</v>
      </c>
      <c r="F90" s="15"/>
      <c r="G90" s="15" t="s">
        <v>1237</v>
      </c>
      <c r="H90" s="259" t="s">
        <v>1338</v>
      </c>
      <c r="I90" s="259" t="str">
        <f>CONCATENATE(Tablo6[[#This Row],[Məhsul adı]]," ",Tablo6[[#This Row],[Rəng]])</f>
        <v>Mətbəx Qulpu Antrasit</v>
      </c>
      <c r="J90" s="23" t="str">
        <f>CONCATENATE(Tablo6[[#This Row],[Məhsul adı]]," ",Tablo6[[#This Row],[Tip]]," ",Tablo6[[#This Row],[Rəng]])</f>
        <v>Mətbəx Qulpu  Antrasit</v>
      </c>
      <c r="K90" s="247" t="s">
        <v>1235</v>
      </c>
      <c r="L90" s="270"/>
      <c r="M90" s="271"/>
      <c r="N90" s="271">
        <f>Tablo6[[#This Row],[Alış qiyməti]]*Tablo6[[#This Row],[Giriş sayı]]</f>
        <v>0</v>
      </c>
      <c r="O90" s="271"/>
      <c r="P90" s="272">
        <f ca="1">Tablo6[[#This Row],[Satılan sayı]]*Tablo6[[#This Row],[Satış qiyməti]]</f>
        <v>0</v>
      </c>
      <c r="Q90" s="272">
        <f ca="1">(Tablo6[[#This Row],[Satış qiyməti]]-Tablo6[[#This Row],[Alış qiyməti]])*Tablo6[[#This Row],[Satılan sayı]]</f>
        <v>0</v>
      </c>
      <c r="R90" s="273">
        <f ca="1">SUMIF(Sifarisler!$M:$AH,Tablo6[[#This Row],[Məhsul kodu]],Sifarisler!N:AH)</f>
        <v>0</v>
      </c>
      <c r="S90" s="274">
        <f ca="1">Tablo6[[#This Row],[Giriş sayı]]-Tablo6[[#This Row],[Satılan sayı]]</f>
        <v>0</v>
      </c>
    </row>
    <row r="91" spans="4:19" ht="17.25">
      <c r="D91" s="256">
        <f t="shared" si="2"/>
        <v>45616</v>
      </c>
      <c r="E91" s="23" t="s">
        <v>1335</v>
      </c>
      <c r="F91" s="15"/>
      <c r="G91" s="15" t="s">
        <v>1239</v>
      </c>
      <c r="H91" s="259" t="s">
        <v>1339</v>
      </c>
      <c r="I91" s="259" t="str">
        <f>CONCATENATE(Tablo6[[#This Row],[Məhsul adı]]," ",Tablo6[[#This Row],[Rəng]])</f>
        <v>Mətbəx Qulpu Açıq antrasit</v>
      </c>
      <c r="J91" s="23" t="str">
        <f>CONCATENATE(Tablo6[[#This Row],[Məhsul adı]]," ",Tablo6[[#This Row],[Tip]]," ",Tablo6[[#This Row],[Rəng]])</f>
        <v>Mətbəx Qulpu  Açıq antrasit</v>
      </c>
      <c r="K91" s="247" t="s">
        <v>1235</v>
      </c>
      <c r="L91" s="270"/>
      <c r="M91" s="271"/>
      <c r="N91" s="271">
        <f>Tablo6[[#This Row],[Alış qiyməti]]*Tablo6[[#This Row],[Giriş sayı]]</f>
        <v>0</v>
      </c>
      <c r="O91" s="271"/>
      <c r="P91" s="272">
        <f ca="1">Tablo6[[#This Row],[Satılan sayı]]*Tablo6[[#This Row],[Satış qiyməti]]</f>
        <v>0</v>
      </c>
      <c r="Q91" s="272">
        <f ca="1">(Tablo6[[#This Row],[Satış qiyməti]]-Tablo6[[#This Row],[Alış qiyməti]])*Tablo6[[#This Row],[Satılan sayı]]</f>
        <v>0</v>
      </c>
      <c r="R91" s="273">
        <f ca="1">SUMIF(Sifarisler!$M:$AH,Tablo6[[#This Row],[Məhsul kodu]],Sifarisler!N:AH)</f>
        <v>0</v>
      </c>
      <c r="S91" s="274">
        <f ca="1">Tablo6[[#This Row],[Giriş sayı]]-Tablo6[[#This Row],[Satılan sayı]]</f>
        <v>0</v>
      </c>
    </row>
    <row r="92" spans="4:19" ht="17.25">
      <c r="D92" s="256">
        <f t="shared" si="2"/>
        <v>45616</v>
      </c>
      <c r="E92" s="23" t="s">
        <v>1335</v>
      </c>
      <c r="F92" s="15"/>
      <c r="G92" s="15" t="s">
        <v>1241</v>
      </c>
      <c r="H92" s="259" t="s">
        <v>1340</v>
      </c>
      <c r="I92" s="259" t="str">
        <f>CONCATENATE(Tablo6[[#This Row],[Məhsul adı]]," ",Tablo6[[#This Row],[Rəng]])</f>
        <v>Mətbəx Qulpu Kofe</v>
      </c>
      <c r="J92" s="23" t="str">
        <f>CONCATENATE(Tablo6[[#This Row],[Məhsul adı]]," ",Tablo6[[#This Row],[Tip]]," ",Tablo6[[#This Row],[Rəng]])</f>
        <v>Mətbəx Qulpu  Kofe</v>
      </c>
      <c r="K92" s="247" t="s">
        <v>1235</v>
      </c>
      <c r="L92" s="270"/>
      <c r="M92" s="271"/>
      <c r="N92" s="271">
        <f>Tablo6[[#This Row],[Alış qiyməti]]*Tablo6[[#This Row],[Giriş sayı]]</f>
        <v>0</v>
      </c>
      <c r="O92" s="271"/>
      <c r="P92" s="272">
        <f ca="1">Tablo6[[#This Row],[Satılan sayı]]*Tablo6[[#This Row],[Satış qiyməti]]</f>
        <v>0</v>
      </c>
      <c r="Q92" s="272">
        <f ca="1">(Tablo6[[#This Row],[Satış qiyməti]]-Tablo6[[#This Row],[Alış qiyməti]])*Tablo6[[#This Row],[Satılan sayı]]</f>
        <v>0</v>
      </c>
      <c r="R92" s="273">
        <f ca="1">SUMIF(Sifarisler!$M:$AH,Tablo6[[#This Row],[Məhsul kodu]],Sifarisler!N:AH)</f>
        <v>0</v>
      </c>
      <c r="S92" s="274">
        <f ca="1">Tablo6[[#This Row],[Giriş sayı]]-Tablo6[[#This Row],[Satılan sayı]]</f>
        <v>0</v>
      </c>
    </row>
    <row r="93" spans="4:19" ht="17.25">
      <c r="D93" s="256">
        <f t="shared" si="2"/>
        <v>45616</v>
      </c>
      <c r="E93" s="23" t="s">
        <v>1341</v>
      </c>
      <c r="F93" s="15" t="s">
        <v>1233</v>
      </c>
      <c r="G93" s="15" t="s">
        <v>257</v>
      </c>
      <c r="H93" s="259" t="s">
        <v>1342</v>
      </c>
      <c r="I93" s="259" t="str">
        <f>CONCATENATE(Tablo6[[#This Row],[Məhsul adı]]," ",Tablo6[[#This Row],[Rəng]])</f>
        <v>Qarderob  Qara</v>
      </c>
      <c r="J93" s="23" t="str">
        <f>CONCATENATE(Tablo6[[#This Row],[Məhsul adı]]," ",Tablo6[[#This Row],[Tip]]," ",Tablo6[[#This Row],[Rəng]])</f>
        <v>Qarderob  Yan Qara</v>
      </c>
      <c r="K93" s="247" t="s">
        <v>1235</v>
      </c>
      <c r="L93" s="270"/>
      <c r="M93" s="271"/>
      <c r="N93" s="271">
        <f>Tablo6[[#This Row],[Alış qiyməti]]*Tablo6[[#This Row],[Giriş sayı]]</f>
        <v>0</v>
      </c>
      <c r="O93" s="271"/>
      <c r="P93" s="272">
        <f ca="1">Tablo6[[#This Row],[Satılan sayı]]*Tablo6[[#This Row],[Satış qiyməti]]</f>
        <v>0</v>
      </c>
      <c r="Q93" s="272">
        <f ca="1">(Tablo6[[#This Row],[Satış qiyməti]]-Tablo6[[#This Row],[Alış qiyməti]])*Tablo6[[#This Row],[Satılan sayı]]</f>
        <v>0</v>
      </c>
      <c r="R93" s="273">
        <f ca="1">SUMIF(Sifarisler!$M:$AH,Tablo6[[#This Row],[Məhsul kodu]],Sifarisler!N:AH)</f>
        <v>0</v>
      </c>
      <c r="S93" s="274">
        <f ca="1">Tablo6[[#This Row],[Giriş sayı]]-Tablo6[[#This Row],[Satılan sayı]]</f>
        <v>0</v>
      </c>
    </row>
    <row r="94" spans="4:19" ht="17.25">
      <c r="D94" s="256">
        <f t="shared" si="2"/>
        <v>45616</v>
      </c>
      <c r="E94" s="23" t="s">
        <v>1341</v>
      </c>
      <c r="F94" s="15" t="s">
        <v>1233</v>
      </c>
      <c r="G94" s="15" t="s">
        <v>629</v>
      </c>
      <c r="H94" s="259" t="s">
        <v>1343</v>
      </c>
      <c r="I94" s="259" t="str">
        <f>CONCATENATE(Tablo6[[#This Row],[Məhsul adı]]," ",Tablo6[[#This Row],[Rəng]])</f>
        <v>Qarderob  Qızılı</v>
      </c>
      <c r="J94" s="23" t="str">
        <f>CONCATENATE(Tablo6[[#This Row],[Məhsul adı]]," ",Tablo6[[#This Row],[Tip]]," ",Tablo6[[#This Row],[Rəng]])</f>
        <v>Qarderob  Yan Qızılı</v>
      </c>
      <c r="K94" s="247" t="s">
        <v>1235</v>
      </c>
      <c r="L94" s="270"/>
      <c r="M94" s="271"/>
      <c r="N94" s="271">
        <f>Tablo6[[#This Row],[Alış qiyməti]]*Tablo6[[#This Row],[Giriş sayı]]</f>
        <v>0</v>
      </c>
      <c r="O94" s="271"/>
      <c r="P94" s="272">
        <f ca="1">Tablo6[[#This Row],[Satılan sayı]]*Tablo6[[#This Row],[Satış qiyməti]]</f>
        <v>0</v>
      </c>
      <c r="Q94" s="272">
        <f ca="1">(Tablo6[[#This Row],[Satış qiyməti]]-Tablo6[[#This Row],[Alış qiyməti]])*Tablo6[[#This Row],[Satılan sayı]]</f>
        <v>0</v>
      </c>
      <c r="R94" s="273">
        <f ca="1">SUMIF(Sifarisler!$M:$AH,Tablo6[[#This Row],[Məhsul kodu]],Sifarisler!N:AH)</f>
        <v>0</v>
      </c>
      <c r="S94" s="274">
        <f ca="1">Tablo6[[#This Row],[Giriş sayı]]-Tablo6[[#This Row],[Satılan sayı]]</f>
        <v>0</v>
      </c>
    </row>
    <row r="95" spans="4:19" ht="17.25">
      <c r="D95" s="256">
        <f t="shared" si="2"/>
        <v>45616</v>
      </c>
      <c r="E95" s="23" t="s">
        <v>1341</v>
      </c>
      <c r="F95" s="15" t="s">
        <v>1233</v>
      </c>
      <c r="G95" s="15" t="s">
        <v>1237</v>
      </c>
      <c r="H95" s="259" t="s">
        <v>1344</v>
      </c>
      <c r="I95" s="259" t="str">
        <f>CONCATENATE(Tablo6[[#This Row],[Məhsul adı]]," ",Tablo6[[#This Row],[Rəng]])</f>
        <v>Qarderob  Antrasit</v>
      </c>
      <c r="J95" s="23" t="str">
        <f>CONCATENATE(Tablo6[[#This Row],[Məhsul adı]]," ",Tablo6[[#This Row],[Tip]]," ",Tablo6[[#This Row],[Rəng]])</f>
        <v>Qarderob  Yan Antrasit</v>
      </c>
      <c r="K95" s="247" t="s">
        <v>1235</v>
      </c>
      <c r="L95" s="270"/>
      <c r="M95" s="271"/>
      <c r="N95" s="271">
        <f>Tablo6[[#This Row],[Alış qiyməti]]*Tablo6[[#This Row],[Giriş sayı]]</f>
        <v>0</v>
      </c>
      <c r="O95" s="271"/>
      <c r="P95" s="272">
        <f ca="1">Tablo6[[#This Row],[Satılan sayı]]*Tablo6[[#This Row],[Satış qiyməti]]</f>
        <v>0</v>
      </c>
      <c r="Q95" s="272">
        <f ca="1">(Tablo6[[#This Row],[Satış qiyməti]]-Tablo6[[#This Row],[Alış qiyməti]])*Tablo6[[#This Row],[Satılan sayı]]</f>
        <v>0</v>
      </c>
      <c r="R95" s="273">
        <f ca="1">SUMIF(Sifarisler!$M:$AH,Tablo6[[#This Row],[Məhsul kodu]],Sifarisler!N:AH)</f>
        <v>0</v>
      </c>
      <c r="S95" s="274">
        <f ca="1">Tablo6[[#This Row],[Giriş sayı]]-Tablo6[[#This Row],[Satılan sayı]]</f>
        <v>0</v>
      </c>
    </row>
    <row r="96" spans="4:19" ht="17.25">
      <c r="D96" s="256">
        <f t="shared" si="2"/>
        <v>45616</v>
      </c>
      <c r="E96" s="23" t="s">
        <v>1345</v>
      </c>
      <c r="F96" s="15"/>
      <c r="G96" s="15" t="s">
        <v>257</v>
      </c>
      <c r="H96" s="259" t="s">
        <v>1346</v>
      </c>
      <c r="I96" s="259" t="str">
        <f>CONCATENATE(Tablo6[[#This Row],[Məhsul adı]]," ",Tablo6[[#This Row],[Rəng]])</f>
        <v>Qarderob Bandura Qara</v>
      </c>
      <c r="J96" s="23" t="str">
        <f>CONCATENATE(Tablo6[[#This Row],[Məhsul adı]]," ",Tablo6[[#This Row],[Tip]]," ",Tablo6[[#This Row],[Rəng]])</f>
        <v>Qarderob Bandura  Qara</v>
      </c>
      <c r="K96" s="247" t="s">
        <v>1235</v>
      </c>
      <c r="L96" s="270"/>
      <c r="M96" s="271"/>
      <c r="N96" s="271">
        <f>Tablo6[[#This Row],[Alış qiyməti]]*Tablo6[[#This Row],[Giriş sayı]]</f>
        <v>0</v>
      </c>
      <c r="O96" s="271"/>
      <c r="P96" s="272">
        <f ca="1">Tablo6[[#This Row],[Satılan sayı]]*Tablo6[[#This Row],[Satış qiyməti]]</f>
        <v>0</v>
      </c>
      <c r="Q96" s="272">
        <f ca="1">(Tablo6[[#This Row],[Satış qiyməti]]-Tablo6[[#This Row],[Alış qiyməti]])*Tablo6[[#This Row],[Satılan sayı]]</f>
        <v>0</v>
      </c>
      <c r="R96" s="273">
        <f ca="1">SUMIF(Sifarisler!$M:$AH,Tablo6[[#This Row],[Məhsul kodu]],Sifarisler!N:AH)</f>
        <v>0</v>
      </c>
      <c r="S96" s="274">
        <f ca="1">Tablo6[[#This Row],[Giriş sayı]]-Tablo6[[#This Row],[Satılan sayı]]</f>
        <v>0</v>
      </c>
    </row>
    <row r="97" spans="4:19" ht="17.25">
      <c r="D97" s="256">
        <f t="shared" si="2"/>
        <v>45616</v>
      </c>
      <c r="E97" s="23" t="s">
        <v>1345</v>
      </c>
      <c r="F97" s="15"/>
      <c r="G97" s="15" t="s">
        <v>629</v>
      </c>
      <c r="H97" s="259" t="s">
        <v>1347</v>
      </c>
      <c r="I97" s="259" t="str">
        <f>CONCATENATE(Tablo6[[#This Row],[Məhsul adı]]," ",Tablo6[[#This Row],[Rəng]])</f>
        <v>Qarderob Bandura Qızılı</v>
      </c>
      <c r="J97" s="23" t="str">
        <f>CONCATENATE(Tablo6[[#This Row],[Məhsul adı]]," ",Tablo6[[#This Row],[Tip]]," ",Tablo6[[#This Row],[Rəng]])</f>
        <v>Qarderob Bandura  Qızılı</v>
      </c>
      <c r="K97" s="247" t="s">
        <v>1235</v>
      </c>
      <c r="L97" s="270"/>
      <c r="M97" s="271"/>
      <c r="N97" s="271">
        <f>Tablo6[[#This Row],[Alış qiyməti]]*Tablo6[[#This Row],[Giriş sayı]]</f>
        <v>0</v>
      </c>
      <c r="O97" s="271"/>
      <c r="P97" s="272">
        <f ca="1">Tablo6[[#This Row],[Satılan sayı]]*Tablo6[[#This Row],[Satış qiyməti]]</f>
        <v>0</v>
      </c>
      <c r="Q97" s="272">
        <f ca="1">(Tablo6[[#This Row],[Satış qiyməti]]-Tablo6[[#This Row],[Alış qiyməti]])*Tablo6[[#This Row],[Satılan sayı]]</f>
        <v>0</v>
      </c>
      <c r="R97" s="273">
        <f ca="1">SUMIF(Sifarisler!$M:$AH,Tablo6[[#This Row],[Məhsul kodu]],Sifarisler!N:AH)</f>
        <v>0</v>
      </c>
      <c r="S97" s="274">
        <f ca="1">Tablo6[[#This Row],[Giriş sayı]]-Tablo6[[#This Row],[Satılan sayı]]</f>
        <v>0</v>
      </c>
    </row>
    <row r="98" spans="4:19" ht="17.25">
      <c r="D98" s="256">
        <f t="shared" si="2"/>
        <v>45616</v>
      </c>
      <c r="E98" s="23" t="s">
        <v>1345</v>
      </c>
      <c r="F98" s="15"/>
      <c r="G98" s="15" t="s">
        <v>1237</v>
      </c>
      <c r="H98" s="259" t="s">
        <v>1348</v>
      </c>
      <c r="I98" s="259" t="str">
        <f>CONCATENATE(Tablo6[[#This Row],[Məhsul adı]]," ",Tablo6[[#This Row],[Rəng]])</f>
        <v>Qarderob Bandura Antrasit</v>
      </c>
      <c r="J98" s="23" t="str">
        <f>CONCATENATE(Tablo6[[#This Row],[Məhsul adı]]," ",Tablo6[[#This Row],[Tip]]," ",Tablo6[[#This Row],[Rəng]])</f>
        <v>Qarderob Bandura  Antrasit</v>
      </c>
      <c r="K98" s="247" t="s">
        <v>1235</v>
      </c>
      <c r="L98" s="270"/>
      <c r="M98" s="271"/>
      <c r="N98" s="271">
        <f>Tablo6[[#This Row],[Alış qiyməti]]*Tablo6[[#This Row],[Giriş sayı]]</f>
        <v>0</v>
      </c>
      <c r="O98" s="271"/>
      <c r="P98" s="272">
        <f ca="1">Tablo6[[#This Row],[Satılan sayı]]*Tablo6[[#This Row],[Satış qiyməti]]</f>
        <v>0</v>
      </c>
      <c r="Q98" s="272">
        <f ca="1">(Tablo6[[#This Row],[Satış qiyməti]]-Tablo6[[#This Row],[Alış qiyməti]])*Tablo6[[#This Row],[Satılan sayı]]</f>
        <v>0</v>
      </c>
      <c r="R98" s="273">
        <f ca="1">SUMIF(Sifarisler!$M:$AH,Tablo6[[#This Row],[Məhsul kodu]],Sifarisler!N:AH)</f>
        <v>0</v>
      </c>
      <c r="S98" s="274">
        <f ca="1">Tablo6[[#This Row],[Giriş sayı]]-Tablo6[[#This Row],[Satılan sayı]]</f>
        <v>0</v>
      </c>
    </row>
    <row r="99" spans="4:19" ht="17.25">
      <c r="D99" s="256">
        <f t="shared" si="2"/>
        <v>45616</v>
      </c>
      <c r="E99" s="23" t="s">
        <v>1349</v>
      </c>
      <c r="F99" s="15"/>
      <c r="G99" s="15" t="s">
        <v>257</v>
      </c>
      <c r="H99" s="259" t="s">
        <v>1350</v>
      </c>
      <c r="I99" s="259" t="str">
        <f>CONCATENATE(Tablo6[[#This Row],[Məhsul adı]]," ",Tablo6[[#This Row],[Rəng]])</f>
        <v>Polka İşıqsız Polşa Qara</v>
      </c>
      <c r="J99" s="23" t="str">
        <f>CONCATENATE(Tablo6[[#This Row],[Məhsul adı]]," ",Tablo6[[#This Row],[Tip]]," ",Tablo6[[#This Row],[Rəng]])</f>
        <v>Polka İşıqsız Polşa  Qara</v>
      </c>
      <c r="K99" s="247" t="s">
        <v>1235</v>
      </c>
      <c r="L99" s="270"/>
      <c r="M99" s="271"/>
      <c r="N99" s="271">
        <f>Tablo6[[#This Row],[Alış qiyməti]]*Tablo6[[#This Row],[Giriş sayı]]</f>
        <v>0</v>
      </c>
      <c r="O99" s="271"/>
      <c r="P99" s="272">
        <f ca="1">Tablo6[[#This Row],[Satılan sayı]]*Tablo6[[#This Row],[Satış qiyməti]]</f>
        <v>0</v>
      </c>
      <c r="Q99" s="272">
        <f ca="1">(Tablo6[[#This Row],[Satış qiyməti]]-Tablo6[[#This Row],[Alış qiyməti]])*Tablo6[[#This Row],[Satılan sayı]]</f>
        <v>0</v>
      </c>
      <c r="R99" s="273">
        <f ca="1">SUMIF(Sifarisler!$M:$AH,Tablo6[[#This Row],[Məhsul kodu]],Sifarisler!N:AH)</f>
        <v>0</v>
      </c>
      <c r="S99" s="274">
        <f ca="1">Tablo6[[#This Row],[Giriş sayı]]-Tablo6[[#This Row],[Satılan sayı]]</f>
        <v>0</v>
      </c>
    </row>
    <row r="100" spans="4:19" ht="17.25">
      <c r="D100" s="256">
        <f t="shared" ref="D100:D131" si="3">DATE(2024,11,20)</f>
        <v>45616</v>
      </c>
      <c r="E100" s="23" t="s">
        <v>1349</v>
      </c>
      <c r="F100" s="15"/>
      <c r="G100" s="15" t="s">
        <v>629</v>
      </c>
      <c r="H100" s="259" t="s">
        <v>1351</v>
      </c>
      <c r="I100" s="259" t="str">
        <f>CONCATENATE(Tablo6[[#This Row],[Məhsul adı]]," ",Tablo6[[#This Row],[Rəng]])</f>
        <v>Polka İşıqsız Polşa Qızılı</v>
      </c>
      <c r="J100" s="23" t="str">
        <f>CONCATENATE(Tablo6[[#This Row],[Məhsul adı]]," ",Tablo6[[#This Row],[Tip]]," ",Tablo6[[#This Row],[Rəng]])</f>
        <v>Polka İşıqsız Polşa  Qızılı</v>
      </c>
      <c r="K100" s="247" t="s">
        <v>1235</v>
      </c>
      <c r="L100" s="270"/>
      <c r="M100" s="271"/>
      <c r="N100" s="271">
        <f>Tablo6[[#This Row],[Alış qiyməti]]*Tablo6[[#This Row],[Giriş sayı]]</f>
        <v>0</v>
      </c>
      <c r="O100" s="271"/>
      <c r="P100" s="272">
        <f ca="1">Tablo6[[#This Row],[Satılan sayı]]*Tablo6[[#This Row],[Satış qiyməti]]</f>
        <v>0</v>
      </c>
      <c r="Q100" s="272">
        <f ca="1">(Tablo6[[#This Row],[Satış qiyməti]]-Tablo6[[#This Row],[Alış qiyməti]])*Tablo6[[#This Row],[Satılan sayı]]</f>
        <v>0</v>
      </c>
      <c r="R100" s="273">
        <f ca="1">SUMIF(Sifarisler!$M:$AH,Tablo6[[#This Row],[Məhsul kodu]],Sifarisler!N:AH)</f>
        <v>0</v>
      </c>
      <c r="S100" s="274">
        <f ca="1">Tablo6[[#This Row],[Giriş sayı]]-Tablo6[[#This Row],[Satılan sayı]]</f>
        <v>0</v>
      </c>
    </row>
    <row r="101" spans="4:19" ht="17.25">
      <c r="D101" s="256">
        <f t="shared" si="3"/>
        <v>45616</v>
      </c>
      <c r="E101" s="23" t="s">
        <v>1349</v>
      </c>
      <c r="F101" s="15"/>
      <c r="G101" s="15" t="s">
        <v>1237</v>
      </c>
      <c r="H101" s="259" t="s">
        <v>1352</v>
      </c>
      <c r="I101" s="259" t="str">
        <f>CONCATENATE(Tablo6[[#This Row],[Məhsul adı]]," ",Tablo6[[#This Row],[Rəng]])</f>
        <v>Polka İşıqsız Polşa Antrasit</v>
      </c>
      <c r="J101" s="23" t="str">
        <f>CONCATENATE(Tablo6[[#This Row],[Məhsul adı]]," ",Tablo6[[#This Row],[Tip]]," ",Tablo6[[#This Row],[Rəng]])</f>
        <v>Polka İşıqsız Polşa  Antrasit</v>
      </c>
      <c r="K101" s="247" t="s">
        <v>1235</v>
      </c>
      <c r="L101" s="270"/>
      <c r="M101" s="271"/>
      <c r="N101" s="271">
        <f>Tablo6[[#This Row],[Alış qiyməti]]*Tablo6[[#This Row],[Giriş sayı]]</f>
        <v>0</v>
      </c>
      <c r="O101" s="271"/>
      <c r="P101" s="272">
        <f ca="1">Tablo6[[#This Row],[Satılan sayı]]*Tablo6[[#This Row],[Satış qiyməti]]</f>
        <v>0</v>
      </c>
      <c r="Q101" s="272">
        <f ca="1">(Tablo6[[#This Row],[Satış qiyməti]]-Tablo6[[#This Row],[Alış qiyməti]])*Tablo6[[#This Row],[Satılan sayı]]</f>
        <v>0</v>
      </c>
      <c r="R101" s="273">
        <f ca="1">SUMIF(Sifarisler!$M:$AH,Tablo6[[#This Row],[Məhsul kodu]],Sifarisler!N:AH)</f>
        <v>0</v>
      </c>
      <c r="S101" s="274">
        <f ca="1">Tablo6[[#This Row],[Giriş sayı]]-Tablo6[[#This Row],[Satılan sayı]]</f>
        <v>0</v>
      </c>
    </row>
    <row r="102" spans="4:19" ht="17.25">
      <c r="D102" s="256">
        <f t="shared" si="3"/>
        <v>45616</v>
      </c>
      <c r="E102" s="23" t="s">
        <v>1353</v>
      </c>
      <c r="F102" s="15"/>
      <c r="G102" s="15" t="s">
        <v>257</v>
      </c>
      <c r="H102" s="259" t="s">
        <v>1354</v>
      </c>
      <c r="I102" s="259" t="str">
        <f>CONCATENATE(Tablo6[[#This Row],[Məhsul adı]]," ",Tablo6[[#This Row],[Rəng]])</f>
        <v>Polka İşıqlı Polşa Qara</v>
      </c>
      <c r="J102" s="23" t="str">
        <f>CONCATENATE(Tablo6[[#This Row],[Məhsul adı]]," ",Tablo6[[#This Row],[Tip]]," ",Tablo6[[#This Row],[Rəng]])</f>
        <v>Polka İşıqlı Polşa  Qara</v>
      </c>
      <c r="K102" s="247" t="s">
        <v>1235</v>
      </c>
      <c r="L102" s="270"/>
      <c r="M102" s="271"/>
      <c r="N102" s="271">
        <f>Tablo6[[#This Row],[Alış qiyməti]]*Tablo6[[#This Row],[Giriş sayı]]</f>
        <v>0</v>
      </c>
      <c r="O102" s="271"/>
      <c r="P102" s="272">
        <f ca="1">Tablo6[[#This Row],[Satılan sayı]]*Tablo6[[#This Row],[Satış qiyməti]]</f>
        <v>0</v>
      </c>
      <c r="Q102" s="272">
        <f ca="1">(Tablo6[[#This Row],[Satış qiyməti]]-Tablo6[[#This Row],[Alış qiyməti]])*Tablo6[[#This Row],[Satılan sayı]]</f>
        <v>0</v>
      </c>
      <c r="R102" s="273">
        <f ca="1">SUMIF(Sifarisler!$M:$AH,Tablo6[[#This Row],[Məhsul kodu]],Sifarisler!N:AH)</f>
        <v>0</v>
      </c>
      <c r="S102" s="274">
        <f ca="1">Tablo6[[#This Row],[Giriş sayı]]-Tablo6[[#This Row],[Satılan sayı]]</f>
        <v>0</v>
      </c>
    </row>
    <row r="103" spans="4:19" ht="17.25">
      <c r="D103" s="256">
        <f t="shared" si="3"/>
        <v>45616</v>
      </c>
      <c r="E103" s="23" t="s">
        <v>1355</v>
      </c>
      <c r="F103" s="15"/>
      <c r="G103" s="15" t="s">
        <v>257</v>
      </c>
      <c r="H103" s="259" t="s">
        <v>1356</v>
      </c>
      <c r="I103" s="259" t="str">
        <f>CONCATENATE(Tablo6[[#This Row],[Məhsul adı]]," ",Tablo6[[#This Row],[Rəng]])</f>
        <v>Polka İşıqsız Türk Qara</v>
      </c>
      <c r="J103" s="23" t="str">
        <f>CONCATENATE(Tablo6[[#This Row],[Məhsul adı]]," ",Tablo6[[#This Row],[Tip]]," ",Tablo6[[#This Row],[Rəng]])</f>
        <v>Polka İşıqsız Türk  Qara</v>
      </c>
      <c r="K103" s="247" t="s">
        <v>1235</v>
      </c>
      <c r="L103" s="270"/>
      <c r="M103" s="271"/>
      <c r="N103" s="271">
        <f>Tablo6[[#This Row],[Alış qiyməti]]*Tablo6[[#This Row],[Giriş sayı]]</f>
        <v>0</v>
      </c>
      <c r="O103" s="271"/>
      <c r="P103" s="272">
        <f ca="1">Tablo6[[#This Row],[Satılan sayı]]*Tablo6[[#This Row],[Satış qiyməti]]</f>
        <v>0</v>
      </c>
      <c r="Q103" s="272">
        <f ca="1">(Tablo6[[#This Row],[Satış qiyməti]]-Tablo6[[#This Row],[Alış qiyməti]])*Tablo6[[#This Row],[Satılan sayı]]</f>
        <v>0</v>
      </c>
      <c r="R103" s="273">
        <f ca="1">SUMIF(Sifarisler!$M:$AH,Tablo6[[#This Row],[Məhsul kodu]],Sifarisler!N:AH)</f>
        <v>0</v>
      </c>
      <c r="S103" s="274">
        <f ca="1">Tablo6[[#This Row],[Giriş sayı]]-Tablo6[[#This Row],[Satılan sayı]]</f>
        <v>0</v>
      </c>
    </row>
    <row r="104" spans="4:19" ht="17.25">
      <c r="D104" s="256">
        <f t="shared" si="3"/>
        <v>45616</v>
      </c>
      <c r="E104" s="23" t="s">
        <v>1357</v>
      </c>
      <c r="F104" s="15"/>
      <c r="G104" s="15" t="s">
        <v>257</v>
      </c>
      <c r="H104" s="259" t="s">
        <v>1358</v>
      </c>
      <c r="I104" s="259" t="str">
        <f>CONCATENATE(Tablo6[[#This Row],[Məhsul adı]]," ",Tablo6[[#This Row],[Rəng]])</f>
        <v>Polka İşıqlı Türk Qara</v>
      </c>
      <c r="J104" s="23" t="str">
        <f>CONCATENATE(Tablo6[[#This Row],[Məhsul adı]]," ",Tablo6[[#This Row],[Tip]]," ",Tablo6[[#This Row],[Rəng]])</f>
        <v>Polka İşıqlı Türk  Qara</v>
      </c>
      <c r="K104" s="247" t="s">
        <v>1235</v>
      </c>
      <c r="L104" s="270"/>
      <c r="M104" s="271"/>
      <c r="N104" s="271">
        <f>Tablo6[[#This Row],[Alış qiyməti]]*Tablo6[[#This Row],[Giriş sayı]]</f>
        <v>0</v>
      </c>
      <c r="O104" s="271"/>
      <c r="P104" s="272">
        <f ca="1">Tablo6[[#This Row],[Satılan sayı]]*Tablo6[[#This Row],[Satış qiyməti]]</f>
        <v>0</v>
      </c>
      <c r="Q104" s="272">
        <f ca="1">(Tablo6[[#This Row],[Satış qiyməti]]-Tablo6[[#This Row],[Alış qiyməti]])*Tablo6[[#This Row],[Satılan sayı]]</f>
        <v>0</v>
      </c>
      <c r="R104" s="273">
        <f ca="1">SUMIF(Sifarisler!$M:$AH,Tablo6[[#This Row],[Məhsul kodu]],Sifarisler!N:AH)</f>
        <v>0</v>
      </c>
      <c r="S104" s="274">
        <f ca="1">Tablo6[[#This Row],[Giriş sayı]]-Tablo6[[#This Row],[Satılan sayı]]</f>
        <v>0</v>
      </c>
    </row>
    <row r="105" spans="4:19" ht="17.25">
      <c r="D105" s="256">
        <f t="shared" si="3"/>
        <v>45616</v>
      </c>
      <c r="E105" s="23" t="s">
        <v>1359</v>
      </c>
      <c r="F105" s="15"/>
      <c r="G105" s="15" t="s">
        <v>257</v>
      </c>
      <c r="H105" s="259" t="s">
        <v>1360</v>
      </c>
      <c r="I105" s="259" t="str">
        <f>CONCATENATE(Tablo6[[#This Row],[Məhsul adı]]," ",Tablo6[[#This Row],[Rəng]])</f>
        <v>Vega Profil  Polşa Qara</v>
      </c>
      <c r="J105" s="23" t="str">
        <f>CONCATENATE(Tablo6[[#This Row],[Məhsul adı]]," ",Tablo6[[#This Row],[Tip]]," ",Tablo6[[#This Row],[Rəng]])</f>
        <v>Vega Profil  Polşa  Qara</v>
      </c>
      <c r="K105" s="247" t="s">
        <v>1235</v>
      </c>
      <c r="L105" s="270"/>
      <c r="M105" s="271"/>
      <c r="N105" s="271">
        <f>Tablo6[[#This Row],[Alış qiyməti]]*Tablo6[[#This Row],[Giriş sayı]]</f>
        <v>0</v>
      </c>
      <c r="O105" s="271"/>
      <c r="P105" s="272">
        <f ca="1">Tablo6[[#This Row],[Satılan sayı]]*Tablo6[[#This Row],[Satış qiyməti]]</f>
        <v>0</v>
      </c>
      <c r="Q105" s="272">
        <f ca="1">(Tablo6[[#This Row],[Satış qiyməti]]-Tablo6[[#This Row],[Alış qiyməti]])*Tablo6[[#This Row],[Satılan sayı]]</f>
        <v>0</v>
      </c>
      <c r="R105" s="273">
        <f ca="1">SUMIF(Sifarisler!$M:$AH,Tablo6[[#This Row],[Məhsul kodu]],Sifarisler!N:AH)</f>
        <v>0</v>
      </c>
      <c r="S105" s="274">
        <f ca="1">Tablo6[[#This Row],[Giriş sayı]]-Tablo6[[#This Row],[Satılan sayı]]</f>
        <v>0</v>
      </c>
    </row>
    <row r="106" spans="4:19" ht="17.25">
      <c r="D106" s="256">
        <f t="shared" si="3"/>
        <v>45616</v>
      </c>
      <c r="E106" s="23" t="s">
        <v>1359</v>
      </c>
      <c r="F106" s="15"/>
      <c r="G106" s="15" t="s">
        <v>629</v>
      </c>
      <c r="H106" s="259" t="s">
        <v>1361</v>
      </c>
      <c r="I106" s="259" t="str">
        <f>CONCATENATE(Tablo6[[#This Row],[Məhsul adı]]," ",Tablo6[[#This Row],[Rəng]])</f>
        <v>Vega Profil  Polşa Qızılı</v>
      </c>
      <c r="J106" s="23" t="str">
        <f>CONCATENATE(Tablo6[[#This Row],[Məhsul adı]]," ",Tablo6[[#This Row],[Tip]]," ",Tablo6[[#This Row],[Rəng]])</f>
        <v>Vega Profil  Polşa  Qızılı</v>
      </c>
      <c r="K106" s="247" t="s">
        <v>1235</v>
      </c>
      <c r="L106" s="270"/>
      <c r="M106" s="271"/>
      <c r="N106" s="271">
        <f>Tablo6[[#This Row],[Alış qiyməti]]*Tablo6[[#This Row],[Giriş sayı]]</f>
        <v>0</v>
      </c>
      <c r="O106" s="271"/>
      <c r="P106" s="272">
        <f ca="1">Tablo6[[#This Row],[Satılan sayı]]*Tablo6[[#This Row],[Satış qiyməti]]</f>
        <v>0</v>
      </c>
      <c r="Q106" s="272">
        <f ca="1">(Tablo6[[#This Row],[Satış qiyməti]]-Tablo6[[#This Row],[Alış qiyməti]])*Tablo6[[#This Row],[Satılan sayı]]</f>
        <v>0</v>
      </c>
      <c r="R106" s="273">
        <f ca="1">SUMIF(Sifarisler!$M:$AH,Tablo6[[#This Row],[Məhsul kodu]],Sifarisler!N:AH)</f>
        <v>0</v>
      </c>
      <c r="S106" s="274">
        <f ca="1">Tablo6[[#This Row],[Giriş sayı]]-Tablo6[[#This Row],[Satılan sayı]]</f>
        <v>0</v>
      </c>
    </row>
    <row r="107" spans="4:19" ht="17.25">
      <c r="D107" s="256">
        <f t="shared" si="3"/>
        <v>45616</v>
      </c>
      <c r="E107" s="23" t="s">
        <v>1362</v>
      </c>
      <c r="F107" s="15"/>
      <c r="G107" s="15" t="s">
        <v>257</v>
      </c>
      <c r="H107" s="259" t="s">
        <v>1363</v>
      </c>
      <c r="I107" s="259" t="str">
        <f>CONCATENATE(Tablo6[[#This Row],[Məhsul adı]]," ",Tablo6[[#This Row],[Rəng]])</f>
        <v>Vega Profil Qulp Polşa Qara</v>
      </c>
      <c r="J107" s="23" t="str">
        <f>CONCATENATE(Tablo6[[#This Row],[Məhsul adı]]," ",Tablo6[[#This Row],[Tip]]," ",Tablo6[[#This Row],[Rəng]])</f>
        <v>Vega Profil Qulp Polşa  Qara</v>
      </c>
      <c r="K107" s="247" t="s">
        <v>1235</v>
      </c>
      <c r="L107" s="270"/>
      <c r="M107" s="271"/>
      <c r="N107" s="271">
        <f>Tablo6[[#This Row],[Alış qiyməti]]*Tablo6[[#This Row],[Giriş sayı]]</f>
        <v>0</v>
      </c>
      <c r="O107" s="271"/>
      <c r="P107" s="272">
        <f ca="1">Tablo6[[#This Row],[Satılan sayı]]*Tablo6[[#This Row],[Satış qiyməti]]</f>
        <v>0</v>
      </c>
      <c r="Q107" s="272">
        <f ca="1">(Tablo6[[#This Row],[Satış qiyməti]]-Tablo6[[#This Row],[Alış qiyməti]])*Tablo6[[#This Row],[Satılan sayı]]</f>
        <v>0</v>
      </c>
      <c r="R107" s="273">
        <f ca="1">SUMIF(Sifarisler!$M:$AH,Tablo6[[#This Row],[Məhsul kodu]],Sifarisler!N:AH)</f>
        <v>0</v>
      </c>
      <c r="S107" s="274">
        <f ca="1">Tablo6[[#This Row],[Giriş sayı]]-Tablo6[[#This Row],[Satılan sayı]]</f>
        <v>0</v>
      </c>
    </row>
    <row r="108" spans="4:19" ht="17.25">
      <c r="D108" s="256">
        <f t="shared" si="3"/>
        <v>45616</v>
      </c>
      <c r="E108" s="23" t="s">
        <v>1362</v>
      </c>
      <c r="F108" s="15"/>
      <c r="G108" s="15" t="s">
        <v>629</v>
      </c>
      <c r="H108" s="259" t="s">
        <v>1364</v>
      </c>
      <c r="I108" s="259" t="str">
        <f>CONCATENATE(Tablo6[[#This Row],[Məhsul adı]]," ",Tablo6[[#This Row],[Rəng]])</f>
        <v>Vega Profil Qulp Polşa Qızılı</v>
      </c>
      <c r="J108" s="23" t="str">
        <f>CONCATENATE(Tablo6[[#This Row],[Məhsul adı]]," ",Tablo6[[#This Row],[Tip]]," ",Tablo6[[#This Row],[Rəng]])</f>
        <v>Vega Profil Qulp Polşa  Qızılı</v>
      </c>
      <c r="K108" s="247" t="s">
        <v>1235</v>
      </c>
      <c r="L108" s="270"/>
      <c r="M108" s="271"/>
      <c r="N108" s="271">
        <f>Tablo6[[#This Row],[Alış qiyməti]]*Tablo6[[#This Row],[Giriş sayı]]</f>
        <v>0</v>
      </c>
      <c r="O108" s="271"/>
      <c r="P108" s="272">
        <f ca="1">Tablo6[[#This Row],[Satılan sayı]]*Tablo6[[#This Row],[Satış qiyməti]]</f>
        <v>0</v>
      </c>
      <c r="Q108" s="272">
        <f ca="1">(Tablo6[[#This Row],[Satış qiyməti]]-Tablo6[[#This Row],[Alış qiyməti]])*Tablo6[[#This Row],[Satılan sayı]]</f>
        <v>0</v>
      </c>
      <c r="R108" s="273">
        <f ca="1">SUMIF(Sifarisler!$M:$AH,Tablo6[[#This Row],[Məhsul kodu]],Sifarisler!N:AH)</f>
        <v>0</v>
      </c>
      <c r="S108" s="274">
        <f ca="1">Tablo6[[#This Row],[Giriş sayı]]-Tablo6[[#This Row],[Satılan sayı]]</f>
        <v>0</v>
      </c>
    </row>
    <row r="109" spans="4:19" ht="17.25">
      <c r="D109" s="256">
        <f t="shared" si="3"/>
        <v>45616</v>
      </c>
      <c r="E109" s="23" t="s">
        <v>1365</v>
      </c>
      <c r="F109" s="15"/>
      <c r="G109" s="15" t="s">
        <v>257</v>
      </c>
      <c r="H109" s="259" t="s">
        <v>1366</v>
      </c>
      <c r="I109" s="259" t="str">
        <f>CONCATENATE(Tablo6[[#This Row],[Məhsul adı]]," ",Tablo6[[#This Row],[Rəng]])</f>
        <v>Vega Alt Üst Polşa Qara</v>
      </c>
      <c r="J109" s="23" t="str">
        <f>CONCATENATE(Tablo6[[#This Row],[Məhsul adı]]," ",Tablo6[[#This Row],[Tip]]," ",Tablo6[[#This Row],[Rəng]])</f>
        <v>Vega Alt Üst Polşa  Qara</v>
      </c>
      <c r="K109" s="247" t="s">
        <v>1235</v>
      </c>
      <c r="L109" s="270"/>
      <c r="M109" s="271"/>
      <c r="N109" s="271">
        <f>Tablo6[[#This Row],[Alış qiyməti]]*Tablo6[[#This Row],[Giriş sayı]]</f>
        <v>0</v>
      </c>
      <c r="O109" s="271"/>
      <c r="P109" s="272">
        <f ca="1">Tablo6[[#This Row],[Satılan sayı]]*Tablo6[[#This Row],[Satış qiyməti]]</f>
        <v>0</v>
      </c>
      <c r="Q109" s="272">
        <f ca="1">(Tablo6[[#This Row],[Satış qiyməti]]-Tablo6[[#This Row],[Alış qiyməti]])*Tablo6[[#This Row],[Satılan sayı]]</f>
        <v>0</v>
      </c>
      <c r="R109" s="273">
        <f ca="1">SUMIF(Sifarisler!$M:$AH,Tablo6[[#This Row],[Məhsul kodu]],Sifarisler!N:AH)</f>
        <v>0</v>
      </c>
      <c r="S109" s="274">
        <f ca="1">Tablo6[[#This Row],[Giriş sayı]]-Tablo6[[#This Row],[Satılan sayı]]</f>
        <v>0</v>
      </c>
    </row>
    <row r="110" spans="4:19" ht="17.25">
      <c r="D110" s="256">
        <f t="shared" si="3"/>
        <v>45616</v>
      </c>
      <c r="E110" s="23" t="s">
        <v>1365</v>
      </c>
      <c r="F110" s="15"/>
      <c r="G110" s="15" t="s">
        <v>629</v>
      </c>
      <c r="H110" s="259" t="s">
        <v>1367</v>
      </c>
      <c r="I110" s="259" t="str">
        <f>CONCATENATE(Tablo6[[#This Row],[Məhsul adı]]," ",Tablo6[[#This Row],[Rəng]])</f>
        <v>Vega Alt Üst Polşa Qızılı</v>
      </c>
      <c r="J110" s="23" t="str">
        <f>CONCATENATE(Tablo6[[#This Row],[Məhsul adı]]," ",Tablo6[[#This Row],[Tip]]," ",Tablo6[[#This Row],[Rəng]])</f>
        <v>Vega Alt Üst Polşa  Qızılı</v>
      </c>
      <c r="K110" s="247" t="s">
        <v>1235</v>
      </c>
      <c r="L110" s="270"/>
      <c r="M110" s="271"/>
      <c r="N110" s="271">
        <f>Tablo6[[#This Row],[Alış qiyməti]]*Tablo6[[#This Row],[Giriş sayı]]</f>
        <v>0</v>
      </c>
      <c r="O110" s="271"/>
      <c r="P110" s="272">
        <f ca="1">Tablo6[[#This Row],[Satılan sayı]]*Tablo6[[#This Row],[Satış qiyməti]]</f>
        <v>0</v>
      </c>
      <c r="Q110" s="272">
        <f ca="1">(Tablo6[[#This Row],[Satış qiyməti]]-Tablo6[[#This Row],[Alış qiyməti]])*Tablo6[[#This Row],[Satılan sayı]]</f>
        <v>0</v>
      </c>
      <c r="R110" s="273">
        <f ca="1">SUMIF(Sifarisler!$M:$AH,Tablo6[[#This Row],[Məhsul kodu]],Sifarisler!N:AH)</f>
        <v>0</v>
      </c>
      <c r="S110" s="274">
        <f ca="1">Tablo6[[#This Row],[Giriş sayı]]-Tablo6[[#This Row],[Satılan sayı]]</f>
        <v>0</v>
      </c>
    </row>
    <row r="111" spans="4:19" ht="17.25">
      <c r="D111" s="256">
        <f t="shared" si="3"/>
        <v>45616</v>
      </c>
      <c r="E111" s="23" t="s">
        <v>1368</v>
      </c>
      <c r="F111" s="15"/>
      <c r="G111" s="15" t="s">
        <v>257</v>
      </c>
      <c r="H111" s="259" t="s">
        <v>1369</v>
      </c>
      <c r="I111" s="259" t="str">
        <f>CONCATENATE(Tablo6[[#This Row],[Məhsul adı]]," ",Tablo6[[#This Row],[Rəng]])</f>
        <v>Vega Araçita Polşa Qara</v>
      </c>
      <c r="J111" s="23" t="str">
        <f>CONCATENATE(Tablo6[[#This Row],[Məhsul adı]]," ",Tablo6[[#This Row],[Tip]]," ",Tablo6[[#This Row],[Rəng]])</f>
        <v>Vega Araçita Polşa  Qara</v>
      </c>
      <c r="K111" s="247" t="s">
        <v>1235</v>
      </c>
      <c r="L111" s="270"/>
      <c r="M111" s="271"/>
      <c r="N111" s="271">
        <f>Tablo6[[#This Row],[Alış qiyməti]]*Tablo6[[#This Row],[Giriş sayı]]</f>
        <v>0</v>
      </c>
      <c r="O111" s="271"/>
      <c r="P111" s="272">
        <f ca="1">Tablo6[[#This Row],[Satılan sayı]]*Tablo6[[#This Row],[Satış qiyməti]]</f>
        <v>0</v>
      </c>
      <c r="Q111" s="272">
        <f ca="1">(Tablo6[[#This Row],[Satış qiyməti]]-Tablo6[[#This Row],[Alış qiyməti]])*Tablo6[[#This Row],[Satılan sayı]]</f>
        <v>0</v>
      </c>
      <c r="R111" s="273">
        <f ca="1">SUMIF(Sifarisler!$M:$AH,Tablo6[[#This Row],[Məhsul kodu]],Sifarisler!N:AH)</f>
        <v>0</v>
      </c>
      <c r="S111" s="274">
        <f ca="1">Tablo6[[#This Row],[Giriş sayı]]-Tablo6[[#This Row],[Satılan sayı]]</f>
        <v>0</v>
      </c>
    </row>
    <row r="112" spans="4:19" ht="17.25">
      <c r="D112" s="256">
        <f t="shared" si="3"/>
        <v>45616</v>
      </c>
      <c r="E112" s="23" t="s">
        <v>1368</v>
      </c>
      <c r="F112" s="15"/>
      <c r="G112" s="15" t="s">
        <v>629</v>
      </c>
      <c r="H112" s="259" t="s">
        <v>1370</v>
      </c>
      <c r="I112" s="259" t="str">
        <f>CONCATENATE(Tablo6[[#This Row],[Məhsul adı]]," ",Tablo6[[#This Row],[Rəng]])</f>
        <v>Vega Araçita Polşa Qızılı</v>
      </c>
      <c r="J112" s="23" t="str">
        <f>CONCATENATE(Tablo6[[#This Row],[Məhsul adı]]," ",Tablo6[[#This Row],[Tip]]," ",Tablo6[[#This Row],[Rəng]])</f>
        <v>Vega Araçita Polşa  Qızılı</v>
      </c>
      <c r="K112" s="247" t="s">
        <v>1235</v>
      </c>
      <c r="L112" s="270"/>
      <c r="M112" s="271"/>
      <c r="N112" s="271">
        <f>Tablo6[[#This Row],[Alış qiyməti]]*Tablo6[[#This Row],[Giriş sayı]]</f>
        <v>0</v>
      </c>
      <c r="O112" s="271"/>
      <c r="P112" s="272">
        <f ca="1">Tablo6[[#This Row],[Satılan sayı]]*Tablo6[[#This Row],[Satış qiyməti]]</f>
        <v>0</v>
      </c>
      <c r="Q112" s="272">
        <f ca="1">(Tablo6[[#This Row],[Satış qiyməti]]-Tablo6[[#This Row],[Alış qiyməti]])*Tablo6[[#This Row],[Satılan sayı]]</f>
        <v>0</v>
      </c>
      <c r="R112" s="273">
        <f ca="1">SUMIF(Sifarisler!$M:$AH,Tablo6[[#This Row],[Məhsul kodu]],Sifarisler!N:AH)</f>
        <v>0</v>
      </c>
      <c r="S112" s="274">
        <f ca="1">Tablo6[[#This Row],[Giriş sayı]]-Tablo6[[#This Row],[Satılan sayı]]</f>
        <v>0</v>
      </c>
    </row>
    <row r="113" spans="4:19" ht="17.25">
      <c r="D113" s="256">
        <f t="shared" si="3"/>
        <v>45616</v>
      </c>
      <c r="E113" s="23" t="s">
        <v>1371</v>
      </c>
      <c r="F113" s="15"/>
      <c r="G113" s="15" t="s">
        <v>257</v>
      </c>
      <c r="H113" s="259" t="s">
        <v>1372</v>
      </c>
      <c r="I113" s="259" t="str">
        <f>CONCATENATE(Tablo6[[#This Row],[Məhsul adı]]," ",Tablo6[[#This Row],[Rəng]])</f>
        <v>Mərmər Profili Qara</v>
      </c>
      <c r="J113" s="23" t="str">
        <f>CONCATENATE(Tablo6[[#This Row],[Məhsul adı]]," ",Tablo6[[#This Row],[Tip]]," ",Tablo6[[#This Row],[Rəng]])</f>
        <v>Mərmər Profili  Qara</v>
      </c>
      <c r="K113" s="247" t="s">
        <v>1235</v>
      </c>
      <c r="L113" s="270"/>
      <c r="M113" s="271"/>
      <c r="N113" s="271">
        <f>Tablo6[[#This Row],[Alış qiyməti]]*Tablo6[[#This Row],[Giriş sayı]]</f>
        <v>0</v>
      </c>
      <c r="O113" s="271"/>
      <c r="P113" s="272">
        <f ca="1">Tablo6[[#This Row],[Satılan sayı]]*Tablo6[[#This Row],[Satış qiyməti]]</f>
        <v>0</v>
      </c>
      <c r="Q113" s="272">
        <f ca="1">(Tablo6[[#This Row],[Satış qiyməti]]-Tablo6[[#This Row],[Alış qiyməti]])*Tablo6[[#This Row],[Satılan sayı]]</f>
        <v>0</v>
      </c>
      <c r="R113" s="273">
        <f ca="1">SUMIF(Sifarisler!$M:$AH,Tablo6[[#This Row],[Məhsul kodu]],Sifarisler!N:AH)</f>
        <v>0</v>
      </c>
      <c r="S113" s="274">
        <f ca="1">Tablo6[[#This Row],[Giriş sayı]]-Tablo6[[#This Row],[Satılan sayı]]</f>
        <v>0</v>
      </c>
    </row>
    <row r="114" spans="4:19" ht="17.25">
      <c r="D114" s="256">
        <f t="shared" si="3"/>
        <v>45616</v>
      </c>
      <c r="E114" s="23" t="s">
        <v>1371</v>
      </c>
      <c r="F114" s="15"/>
      <c r="G114" s="15" t="s">
        <v>629</v>
      </c>
      <c r="H114" s="259" t="s">
        <v>1373</v>
      </c>
      <c r="I114" s="259" t="str">
        <f>CONCATENATE(Tablo6[[#This Row],[Məhsul adı]]," ",Tablo6[[#This Row],[Rəng]])</f>
        <v>Mərmər Profili Qızılı</v>
      </c>
      <c r="J114" s="23" t="str">
        <f>CONCATENATE(Tablo6[[#This Row],[Məhsul adı]]," ",Tablo6[[#This Row],[Tip]]," ",Tablo6[[#This Row],[Rəng]])</f>
        <v>Mərmər Profili  Qızılı</v>
      </c>
      <c r="K114" s="247" t="s">
        <v>1235</v>
      </c>
      <c r="L114" s="270"/>
      <c r="M114" s="271"/>
      <c r="N114" s="271">
        <f>Tablo6[[#This Row],[Alış qiyməti]]*Tablo6[[#This Row],[Giriş sayı]]</f>
        <v>0</v>
      </c>
      <c r="O114" s="271"/>
      <c r="P114" s="272">
        <f ca="1">Tablo6[[#This Row],[Satılan sayı]]*Tablo6[[#This Row],[Satış qiyməti]]</f>
        <v>0</v>
      </c>
      <c r="Q114" s="272">
        <f ca="1">(Tablo6[[#This Row],[Satış qiyməti]]-Tablo6[[#This Row],[Alış qiyməti]])*Tablo6[[#This Row],[Satılan sayı]]</f>
        <v>0</v>
      </c>
      <c r="R114" s="273">
        <f ca="1">SUMIF(Sifarisler!$M:$AH,Tablo6[[#This Row],[Məhsul kodu]],Sifarisler!N:AH)</f>
        <v>0</v>
      </c>
      <c r="S114" s="274">
        <f ca="1">Tablo6[[#This Row],[Giriş sayı]]-Tablo6[[#This Row],[Satılan sayı]]</f>
        <v>0</v>
      </c>
    </row>
    <row r="115" spans="4:19" ht="17.25">
      <c r="D115" s="256">
        <f t="shared" si="3"/>
        <v>45616</v>
      </c>
      <c r="E115" s="23" t="s">
        <v>1371</v>
      </c>
      <c r="F115" s="15"/>
      <c r="G115" s="15" t="s">
        <v>1237</v>
      </c>
      <c r="H115" s="259" t="s">
        <v>1374</v>
      </c>
      <c r="I115" s="259" t="str">
        <f>CONCATENATE(Tablo6[[#This Row],[Məhsul adı]]," ",Tablo6[[#This Row],[Rəng]])</f>
        <v>Mərmər Profili Antrasit</v>
      </c>
      <c r="J115" s="23" t="str">
        <f>CONCATENATE(Tablo6[[#This Row],[Məhsul adı]]," ",Tablo6[[#This Row],[Tip]]," ",Tablo6[[#This Row],[Rəng]])</f>
        <v>Mərmər Profili  Antrasit</v>
      </c>
      <c r="K115" s="247" t="s">
        <v>1235</v>
      </c>
      <c r="L115" s="270"/>
      <c r="M115" s="271"/>
      <c r="N115" s="271">
        <f>Tablo6[[#This Row],[Alış qiyməti]]*Tablo6[[#This Row],[Giriş sayı]]</f>
        <v>0</v>
      </c>
      <c r="O115" s="271"/>
      <c r="P115" s="272">
        <f ca="1">Tablo6[[#This Row],[Satılan sayı]]*Tablo6[[#This Row],[Satış qiyməti]]</f>
        <v>0</v>
      </c>
      <c r="Q115" s="272">
        <f ca="1">(Tablo6[[#This Row],[Satış qiyməti]]-Tablo6[[#This Row],[Alış qiyməti]])*Tablo6[[#This Row],[Satılan sayı]]</f>
        <v>0</v>
      </c>
      <c r="R115" s="273">
        <f ca="1">SUMIF(Sifarisler!$M:$AH,Tablo6[[#This Row],[Məhsul kodu]],Sifarisler!N:AH)</f>
        <v>0</v>
      </c>
      <c r="S115" s="274">
        <f ca="1">Tablo6[[#This Row],[Giriş sayı]]-Tablo6[[#This Row],[Satılan sayı]]</f>
        <v>0</v>
      </c>
    </row>
    <row r="116" spans="4:19" ht="17.25">
      <c r="D116" s="256">
        <f t="shared" si="3"/>
        <v>45616</v>
      </c>
      <c r="E116" s="23" t="s">
        <v>1371</v>
      </c>
      <c r="F116" s="15"/>
      <c r="G116" s="15" t="s">
        <v>1239</v>
      </c>
      <c r="H116" s="259" t="s">
        <v>1375</v>
      </c>
      <c r="I116" s="259" t="str">
        <f>CONCATENATE(Tablo6[[#This Row],[Məhsul adı]]," ",Tablo6[[#This Row],[Rəng]])</f>
        <v>Mərmər Profili Açıq antrasit</v>
      </c>
      <c r="J116" s="23" t="str">
        <f>CONCATENATE(Tablo6[[#This Row],[Məhsul adı]]," ",Tablo6[[#This Row],[Tip]]," ",Tablo6[[#This Row],[Rəng]])</f>
        <v>Mərmər Profili  Açıq antrasit</v>
      </c>
      <c r="K116" s="247" t="s">
        <v>1235</v>
      </c>
      <c r="L116" s="270"/>
      <c r="M116" s="271"/>
      <c r="N116" s="271">
        <f>Tablo6[[#This Row],[Alış qiyməti]]*Tablo6[[#This Row],[Giriş sayı]]</f>
        <v>0</v>
      </c>
      <c r="O116" s="271"/>
      <c r="P116" s="272">
        <f ca="1">Tablo6[[#This Row],[Satılan sayı]]*Tablo6[[#This Row],[Satış qiyməti]]</f>
        <v>0</v>
      </c>
      <c r="Q116" s="272">
        <f ca="1">(Tablo6[[#This Row],[Satış qiyməti]]-Tablo6[[#This Row],[Alış qiyməti]])*Tablo6[[#This Row],[Satılan sayı]]</f>
        <v>0</v>
      </c>
      <c r="R116" s="273">
        <f ca="1">SUMIF(Sifarisler!$M:$AH,Tablo6[[#This Row],[Məhsul kodu]],Sifarisler!N:AH)</f>
        <v>0</v>
      </c>
      <c r="S116" s="274">
        <f ca="1">Tablo6[[#This Row],[Giriş sayı]]-Tablo6[[#This Row],[Satılan sayı]]</f>
        <v>0</v>
      </c>
    </row>
    <row r="117" spans="4:19" ht="17.25">
      <c r="D117" s="256">
        <f t="shared" si="3"/>
        <v>45616</v>
      </c>
      <c r="E117" s="23" t="s">
        <v>1371</v>
      </c>
      <c r="F117" s="15"/>
      <c r="G117" s="15" t="s">
        <v>1241</v>
      </c>
      <c r="H117" s="259" t="s">
        <v>1376</v>
      </c>
      <c r="I117" s="259" t="str">
        <f>CONCATENATE(Tablo6[[#This Row],[Məhsul adı]]," ",Tablo6[[#This Row],[Rəng]])</f>
        <v>Mərmər Profili Kofe</v>
      </c>
      <c r="J117" s="23" t="str">
        <f>CONCATENATE(Tablo6[[#This Row],[Məhsul adı]]," ",Tablo6[[#This Row],[Tip]]," ",Tablo6[[#This Row],[Rəng]])</f>
        <v>Mərmər Profili  Kofe</v>
      </c>
      <c r="K117" s="247" t="s">
        <v>1235</v>
      </c>
      <c r="L117" s="270"/>
      <c r="M117" s="271"/>
      <c r="N117" s="271">
        <f>Tablo6[[#This Row],[Alış qiyməti]]*Tablo6[[#This Row],[Giriş sayı]]</f>
        <v>0</v>
      </c>
      <c r="O117" s="271"/>
      <c r="P117" s="272">
        <f ca="1">Tablo6[[#This Row],[Satılan sayı]]*Tablo6[[#This Row],[Satış qiyməti]]</f>
        <v>0</v>
      </c>
      <c r="Q117" s="272">
        <f ca="1">(Tablo6[[#This Row],[Satış qiyməti]]-Tablo6[[#This Row],[Alış qiyməti]])*Tablo6[[#This Row],[Satılan sayı]]</f>
        <v>0</v>
      </c>
      <c r="R117" s="273">
        <f ca="1">SUMIF(Sifarisler!$M:$AH,Tablo6[[#This Row],[Məhsul kodu]],Sifarisler!N:AH)</f>
        <v>0</v>
      </c>
      <c r="S117" s="274">
        <f ca="1">Tablo6[[#This Row],[Giriş sayı]]-Tablo6[[#This Row],[Satılan sayı]]</f>
        <v>0</v>
      </c>
    </row>
    <row r="118" spans="4:19" ht="17.25">
      <c r="D118" s="256">
        <f t="shared" si="3"/>
        <v>45616</v>
      </c>
      <c r="E118" s="23" t="s">
        <v>1377</v>
      </c>
      <c r="F118" s="15"/>
      <c r="G118" s="15" t="s">
        <v>257</v>
      </c>
      <c r="H118" s="259" t="s">
        <v>1378</v>
      </c>
      <c r="I118" s="259" t="str">
        <f>CONCATENATE(Tablo6[[#This Row],[Məhsul adı]]," ",Tablo6[[#This Row],[Rəng]])</f>
        <v>Düz Petlə 2x2 Qara</v>
      </c>
      <c r="J118" s="23" t="str">
        <f>CONCATENATE(Tablo6[[#This Row],[Məhsul adı]]," ",Tablo6[[#This Row],[Tip]]," ",Tablo6[[#This Row],[Rəng]])</f>
        <v>Düz Petlə 2x2  Qara</v>
      </c>
      <c r="K118" s="247" t="s">
        <v>1235</v>
      </c>
      <c r="L118" s="270"/>
      <c r="M118" s="271"/>
      <c r="N118" s="271">
        <f>Tablo6[[#This Row],[Alış qiyməti]]*Tablo6[[#This Row],[Giriş sayı]]</f>
        <v>0</v>
      </c>
      <c r="O118" s="271"/>
      <c r="P118" s="272">
        <f ca="1">Tablo6[[#This Row],[Satılan sayı]]*Tablo6[[#This Row],[Satış qiyməti]]</f>
        <v>0</v>
      </c>
      <c r="Q118" s="272">
        <f ca="1">(Tablo6[[#This Row],[Satış qiyməti]]-Tablo6[[#This Row],[Alış qiyməti]])*Tablo6[[#This Row],[Satılan sayı]]</f>
        <v>0</v>
      </c>
      <c r="R118" s="273">
        <f ca="1">SUMIF(Sifarisler!$M:$AH,Tablo6[[#This Row],[Məhsul kodu]],Sifarisler!N:AH)</f>
        <v>0</v>
      </c>
      <c r="S118" s="274">
        <f ca="1">Tablo6[[#This Row],[Giriş sayı]]-Tablo6[[#This Row],[Satılan sayı]]</f>
        <v>0</v>
      </c>
    </row>
    <row r="119" spans="4:19" ht="17.25">
      <c r="D119" s="256">
        <f t="shared" si="3"/>
        <v>45616</v>
      </c>
      <c r="E119" s="23" t="s">
        <v>1379</v>
      </c>
      <c r="F119" s="15"/>
      <c r="G119" s="15" t="s">
        <v>257</v>
      </c>
      <c r="H119" s="259" t="s">
        <v>1380</v>
      </c>
      <c r="I119" s="259" t="str">
        <f>CONCATENATE(Tablo6[[#This Row],[Məhsul adı]]," ",Tablo6[[#This Row],[Rəng]])</f>
        <v>Yarım Dəvə 2x2 Qara</v>
      </c>
      <c r="J119" s="23" t="str">
        <f>CONCATENATE(Tablo6[[#This Row],[Məhsul adı]]," ",Tablo6[[#This Row],[Tip]]," ",Tablo6[[#This Row],[Rəng]])</f>
        <v>Yarım Dəvə 2x2  Qara</v>
      </c>
      <c r="K119" s="247" t="s">
        <v>1235</v>
      </c>
      <c r="L119" s="270"/>
      <c r="M119" s="271"/>
      <c r="N119" s="271">
        <f>Tablo6[[#This Row],[Alış qiyməti]]*Tablo6[[#This Row],[Giriş sayı]]</f>
        <v>0</v>
      </c>
      <c r="O119" s="271"/>
      <c r="P119" s="272">
        <f ca="1">Tablo6[[#This Row],[Satılan sayı]]*Tablo6[[#This Row],[Satış qiyməti]]</f>
        <v>0</v>
      </c>
      <c r="Q119" s="272">
        <f ca="1">(Tablo6[[#This Row],[Satış qiyməti]]-Tablo6[[#This Row],[Alış qiyməti]])*Tablo6[[#This Row],[Satılan sayı]]</f>
        <v>0</v>
      </c>
      <c r="R119" s="273">
        <f ca="1">SUMIF(Sifarisler!$M:$AH,Tablo6[[#This Row],[Məhsul kodu]],Sifarisler!N:AH)</f>
        <v>0</v>
      </c>
      <c r="S119" s="274">
        <f ca="1">Tablo6[[#This Row],[Giriş sayı]]-Tablo6[[#This Row],[Satılan sayı]]</f>
        <v>0</v>
      </c>
    </row>
    <row r="120" spans="4:19" ht="17.25">
      <c r="D120" s="256">
        <f t="shared" si="3"/>
        <v>45616</v>
      </c>
      <c r="E120" s="23" t="s">
        <v>1381</v>
      </c>
      <c r="F120" s="15"/>
      <c r="G120" s="15" t="s">
        <v>257</v>
      </c>
      <c r="H120" s="259" t="s">
        <v>1382</v>
      </c>
      <c r="I120" s="259" t="str">
        <f>CONCATENATE(Tablo6[[#This Row],[Məhsul adı]]," ",Tablo6[[#This Row],[Rəng]])</f>
        <v>Tam Dəvə 2x2 Qara</v>
      </c>
      <c r="J120" s="23" t="str">
        <f>CONCATENATE(Tablo6[[#This Row],[Məhsul adı]]," ",Tablo6[[#This Row],[Tip]]," ",Tablo6[[#This Row],[Rəng]])</f>
        <v>Tam Dəvə 2x2  Qara</v>
      </c>
      <c r="K120" s="247" t="s">
        <v>1235</v>
      </c>
      <c r="L120" s="270"/>
      <c r="M120" s="271"/>
      <c r="N120" s="271">
        <f>Tablo6[[#This Row],[Alış qiyməti]]*Tablo6[[#This Row],[Giriş sayı]]</f>
        <v>0</v>
      </c>
      <c r="O120" s="271"/>
      <c r="P120" s="272">
        <f ca="1">Tablo6[[#This Row],[Satılan sayı]]*Tablo6[[#This Row],[Satış qiyməti]]</f>
        <v>0</v>
      </c>
      <c r="Q120" s="272">
        <f ca="1">(Tablo6[[#This Row],[Satış qiyməti]]-Tablo6[[#This Row],[Alış qiyməti]])*Tablo6[[#This Row],[Satılan sayı]]</f>
        <v>0</v>
      </c>
      <c r="R120" s="273">
        <f ca="1">SUMIF(Sifarisler!$M:$AH,Tablo6[[#This Row],[Məhsul kodu]],Sifarisler!N:AH)</f>
        <v>0</v>
      </c>
      <c r="S120" s="274">
        <f ca="1">Tablo6[[#This Row],[Giriş sayı]]-Tablo6[[#This Row],[Satılan sayı]]</f>
        <v>0</v>
      </c>
    </row>
    <row r="121" spans="4:19" ht="17.25">
      <c r="D121" s="256">
        <f t="shared" si="3"/>
        <v>45616</v>
      </c>
      <c r="E121" s="23" t="s">
        <v>1383</v>
      </c>
      <c r="F121" s="15"/>
      <c r="G121" s="15"/>
      <c r="H121" s="259" t="s">
        <v>1384</v>
      </c>
      <c r="I121" s="259" t="str">
        <f>CONCATENATE(Tablo6[[#This Row],[Məhsul adı]]," ",Tablo6[[#This Row],[Rəng]])</f>
        <v xml:space="preserve">Gizli Petlə </v>
      </c>
      <c r="J121" s="23" t="str">
        <f>CONCATENATE(Tablo6[[#This Row],[Məhsul adı]]," ",Tablo6[[#This Row],[Tip]]," ",Tablo6[[#This Row],[Rəng]])</f>
        <v xml:space="preserve">Gizli Petlə  </v>
      </c>
      <c r="K121" s="247" t="s">
        <v>1235</v>
      </c>
      <c r="L121" s="270"/>
      <c r="M121" s="271"/>
      <c r="N121" s="271">
        <f>Tablo6[[#This Row],[Alış qiyməti]]*Tablo6[[#This Row],[Giriş sayı]]</f>
        <v>0</v>
      </c>
      <c r="O121" s="271"/>
      <c r="P121" s="272">
        <f ca="1">Tablo6[[#This Row],[Satılan sayı]]*Tablo6[[#This Row],[Satış qiyməti]]</f>
        <v>0</v>
      </c>
      <c r="Q121" s="272">
        <f ca="1">(Tablo6[[#This Row],[Satış qiyməti]]-Tablo6[[#This Row],[Alış qiyməti]])*Tablo6[[#This Row],[Satılan sayı]]</f>
        <v>0</v>
      </c>
      <c r="R121" s="273">
        <f ca="1">SUMIF(Sifarisler!$M:$AH,Tablo6[[#This Row],[Məhsul kodu]],Sifarisler!N:AH)</f>
        <v>0</v>
      </c>
      <c r="S121" s="274">
        <f ca="1">Tablo6[[#This Row],[Giriş sayı]]-Tablo6[[#This Row],[Satılan sayı]]</f>
        <v>0</v>
      </c>
    </row>
    <row r="122" spans="4:19" ht="17.25">
      <c r="D122" s="256">
        <f t="shared" si="3"/>
        <v>45616</v>
      </c>
      <c r="E122" s="23" t="s">
        <v>1385</v>
      </c>
      <c r="F122" s="15"/>
      <c r="G122" s="15" t="s">
        <v>257</v>
      </c>
      <c r="H122" s="259" t="s">
        <v>1386</v>
      </c>
      <c r="I122" s="259" t="str">
        <f>CONCATENATE(Tablo6[[#This Row],[Məhsul adı]]," ",Tablo6[[#This Row],[Rəng]])</f>
        <v>Gizli Qapı Petləsi Qara</v>
      </c>
      <c r="J122" s="23" t="str">
        <f>CONCATENATE(Tablo6[[#This Row],[Məhsul adı]]," ",Tablo6[[#This Row],[Tip]]," ",Tablo6[[#This Row],[Rəng]])</f>
        <v>Gizli Qapı Petləsi  Qara</v>
      </c>
      <c r="K122" s="247" t="s">
        <v>1235</v>
      </c>
      <c r="L122" s="270"/>
      <c r="M122" s="271"/>
      <c r="N122" s="271">
        <f>Tablo6[[#This Row],[Alış qiyməti]]*Tablo6[[#This Row],[Giriş sayı]]</f>
        <v>0</v>
      </c>
      <c r="O122" s="271"/>
      <c r="P122" s="272">
        <f ca="1">Tablo6[[#This Row],[Satılan sayı]]*Tablo6[[#This Row],[Satış qiyməti]]</f>
        <v>0</v>
      </c>
      <c r="Q122" s="272">
        <f ca="1">(Tablo6[[#This Row],[Satış qiyməti]]-Tablo6[[#This Row],[Alış qiyməti]])*Tablo6[[#This Row],[Satılan sayı]]</f>
        <v>0</v>
      </c>
      <c r="R122" s="273">
        <f ca="1">SUMIF(Sifarisler!$M:$AH,Tablo6[[#This Row],[Məhsul kodu]],Sifarisler!N:AH)</f>
        <v>0</v>
      </c>
      <c r="S122" s="274">
        <f ca="1">Tablo6[[#This Row],[Giriş sayı]]-Tablo6[[#This Row],[Satılan sayı]]</f>
        <v>0</v>
      </c>
    </row>
    <row r="123" spans="4:19" ht="17.25">
      <c r="D123" s="256">
        <f t="shared" si="3"/>
        <v>45616</v>
      </c>
      <c r="E123" s="23" t="s">
        <v>1385</v>
      </c>
      <c r="F123" s="15"/>
      <c r="G123" s="15" t="s">
        <v>1387</v>
      </c>
      <c r="H123" s="259" t="s">
        <v>1388</v>
      </c>
      <c r="I123" s="259" t="str">
        <f>CONCATENATE(Tablo6[[#This Row],[Məhsul adı]]," ",Tablo6[[#This Row],[Rəng]])</f>
        <v>Gizli Qapı Petləsi İnox</v>
      </c>
      <c r="J123" s="23" t="str">
        <f>CONCATENATE(Tablo6[[#This Row],[Məhsul adı]]," ",Tablo6[[#This Row],[Tip]]," ",Tablo6[[#This Row],[Rəng]])</f>
        <v>Gizli Qapı Petləsi  İnox</v>
      </c>
      <c r="K123" s="247" t="s">
        <v>1235</v>
      </c>
      <c r="L123" s="270"/>
      <c r="M123" s="271"/>
      <c r="N123" s="271">
        <f>Tablo6[[#This Row],[Alış qiyməti]]*Tablo6[[#This Row],[Giriş sayı]]</f>
        <v>0</v>
      </c>
      <c r="O123" s="271"/>
      <c r="P123" s="272">
        <f ca="1">Tablo6[[#This Row],[Satılan sayı]]*Tablo6[[#This Row],[Satış qiyməti]]</f>
        <v>0</v>
      </c>
      <c r="Q123" s="272">
        <f ca="1">(Tablo6[[#This Row],[Satış qiyməti]]-Tablo6[[#This Row],[Alış qiyməti]])*Tablo6[[#This Row],[Satılan sayı]]</f>
        <v>0</v>
      </c>
      <c r="R123" s="273">
        <f ca="1">SUMIF(Sifarisler!$M:$AH,Tablo6[[#This Row],[Məhsul kodu]],Sifarisler!N:AH)</f>
        <v>0</v>
      </c>
      <c r="S123" s="274">
        <f ca="1">Tablo6[[#This Row],[Giriş sayı]]-Tablo6[[#This Row],[Satılan sayı]]</f>
        <v>0</v>
      </c>
    </row>
    <row r="124" spans="4:19" ht="17.25">
      <c r="D124" s="256">
        <f t="shared" si="3"/>
        <v>45616</v>
      </c>
      <c r="E124" s="23" t="s">
        <v>1389</v>
      </c>
      <c r="F124" s="15"/>
      <c r="G124" s="15"/>
      <c r="H124" s="259" t="s">
        <v>1390</v>
      </c>
      <c r="I124" s="259" t="str">
        <f>CONCATENATE(Tablo6[[#This Row],[Məhsul adı]]," ",Tablo6[[#This Row],[Rəng]])</f>
        <v xml:space="preserve">Düz Petlə 2x2 DİSO </v>
      </c>
      <c r="J124" s="23" t="str">
        <f>CONCATENATE(Tablo6[[#This Row],[Məhsul adı]]," ",Tablo6[[#This Row],[Tip]]," ",Tablo6[[#This Row],[Rəng]])</f>
        <v xml:space="preserve">Düz Petlə 2x2 DİSO  </v>
      </c>
      <c r="K124" s="247" t="s">
        <v>1235</v>
      </c>
      <c r="L124" s="270"/>
      <c r="M124" s="271"/>
      <c r="N124" s="271">
        <f>Tablo6[[#This Row],[Alış qiyməti]]*Tablo6[[#This Row],[Giriş sayı]]</f>
        <v>0</v>
      </c>
      <c r="O124" s="271"/>
      <c r="P124" s="272">
        <f ca="1">Tablo6[[#This Row],[Satılan sayı]]*Tablo6[[#This Row],[Satış qiyməti]]</f>
        <v>0</v>
      </c>
      <c r="Q124" s="272">
        <f ca="1">(Tablo6[[#This Row],[Satış qiyməti]]-Tablo6[[#This Row],[Alış qiyməti]])*Tablo6[[#This Row],[Satılan sayı]]</f>
        <v>0</v>
      </c>
      <c r="R124" s="273">
        <f ca="1">SUMIF(Sifarisler!$M:$AH,Tablo6[[#This Row],[Məhsul kodu]],Sifarisler!N:AH)</f>
        <v>0</v>
      </c>
      <c r="S124" s="274">
        <f ca="1">Tablo6[[#This Row],[Giriş sayı]]-Tablo6[[#This Row],[Satılan sayı]]</f>
        <v>0</v>
      </c>
    </row>
    <row r="125" spans="4:19" ht="17.25">
      <c r="D125" s="256">
        <f t="shared" si="3"/>
        <v>45616</v>
      </c>
      <c r="E125" s="23" t="s">
        <v>1391</v>
      </c>
      <c r="F125" s="15"/>
      <c r="G125" s="15" t="s">
        <v>257</v>
      </c>
      <c r="H125" s="259" t="s">
        <v>1392</v>
      </c>
      <c r="I125" s="259" t="str">
        <f>CONCATENATE(Tablo6[[#This Row],[Məhsul adı]]," ",Tablo6[[#This Row],[Rəng]])</f>
        <v>Turba Qara</v>
      </c>
      <c r="J125" s="23" t="str">
        <f>CONCATENATE(Tablo6[[#This Row],[Məhsul adı]]," ",Tablo6[[#This Row],[Tip]]," ",Tablo6[[#This Row],[Rəng]])</f>
        <v>Turba  Qara</v>
      </c>
      <c r="K125" s="247" t="s">
        <v>1235</v>
      </c>
      <c r="L125" s="270"/>
      <c r="M125" s="271"/>
      <c r="N125" s="271">
        <f>Tablo6[[#This Row],[Alış qiyməti]]*Tablo6[[#This Row],[Giriş sayı]]</f>
        <v>0</v>
      </c>
      <c r="O125" s="271"/>
      <c r="P125" s="272">
        <f ca="1">Tablo6[[#This Row],[Satılan sayı]]*Tablo6[[#This Row],[Satış qiyməti]]</f>
        <v>0</v>
      </c>
      <c r="Q125" s="272">
        <f ca="1">(Tablo6[[#This Row],[Satış qiyməti]]-Tablo6[[#This Row],[Alış qiyməti]])*Tablo6[[#This Row],[Satılan sayı]]</f>
        <v>0</v>
      </c>
      <c r="R125" s="273">
        <f ca="1">SUMIF(Sifarisler!$M:$AH,Tablo6[[#This Row],[Məhsul kodu]],Sifarisler!N:AH)</f>
        <v>0</v>
      </c>
      <c r="S125" s="274">
        <f ca="1">Tablo6[[#This Row],[Giriş sayı]]-Tablo6[[#This Row],[Satılan sayı]]</f>
        <v>0</v>
      </c>
    </row>
    <row r="126" spans="4:19" ht="17.25">
      <c r="D126" s="256">
        <f t="shared" si="3"/>
        <v>45616</v>
      </c>
      <c r="E126" s="23" t="s">
        <v>1391</v>
      </c>
      <c r="F126" s="15"/>
      <c r="G126" s="15" t="s">
        <v>629</v>
      </c>
      <c r="H126" s="259" t="s">
        <v>1393</v>
      </c>
      <c r="I126" s="259" t="str">
        <f>CONCATENATE(Tablo6[[#This Row],[Məhsul adı]]," ",Tablo6[[#This Row],[Rəng]])</f>
        <v>Turba Qızılı</v>
      </c>
      <c r="J126" s="23" t="str">
        <f>CONCATENATE(Tablo6[[#This Row],[Məhsul adı]]," ",Tablo6[[#This Row],[Tip]]," ",Tablo6[[#This Row],[Rəng]])</f>
        <v>Turba  Qızılı</v>
      </c>
      <c r="K126" s="247" t="s">
        <v>1235</v>
      </c>
      <c r="L126" s="270"/>
      <c r="M126" s="271"/>
      <c r="N126" s="271">
        <f>Tablo6[[#This Row],[Alış qiyməti]]*Tablo6[[#This Row],[Giriş sayı]]</f>
        <v>0</v>
      </c>
      <c r="O126" s="271"/>
      <c r="P126" s="272">
        <f ca="1">Tablo6[[#This Row],[Satılan sayı]]*Tablo6[[#This Row],[Satış qiyməti]]</f>
        <v>0</v>
      </c>
      <c r="Q126" s="272">
        <f ca="1">(Tablo6[[#This Row],[Satış qiyməti]]-Tablo6[[#This Row],[Alış qiyməti]])*Tablo6[[#This Row],[Satılan sayı]]</f>
        <v>0</v>
      </c>
      <c r="R126" s="273">
        <f ca="1">SUMIF(Sifarisler!$M:$AH,Tablo6[[#This Row],[Məhsul kodu]],Sifarisler!N:AH)</f>
        <v>0</v>
      </c>
      <c r="S126" s="274">
        <f ca="1">Tablo6[[#This Row],[Giriş sayı]]-Tablo6[[#This Row],[Satılan sayı]]</f>
        <v>0</v>
      </c>
    </row>
    <row r="127" spans="4:19" ht="17.25">
      <c r="D127" s="256">
        <f t="shared" si="3"/>
        <v>45616</v>
      </c>
      <c r="E127" s="23" t="s">
        <v>1391</v>
      </c>
      <c r="F127" s="15"/>
      <c r="G127" s="15" t="s">
        <v>1237</v>
      </c>
      <c r="H127" s="259" t="s">
        <v>1394</v>
      </c>
      <c r="I127" s="259" t="str">
        <f>CONCATENATE(Tablo6[[#This Row],[Məhsul adı]]," ",Tablo6[[#This Row],[Rəng]])</f>
        <v>Turba Antrasit</v>
      </c>
      <c r="J127" s="23" t="str">
        <f>CONCATENATE(Tablo6[[#This Row],[Məhsul adı]]," ",Tablo6[[#This Row],[Tip]]," ",Tablo6[[#This Row],[Rəng]])</f>
        <v>Turba  Antrasit</v>
      </c>
      <c r="K127" s="247" t="s">
        <v>1235</v>
      </c>
      <c r="L127" s="270"/>
      <c r="M127" s="271"/>
      <c r="N127" s="271">
        <f>Tablo6[[#This Row],[Alış qiyməti]]*Tablo6[[#This Row],[Giriş sayı]]</f>
        <v>0</v>
      </c>
      <c r="O127" s="271"/>
      <c r="P127" s="272">
        <f ca="1">Tablo6[[#This Row],[Satılan sayı]]*Tablo6[[#This Row],[Satış qiyməti]]</f>
        <v>0</v>
      </c>
      <c r="Q127" s="272">
        <f ca="1">(Tablo6[[#This Row],[Satış qiyməti]]-Tablo6[[#This Row],[Alış qiyməti]])*Tablo6[[#This Row],[Satılan sayı]]</f>
        <v>0</v>
      </c>
      <c r="R127" s="273">
        <f ca="1">SUMIF(Sifarisler!$M:$AH,Tablo6[[#This Row],[Məhsul kodu]],Sifarisler!N:AH)</f>
        <v>0</v>
      </c>
      <c r="S127" s="274">
        <f ca="1">Tablo6[[#This Row],[Giriş sayı]]-Tablo6[[#This Row],[Satılan sayı]]</f>
        <v>0</v>
      </c>
    </row>
    <row r="128" spans="4:19" ht="17.25">
      <c r="D128" s="256">
        <f t="shared" si="3"/>
        <v>45616</v>
      </c>
      <c r="E128" s="23" t="s">
        <v>1391</v>
      </c>
      <c r="F128" s="15"/>
      <c r="G128" s="15" t="s">
        <v>1239</v>
      </c>
      <c r="H128" s="259" t="s">
        <v>1395</v>
      </c>
      <c r="I128" s="259" t="str">
        <f>CONCATENATE(Tablo6[[#This Row],[Məhsul adı]]," ",Tablo6[[#This Row],[Rəng]])</f>
        <v>Turba Açıq antrasit</v>
      </c>
      <c r="J128" s="23" t="str">
        <f>CONCATENATE(Tablo6[[#This Row],[Məhsul adı]]," ",Tablo6[[#This Row],[Tip]]," ",Tablo6[[#This Row],[Rəng]])</f>
        <v>Turba  Açıq antrasit</v>
      </c>
      <c r="K128" s="247" t="s">
        <v>1235</v>
      </c>
      <c r="L128" s="270"/>
      <c r="M128" s="271"/>
      <c r="N128" s="271">
        <f>Tablo6[[#This Row],[Alış qiyməti]]*Tablo6[[#This Row],[Giriş sayı]]</f>
        <v>0</v>
      </c>
      <c r="O128" s="271"/>
      <c r="P128" s="272">
        <f ca="1">Tablo6[[#This Row],[Satılan sayı]]*Tablo6[[#This Row],[Satış qiyməti]]</f>
        <v>0</v>
      </c>
      <c r="Q128" s="272">
        <f ca="1">(Tablo6[[#This Row],[Satış qiyməti]]-Tablo6[[#This Row],[Alış qiyməti]])*Tablo6[[#This Row],[Satılan sayı]]</f>
        <v>0</v>
      </c>
      <c r="R128" s="273">
        <f ca="1">SUMIF(Sifarisler!$M:$AH,Tablo6[[#This Row],[Məhsul kodu]],Sifarisler!N:AH)</f>
        <v>0</v>
      </c>
      <c r="S128" s="274">
        <f ca="1">Tablo6[[#This Row],[Giriş sayı]]-Tablo6[[#This Row],[Satılan sayı]]</f>
        <v>0</v>
      </c>
    </row>
    <row r="129" spans="4:19" ht="17.25">
      <c r="D129" s="256">
        <f t="shared" si="3"/>
        <v>45616</v>
      </c>
      <c r="E129" s="23" t="s">
        <v>1391</v>
      </c>
      <c r="F129" s="15"/>
      <c r="G129" s="15" t="s">
        <v>1241</v>
      </c>
      <c r="H129" s="259" t="s">
        <v>1396</v>
      </c>
      <c r="I129" s="259" t="str">
        <f>CONCATENATE(Tablo6[[#This Row],[Məhsul adı]]," ",Tablo6[[#This Row],[Rəng]])</f>
        <v>Turba Kofe</v>
      </c>
      <c r="J129" s="23" t="str">
        <f>CONCATENATE(Tablo6[[#This Row],[Məhsul adı]]," ",Tablo6[[#This Row],[Tip]]," ",Tablo6[[#This Row],[Rəng]])</f>
        <v>Turba  Kofe</v>
      </c>
      <c r="K129" s="247" t="s">
        <v>1235</v>
      </c>
      <c r="L129" s="270"/>
      <c r="M129" s="271"/>
      <c r="N129" s="271">
        <f>Tablo6[[#This Row],[Alış qiyməti]]*Tablo6[[#This Row],[Giriş sayı]]</f>
        <v>0</v>
      </c>
      <c r="O129" s="271"/>
      <c r="P129" s="272">
        <f ca="1">Tablo6[[#This Row],[Satılan sayı]]*Tablo6[[#This Row],[Satış qiyməti]]</f>
        <v>0</v>
      </c>
      <c r="Q129" s="272">
        <f ca="1">(Tablo6[[#This Row],[Satış qiyməti]]-Tablo6[[#This Row],[Alış qiyməti]])*Tablo6[[#This Row],[Satılan sayı]]</f>
        <v>0</v>
      </c>
      <c r="R129" s="273">
        <f ca="1">SUMIF(Sifarisler!$M:$AH,Tablo6[[#This Row],[Məhsul kodu]],Sifarisler!N:AH)</f>
        <v>0</v>
      </c>
      <c r="S129" s="274">
        <f ca="1">Tablo6[[#This Row],[Giriş sayı]]-Tablo6[[#This Row],[Satılan sayı]]</f>
        <v>0</v>
      </c>
    </row>
    <row r="130" spans="4:19" ht="17.25">
      <c r="D130" s="256">
        <f t="shared" si="3"/>
        <v>45616</v>
      </c>
      <c r="E130" s="23" t="s">
        <v>1397</v>
      </c>
      <c r="F130" s="15"/>
      <c r="G130" s="15" t="s">
        <v>257</v>
      </c>
      <c r="H130" s="259" t="s">
        <v>1398</v>
      </c>
      <c r="I130" s="259" t="str">
        <f>CONCATENATE(Tablo6[[#This Row],[Məhsul adı]]," ",Tablo6[[#This Row],[Rəng]])</f>
        <v>Başlıq Qara</v>
      </c>
      <c r="J130" s="23" t="str">
        <f>CONCATENATE(Tablo6[[#This Row],[Məhsul adı]]," ",Tablo6[[#This Row],[Tip]]," ",Tablo6[[#This Row],[Rəng]])</f>
        <v>Başlıq  Qara</v>
      </c>
      <c r="K130" s="247" t="s">
        <v>1235</v>
      </c>
      <c r="L130" s="270"/>
      <c r="M130" s="271"/>
      <c r="N130" s="271">
        <f>Tablo6[[#This Row],[Alış qiyməti]]*Tablo6[[#This Row],[Giriş sayı]]</f>
        <v>0</v>
      </c>
      <c r="O130" s="271"/>
      <c r="P130" s="272">
        <f ca="1">Tablo6[[#This Row],[Satılan sayı]]*Tablo6[[#This Row],[Satış qiyməti]]</f>
        <v>0</v>
      </c>
      <c r="Q130" s="272">
        <f ca="1">(Tablo6[[#This Row],[Satış qiyməti]]-Tablo6[[#This Row],[Alış qiyməti]])*Tablo6[[#This Row],[Satılan sayı]]</f>
        <v>0</v>
      </c>
      <c r="R130" s="273">
        <f ca="1">SUMIF(Sifarisler!$M:$AH,Tablo6[[#This Row],[Məhsul kodu]],Sifarisler!N:AH)</f>
        <v>0</v>
      </c>
      <c r="S130" s="274">
        <f ca="1">Tablo6[[#This Row],[Giriş sayı]]-Tablo6[[#This Row],[Satılan sayı]]</f>
        <v>0</v>
      </c>
    </row>
    <row r="131" spans="4:19" ht="17.25">
      <c r="D131" s="256">
        <f t="shared" si="3"/>
        <v>45616</v>
      </c>
      <c r="E131" s="23" t="s">
        <v>1397</v>
      </c>
      <c r="F131" s="15"/>
      <c r="G131" s="15" t="s">
        <v>629</v>
      </c>
      <c r="H131" s="259" t="s">
        <v>1399</v>
      </c>
      <c r="I131" s="259" t="str">
        <f>CONCATENATE(Tablo6[[#This Row],[Məhsul adı]]," ",Tablo6[[#This Row],[Rəng]])</f>
        <v>Başlıq Qızılı</v>
      </c>
      <c r="J131" s="23" t="str">
        <f>CONCATENATE(Tablo6[[#This Row],[Məhsul adı]]," ",Tablo6[[#This Row],[Tip]]," ",Tablo6[[#This Row],[Rəng]])</f>
        <v>Başlıq  Qızılı</v>
      </c>
      <c r="K131" s="247" t="s">
        <v>1235</v>
      </c>
      <c r="L131" s="270"/>
      <c r="M131" s="271"/>
      <c r="N131" s="271">
        <f>Tablo6[[#This Row],[Alış qiyməti]]*Tablo6[[#This Row],[Giriş sayı]]</f>
        <v>0</v>
      </c>
      <c r="O131" s="271"/>
      <c r="P131" s="272">
        <f ca="1">Tablo6[[#This Row],[Satılan sayı]]*Tablo6[[#This Row],[Satış qiyməti]]</f>
        <v>0</v>
      </c>
      <c r="Q131" s="272">
        <f ca="1">(Tablo6[[#This Row],[Satış qiyməti]]-Tablo6[[#This Row],[Alış qiyməti]])*Tablo6[[#This Row],[Satılan sayı]]</f>
        <v>0</v>
      </c>
      <c r="R131" s="273">
        <f ca="1">SUMIF(Sifarisler!$M:$AH,Tablo6[[#This Row],[Məhsul kodu]],Sifarisler!N:AH)</f>
        <v>0</v>
      </c>
      <c r="S131" s="274">
        <f ca="1">Tablo6[[#This Row],[Giriş sayı]]-Tablo6[[#This Row],[Satılan sayı]]</f>
        <v>0</v>
      </c>
    </row>
    <row r="132" spans="4:19" ht="17.25">
      <c r="D132" s="256">
        <f t="shared" ref="D132:D163" si="4">DATE(2024,11,20)</f>
        <v>45616</v>
      </c>
      <c r="E132" s="23" t="s">
        <v>1397</v>
      </c>
      <c r="F132" s="15"/>
      <c r="G132" s="15" t="s">
        <v>1237</v>
      </c>
      <c r="H132" s="259" t="s">
        <v>1400</v>
      </c>
      <c r="I132" s="259" t="str">
        <f>CONCATENATE(Tablo6[[#This Row],[Məhsul adı]]," ",Tablo6[[#This Row],[Rəng]])</f>
        <v>Başlıq Antrasit</v>
      </c>
      <c r="J132" s="23" t="str">
        <f>CONCATENATE(Tablo6[[#This Row],[Məhsul adı]]," ",Tablo6[[#This Row],[Tip]]," ",Tablo6[[#This Row],[Rəng]])</f>
        <v>Başlıq  Antrasit</v>
      </c>
      <c r="K132" s="247" t="s">
        <v>1235</v>
      </c>
      <c r="L132" s="270"/>
      <c r="M132" s="271"/>
      <c r="N132" s="271">
        <f>Tablo6[[#This Row],[Alış qiyməti]]*Tablo6[[#This Row],[Giriş sayı]]</f>
        <v>0</v>
      </c>
      <c r="O132" s="271"/>
      <c r="P132" s="272">
        <f ca="1">Tablo6[[#This Row],[Satılan sayı]]*Tablo6[[#This Row],[Satış qiyməti]]</f>
        <v>0</v>
      </c>
      <c r="Q132" s="272">
        <f ca="1">(Tablo6[[#This Row],[Satış qiyməti]]-Tablo6[[#This Row],[Alış qiyməti]])*Tablo6[[#This Row],[Satılan sayı]]</f>
        <v>0</v>
      </c>
      <c r="R132" s="273">
        <f ca="1">SUMIF(Sifarisler!$M:$AH,Tablo6[[#This Row],[Məhsul kodu]],Sifarisler!N:AH)</f>
        <v>0</v>
      </c>
      <c r="S132" s="274">
        <f ca="1">Tablo6[[#This Row],[Giriş sayı]]-Tablo6[[#This Row],[Satılan sayı]]</f>
        <v>0</v>
      </c>
    </row>
    <row r="133" spans="4:19" ht="17.25">
      <c r="D133" s="256">
        <f t="shared" si="4"/>
        <v>45616</v>
      </c>
      <c r="E133" s="23" t="s">
        <v>1397</v>
      </c>
      <c r="F133" s="15"/>
      <c r="G133" s="15" t="s">
        <v>1239</v>
      </c>
      <c r="H133" s="259" t="s">
        <v>1401</v>
      </c>
      <c r="I133" s="259" t="str">
        <f>CONCATENATE(Tablo6[[#This Row],[Məhsul adı]]," ",Tablo6[[#This Row],[Rəng]])</f>
        <v>Başlıq Açıq antrasit</v>
      </c>
      <c r="J133" s="23" t="str">
        <f>CONCATENATE(Tablo6[[#This Row],[Məhsul adı]]," ",Tablo6[[#This Row],[Tip]]," ",Tablo6[[#This Row],[Rəng]])</f>
        <v>Başlıq  Açıq antrasit</v>
      </c>
      <c r="K133" s="247" t="s">
        <v>1235</v>
      </c>
      <c r="L133" s="270"/>
      <c r="M133" s="271"/>
      <c r="N133" s="271">
        <f>Tablo6[[#This Row],[Alış qiyməti]]*Tablo6[[#This Row],[Giriş sayı]]</f>
        <v>0</v>
      </c>
      <c r="O133" s="271"/>
      <c r="P133" s="272">
        <f ca="1">Tablo6[[#This Row],[Satılan sayı]]*Tablo6[[#This Row],[Satış qiyməti]]</f>
        <v>0</v>
      </c>
      <c r="Q133" s="272">
        <f ca="1">(Tablo6[[#This Row],[Satış qiyməti]]-Tablo6[[#This Row],[Alış qiyməti]])*Tablo6[[#This Row],[Satılan sayı]]</f>
        <v>0</v>
      </c>
      <c r="R133" s="273">
        <f ca="1">SUMIF(Sifarisler!$M:$AH,Tablo6[[#This Row],[Məhsul kodu]],Sifarisler!N:AH)</f>
        <v>0</v>
      </c>
      <c r="S133" s="274">
        <f ca="1">Tablo6[[#This Row],[Giriş sayı]]-Tablo6[[#This Row],[Satılan sayı]]</f>
        <v>0</v>
      </c>
    </row>
    <row r="134" spans="4:19" ht="17.25">
      <c r="D134" s="256">
        <f t="shared" si="4"/>
        <v>45616</v>
      </c>
      <c r="E134" s="23" t="s">
        <v>1397</v>
      </c>
      <c r="F134" s="15"/>
      <c r="G134" s="15" t="s">
        <v>1241</v>
      </c>
      <c r="H134" s="259" t="s">
        <v>1402</v>
      </c>
      <c r="I134" s="259" t="str">
        <f>CONCATENATE(Tablo6[[#This Row],[Məhsul adı]]," ",Tablo6[[#This Row],[Rəng]])</f>
        <v>Başlıq Kofe</v>
      </c>
      <c r="J134" s="23" t="str">
        <f>CONCATENATE(Tablo6[[#This Row],[Məhsul adı]]," ",Tablo6[[#This Row],[Tip]]," ",Tablo6[[#This Row],[Rəng]])</f>
        <v>Başlıq  Kofe</v>
      </c>
      <c r="K134" s="247" t="s">
        <v>1235</v>
      </c>
      <c r="L134" s="270"/>
      <c r="M134" s="271"/>
      <c r="N134" s="271">
        <f>Tablo6[[#This Row],[Alış qiyməti]]*Tablo6[[#This Row],[Giriş sayı]]</f>
        <v>0</v>
      </c>
      <c r="O134" s="271"/>
      <c r="P134" s="272">
        <f ca="1">Tablo6[[#This Row],[Satılan sayı]]*Tablo6[[#This Row],[Satış qiyməti]]</f>
        <v>0</v>
      </c>
      <c r="Q134" s="272">
        <f ca="1">(Tablo6[[#This Row],[Satış qiyməti]]-Tablo6[[#This Row],[Alış qiyməti]])*Tablo6[[#This Row],[Satılan sayı]]</f>
        <v>0</v>
      </c>
      <c r="R134" s="273">
        <f ca="1">SUMIF(Sifarisler!$M:$AH,Tablo6[[#This Row],[Məhsul kodu]],Sifarisler!N:AH)</f>
        <v>0</v>
      </c>
      <c r="S134" s="274">
        <f ca="1">Tablo6[[#This Row],[Giriş sayı]]-Tablo6[[#This Row],[Satılan sayı]]</f>
        <v>0</v>
      </c>
    </row>
    <row r="135" spans="4:19" ht="17.25">
      <c r="D135" s="256">
        <f t="shared" si="4"/>
        <v>45616</v>
      </c>
      <c r="E135" s="23" t="s">
        <v>1403</v>
      </c>
      <c r="F135" s="15"/>
      <c r="G135" s="15" t="s">
        <v>1404</v>
      </c>
      <c r="H135" s="259" t="s">
        <v>1405</v>
      </c>
      <c r="I135" s="259" t="str">
        <f>CONCATENATE(Tablo6[[#This Row],[Məhsul adı]]," ",Tablo6[[#This Row],[Rəng]])</f>
        <v>Bağlantı 2x2 qalın Metallik</v>
      </c>
      <c r="J135" s="23" t="str">
        <f>CONCATENATE(Tablo6[[#This Row],[Məhsul adı]]," ",Tablo6[[#This Row],[Tip]]," ",Tablo6[[#This Row],[Rəng]])</f>
        <v>Bağlantı 2x2 qalın  Metallik</v>
      </c>
      <c r="K135" s="247" t="s">
        <v>1235</v>
      </c>
      <c r="L135" s="270"/>
      <c r="M135" s="271"/>
      <c r="N135" s="271">
        <f>Tablo6[[#This Row],[Alış qiyməti]]*Tablo6[[#This Row],[Giriş sayı]]</f>
        <v>0</v>
      </c>
      <c r="O135" s="271"/>
      <c r="P135" s="272">
        <f ca="1">Tablo6[[#This Row],[Satılan sayı]]*Tablo6[[#This Row],[Satış qiyməti]]</f>
        <v>0</v>
      </c>
      <c r="Q135" s="272">
        <f ca="1">(Tablo6[[#This Row],[Satış qiyməti]]-Tablo6[[#This Row],[Alış qiyməti]])*Tablo6[[#This Row],[Satılan sayı]]</f>
        <v>0</v>
      </c>
      <c r="R135" s="273">
        <f ca="1">SUMIF(Sifarisler!$M:$AH,Tablo6[[#This Row],[Məhsul kodu]],Sifarisler!N:AH)</f>
        <v>0</v>
      </c>
      <c r="S135" s="274">
        <f ca="1">Tablo6[[#This Row],[Giriş sayı]]-Tablo6[[#This Row],[Satılan sayı]]</f>
        <v>0</v>
      </c>
    </row>
    <row r="136" spans="4:19" ht="17.25">
      <c r="D136" s="256">
        <f t="shared" si="4"/>
        <v>45616</v>
      </c>
      <c r="E136" s="23" t="s">
        <v>1406</v>
      </c>
      <c r="F136" s="15"/>
      <c r="G136" s="15" t="s">
        <v>1404</v>
      </c>
      <c r="H136" s="259" t="s">
        <v>1407</v>
      </c>
      <c r="I136" s="259" t="str">
        <f>CONCATENATE(Tablo6[[#This Row],[Məhsul adı]]," ",Tablo6[[#This Row],[Rəng]])</f>
        <v>Bağlantı 2x2 nazik Metallik</v>
      </c>
      <c r="J136" s="23" t="str">
        <f>CONCATENATE(Tablo6[[#This Row],[Məhsul adı]]," ",Tablo6[[#This Row],[Tip]]," ",Tablo6[[#This Row],[Rəng]])</f>
        <v>Bağlantı 2x2 nazik  Metallik</v>
      </c>
      <c r="K136" s="247" t="s">
        <v>1235</v>
      </c>
      <c r="L136" s="270"/>
      <c r="M136" s="271"/>
      <c r="N136" s="271">
        <f>Tablo6[[#This Row],[Alış qiyməti]]*Tablo6[[#This Row],[Giriş sayı]]</f>
        <v>0</v>
      </c>
      <c r="O136" s="271"/>
      <c r="P136" s="272">
        <f ca="1">Tablo6[[#This Row],[Satılan sayı]]*Tablo6[[#This Row],[Satış qiyməti]]</f>
        <v>0</v>
      </c>
      <c r="Q136" s="272">
        <f ca="1">(Tablo6[[#This Row],[Satış qiyməti]]-Tablo6[[#This Row],[Alış qiyməti]])*Tablo6[[#This Row],[Satılan sayı]]</f>
        <v>0</v>
      </c>
      <c r="R136" s="273">
        <f ca="1">SUMIF(Sifarisler!$M:$AH,Tablo6[[#This Row],[Məhsul kodu]],Sifarisler!N:AH)</f>
        <v>0</v>
      </c>
      <c r="S136" s="274">
        <f ca="1">Tablo6[[#This Row],[Giriş sayı]]-Tablo6[[#This Row],[Satılan sayı]]</f>
        <v>0</v>
      </c>
    </row>
    <row r="137" spans="4:19" ht="17.25">
      <c r="D137" s="256">
        <f t="shared" si="4"/>
        <v>45616</v>
      </c>
      <c r="E137" s="23" t="s">
        <v>1408</v>
      </c>
      <c r="F137" s="15"/>
      <c r="G137" s="15" t="s">
        <v>1404</v>
      </c>
      <c r="H137" s="259" t="s">
        <v>1409</v>
      </c>
      <c r="I137" s="259" t="str">
        <f>CONCATENATE(Tablo6[[#This Row],[Məhsul adı]]," ",Tablo6[[#This Row],[Rəng]])</f>
        <v>Bağlantı 3x3 oval Metallik</v>
      </c>
      <c r="J137" s="23" t="str">
        <f>CONCATENATE(Tablo6[[#This Row],[Məhsul adı]]," ",Tablo6[[#This Row],[Tip]]," ",Tablo6[[#This Row],[Rəng]])</f>
        <v>Bağlantı 3x3 oval  Metallik</v>
      </c>
      <c r="K137" s="247" t="s">
        <v>1235</v>
      </c>
      <c r="L137" s="270"/>
      <c r="M137" s="271"/>
      <c r="N137" s="271">
        <f>Tablo6[[#This Row],[Alış qiyməti]]*Tablo6[[#This Row],[Giriş sayı]]</f>
        <v>0</v>
      </c>
      <c r="O137" s="271"/>
      <c r="P137" s="272">
        <f ca="1">Tablo6[[#This Row],[Satılan sayı]]*Tablo6[[#This Row],[Satış qiyməti]]</f>
        <v>0</v>
      </c>
      <c r="Q137" s="272">
        <f ca="1">(Tablo6[[#This Row],[Satış qiyməti]]-Tablo6[[#This Row],[Alış qiyməti]])*Tablo6[[#This Row],[Satılan sayı]]</f>
        <v>0</v>
      </c>
      <c r="R137" s="273">
        <f ca="1">SUMIF(Sifarisler!$M:$AH,Tablo6[[#This Row],[Məhsul kodu]],Sifarisler!N:AH)</f>
        <v>0</v>
      </c>
      <c r="S137" s="274">
        <f ca="1">Tablo6[[#This Row],[Giriş sayı]]-Tablo6[[#This Row],[Satılan sayı]]</f>
        <v>0</v>
      </c>
    </row>
    <row r="138" spans="4:19" ht="17.25">
      <c r="D138" s="256">
        <f t="shared" si="4"/>
        <v>45616</v>
      </c>
      <c r="E138" s="23" t="s">
        <v>1410</v>
      </c>
      <c r="F138" s="15"/>
      <c r="G138" s="15" t="s">
        <v>257</v>
      </c>
      <c r="H138" s="259" t="s">
        <v>1411</v>
      </c>
      <c r="I138" s="259" t="str">
        <f>CONCATENATE(Tablo6[[#This Row],[Məhsul adı]]," ",Tablo6[[#This Row],[Rəng]])</f>
        <v>Vertikal Qulp Qara</v>
      </c>
      <c r="J138" s="23" t="str">
        <f>CONCATENATE(Tablo6[[#This Row],[Məhsul adı]]," ",Tablo6[[#This Row],[Tip]]," ",Tablo6[[#This Row],[Rəng]])</f>
        <v>Vertikal Qulp  Qara</v>
      </c>
      <c r="K138" s="247" t="s">
        <v>1235</v>
      </c>
      <c r="L138" s="270"/>
      <c r="M138" s="271"/>
      <c r="N138" s="271">
        <f>Tablo6[[#This Row],[Alış qiyməti]]*Tablo6[[#This Row],[Giriş sayı]]</f>
        <v>0</v>
      </c>
      <c r="O138" s="271"/>
      <c r="P138" s="272">
        <f ca="1">Tablo6[[#This Row],[Satılan sayı]]*Tablo6[[#This Row],[Satış qiyməti]]</f>
        <v>0</v>
      </c>
      <c r="Q138" s="272">
        <f ca="1">(Tablo6[[#This Row],[Satış qiyməti]]-Tablo6[[#This Row],[Alış qiyməti]])*Tablo6[[#This Row],[Satılan sayı]]</f>
        <v>0</v>
      </c>
      <c r="R138" s="273">
        <f ca="1">SUMIF(Sifarisler!$M:$AH,Tablo6[[#This Row],[Məhsul kodu]],Sifarisler!N:AH)</f>
        <v>0</v>
      </c>
      <c r="S138" s="274">
        <f ca="1">Tablo6[[#This Row],[Giriş sayı]]-Tablo6[[#This Row],[Satılan sayı]]</f>
        <v>0</v>
      </c>
    </row>
    <row r="139" spans="4:19" ht="17.25">
      <c r="D139" s="256">
        <f t="shared" si="4"/>
        <v>45616</v>
      </c>
      <c r="E139" s="23" t="s">
        <v>1410</v>
      </c>
      <c r="F139" s="15"/>
      <c r="G139" s="15" t="s">
        <v>629</v>
      </c>
      <c r="H139" s="259" t="s">
        <v>1412</v>
      </c>
      <c r="I139" s="259" t="str">
        <f>CONCATENATE(Tablo6[[#This Row],[Məhsul adı]]," ",Tablo6[[#This Row],[Rəng]])</f>
        <v>Vertikal Qulp Qızılı</v>
      </c>
      <c r="J139" s="23" t="str">
        <f>CONCATENATE(Tablo6[[#This Row],[Məhsul adı]]," ",Tablo6[[#This Row],[Tip]]," ",Tablo6[[#This Row],[Rəng]])</f>
        <v>Vertikal Qulp  Qızılı</v>
      </c>
      <c r="K139" s="247" t="s">
        <v>1235</v>
      </c>
      <c r="L139" s="270"/>
      <c r="M139" s="271"/>
      <c r="N139" s="271">
        <f>Tablo6[[#This Row],[Alış qiyməti]]*Tablo6[[#This Row],[Giriş sayı]]</f>
        <v>0</v>
      </c>
      <c r="O139" s="271"/>
      <c r="P139" s="272">
        <f ca="1">Tablo6[[#This Row],[Satılan sayı]]*Tablo6[[#This Row],[Satış qiyməti]]</f>
        <v>0</v>
      </c>
      <c r="Q139" s="272">
        <f ca="1">(Tablo6[[#This Row],[Satış qiyməti]]-Tablo6[[#This Row],[Alış qiyməti]])*Tablo6[[#This Row],[Satılan sayı]]</f>
        <v>0</v>
      </c>
      <c r="R139" s="273">
        <f ca="1">SUMIF(Sifarisler!$M:$AH,Tablo6[[#This Row],[Məhsul kodu]],Sifarisler!N:AH)</f>
        <v>0</v>
      </c>
      <c r="S139" s="274">
        <f ca="1">Tablo6[[#This Row],[Giriş sayı]]-Tablo6[[#This Row],[Satılan sayı]]</f>
        <v>0</v>
      </c>
    </row>
    <row r="140" spans="4:19" ht="17.25">
      <c r="D140" s="256">
        <f t="shared" si="4"/>
        <v>45616</v>
      </c>
      <c r="E140" s="23" t="s">
        <v>1410</v>
      </c>
      <c r="F140" s="15"/>
      <c r="G140" s="15" t="s">
        <v>1237</v>
      </c>
      <c r="H140" s="259" t="s">
        <v>1413</v>
      </c>
      <c r="I140" s="259" t="str">
        <f>CONCATENATE(Tablo6[[#This Row],[Məhsul adı]]," ",Tablo6[[#This Row],[Rəng]])</f>
        <v>Vertikal Qulp Antrasit</v>
      </c>
      <c r="J140" s="23" t="str">
        <f>CONCATENATE(Tablo6[[#This Row],[Məhsul adı]]," ",Tablo6[[#This Row],[Tip]]," ",Tablo6[[#This Row],[Rəng]])</f>
        <v>Vertikal Qulp  Antrasit</v>
      </c>
      <c r="K140" s="247" t="s">
        <v>1235</v>
      </c>
      <c r="L140" s="270"/>
      <c r="M140" s="271"/>
      <c r="N140" s="271">
        <f>Tablo6[[#This Row],[Alış qiyməti]]*Tablo6[[#This Row],[Giriş sayı]]</f>
        <v>0</v>
      </c>
      <c r="O140" s="271"/>
      <c r="P140" s="272">
        <f ca="1">Tablo6[[#This Row],[Satılan sayı]]*Tablo6[[#This Row],[Satış qiyməti]]</f>
        <v>0</v>
      </c>
      <c r="Q140" s="272">
        <f ca="1">(Tablo6[[#This Row],[Satış qiyməti]]-Tablo6[[#This Row],[Alış qiyməti]])*Tablo6[[#This Row],[Satılan sayı]]</f>
        <v>0</v>
      </c>
      <c r="R140" s="273">
        <f ca="1">SUMIF(Sifarisler!$M:$AH,Tablo6[[#This Row],[Məhsul kodu]],Sifarisler!N:AH)</f>
        <v>0</v>
      </c>
      <c r="S140" s="274">
        <f ca="1">Tablo6[[#This Row],[Giriş sayı]]-Tablo6[[#This Row],[Satılan sayı]]</f>
        <v>0</v>
      </c>
    </row>
    <row r="141" spans="4:19" ht="17.25">
      <c r="D141" s="256">
        <f t="shared" si="4"/>
        <v>45616</v>
      </c>
      <c r="E141" s="23" t="s">
        <v>1410</v>
      </c>
      <c r="F141" s="15"/>
      <c r="G141" s="15" t="s">
        <v>1239</v>
      </c>
      <c r="H141" s="259" t="s">
        <v>1414</v>
      </c>
      <c r="I141" s="259" t="str">
        <f>CONCATENATE(Tablo6[[#This Row],[Məhsul adı]]," ",Tablo6[[#This Row],[Rəng]])</f>
        <v>Vertikal Qulp Açıq antrasit</v>
      </c>
      <c r="J141" s="23" t="str">
        <f>CONCATENATE(Tablo6[[#This Row],[Məhsul adı]]," ",Tablo6[[#This Row],[Tip]]," ",Tablo6[[#This Row],[Rəng]])</f>
        <v>Vertikal Qulp  Açıq antrasit</v>
      </c>
      <c r="K141" s="247" t="s">
        <v>1235</v>
      </c>
      <c r="L141" s="270"/>
      <c r="M141" s="271"/>
      <c r="N141" s="271">
        <f>Tablo6[[#This Row],[Alış qiyməti]]*Tablo6[[#This Row],[Giriş sayı]]</f>
        <v>0</v>
      </c>
      <c r="O141" s="271"/>
      <c r="P141" s="272">
        <f ca="1">Tablo6[[#This Row],[Satılan sayı]]*Tablo6[[#This Row],[Satış qiyməti]]</f>
        <v>0</v>
      </c>
      <c r="Q141" s="272">
        <f ca="1">(Tablo6[[#This Row],[Satış qiyməti]]-Tablo6[[#This Row],[Alış qiyməti]])*Tablo6[[#This Row],[Satılan sayı]]</f>
        <v>0</v>
      </c>
      <c r="R141" s="273">
        <f ca="1">SUMIF(Sifarisler!$M:$AH,Tablo6[[#This Row],[Məhsul kodu]],Sifarisler!N:AH)</f>
        <v>0</v>
      </c>
      <c r="S141" s="274">
        <f ca="1">Tablo6[[#This Row],[Giriş sayı]]-Tablo6[[#This Row],[Satılan sayı]]</f>
        <v>0</v>
      </c>
    </row>
    <row r="142" spans="4:19" ht="17.25">
      <c r="D142" s="256">
        <f t="shared" si="4"/>
        <v>45616</v>
      </c>
      <c r="E142" s="23" t="s">
        <v>1410</v>
      </c>
      <c r="F142" s="15"/>
      <c r="G142" s="15" t="s">
        <v>1241</v>
      </c>
      <c r="H142" s="259" t="s">
        <v>1415</v>
      </c>
      <c r="I142" s="259" t="str">
        <f>CONCATENATE(Tablo6[[#This Row],[Məhsul adı]]," ",Tablo6[[#This Row],[Rəng]])</f>
        <v>Vertikal Qulp Kofe</v>
      </c>
      <c r="J142" s="23" t="str">
        <f>CONCATENATE(Tablo6[[#This Row],[Məhsul adı]]," ",Tablo6[[#This Row],[Tip]]," ",Tablo6[[#This Row],[Rəng]])</f>
        <v>Vertikal Qulp  Kofe</v>
      </c>
      <c r="K142" s="247" t="s">
        <v>1235</v>
      </c>
      <c r="L142" s="270"/>
      <c r="M142" s="271"/>
      <c r="N142" s="271">
        <f>Tablo6[[#This Row],[Alış qiyməti]]*Tablo6[[#This Row],[Giriş sayı]]</f>
        <v>0</v>
      </c>
      <c r="O142" s="271"/>
      <c r="P142" s="272">
        <f ca="1">Tablo6[[#This Row],[Satılan sayı]]*Tablo6[[#This Row],[Satış qiyməti]]</f>
        <v>0</v>
      </c>
      <c r="Q142" s="272">
        <f ca="1">(Tablo6[[#This Row],[Satış qiyməti]]-Tablo6[[#This Row],[Alış qiyməti]])*Tablo6[[#This Row],[Satılan sayı]]</f>
        <v>0</v>
      </c>
      <c r="R142" s="273">
        <f ca="1">SUMIF(Sifarisler!$M:$AH,Tablo6[[#This Row],[Məhsul kodu]],Sifarisler!N:AH)</f>
        <v>0</v>
      </c>
      <c r="S142" s="274">
        <f ca="1">Tablo6[[#This Row],[Giriş sayı]]-Tablo6[[#This Row],[Satılan sayı]]</f>
        <v>0</v>
      </c>
    </row>
    <row r="143" spans="4:19" ht="17.25">
      <c r="D143" s="256">
        <f t="shared" si="4"/>
        <v>45616</v>
      </c>
      <c r="E143" s="23" t="s">
        <v>1416</v>
      </c>
      <c r="F143" s="15"/>
      <c r="G143" s="15" t="s">
        <v>257</v>
      </c>
      <c r="H143" s="259" t="s">
        <v>1417</v>
      </c>
      <c r="I143" s="259" t="str">
        <f>CONCATENATE(Tablo6[[#This Row],[Məhsul adı]]," ",Tablo6[[#This Row],[Rəng]])</f>
        <v>Horizontal Qulp Qara</v>
      </c>
      <c r="J143" s="23" t="str">
        <f>CONCATENATE(Tablo6[[#This Row],[Məhsul adı]]," ",Tablo6[[#This Row],[Tip]]," ",Tablo6[[#This Row],[Rəng]])</f>
        <v>Horizontal Qulp  Qara</v>
      </c>
      <c r="K143" s="247" t="s">
        <v>1235</v>
      </c>
      <c r="L143" s="270"/>
      <c r="M143" s="271"/>
      <c r="N143" s="271">
        <f>Tablo6[[#This Row],[Alış qiyməti]]*Tablo6[[#This Row],[Giriş sayı]]</f>
        <v>0</v>
      </c>
      <c r="O143" s="271"/>
      <c r="P143" s="272">
        <f ca="1">Tablo6[[#This Row],[Satılan sayı]]*Tablo6[[#This Row],[Satış qiyməti]]</f>
        <v>0</v>
      </c>
      <c r="Q143" s="272">
        <f ca="1">(Tablo6[[#This Row],[Satış qiyməti]]-Tablo6[[#This Row],[Alış qiyməti]])*Tablo6[[#This Row],[Satılan sayı]]</f>
        <v>0</v>
      </c>
      <c r="R143" s="273">
        <f ca="1">SUMIF(Sifarisler!$M:$AH,Tablo6[[#This Row],[Məhsul kodu]],Sifarisler!N:AH)</f>
        <v>0</v>
      </c>
      <c r="S143" s="274">
        <f ca="1">Tablo6[[#This Row],[Giriş sayı]]-Tablo6[[#This Row],[Satılan sayı]]</f>
        <v>0</v>
      </c>
    </row>
    <row r="144" spans="4:19" ht="17.25">
      <c r="D144" s="256">
        <f t="shared" si="4"/>
        <v>45616</v>
      </c>
      <c r="E144" s="23" t="s">
        <v>1416</v>
      </c>
      <c r="F144" s="15"/>
      <c r="G144" s="15" t="s">
        <v>629</v>
      </c>
      <c r="H144" s="259" t="s">
        <v>1418</v>
      </c>
      <c r="I144" s="259" t="str">
        <f>CONCATENATE(Tablo6[[#This Row],[Məhsul adı]]," ",Tablo6[[#This Row],[Rəng]])</f>
        <v>Horizontal Qulp Qızılı</v>
      </c>
      <c r="J144" s="23" t="str">
        <f>CONCATENATE(Tablo6[[#This Row],[Məhsul adı]]," ",Tablo6[[#This Row],[Tip]]," ",Tablo6[[#This Row],[Rəng]])</f>
        <v>Horizontal Qulp  Qızılı</v>
      </c>
      <c r="K144" s="247" t="s">
        <v>1235</v>
      </c>
      <c r="L144" s="270"/>
      <c r="M144" s="271"/>
      <c r="N144" s="271">
        <f>Tablo6[[#This Row],[Alış qiyməti]]*Tablo6[[#This Row],[Giriş sayı]]</f>
        <v>0</v>
      </c>
      <c r="O144" s="271"/>
      <c r="P144" s="272">
        <f ca="1">Tablo6[[#This Row],[Satılan sayı]]*Tablo6[[#This Row],[Satış qiyməti]]</f>
        <v>0</v>
      </c>
      <c r="Q144" s="272">
        <f ca="1">(Tablo6[[#This Row],[Satış qiyməti]]-Tablo6[[#This Row],[Alış qiyməti]])*Tablo6[[#This Row],[Satılan sayı]]</f>
        <v>0</v>
      </c>
      <c r="R144" s="273">
        <f ca="1">SUMIF(Sifarisler!$M:$AH,Tablo6[[#This Row],[Məhsul kodu]],Sifarisler!N:AH)</f>
        <v>0</v>
      </c>
      <c r="S144" s="274">
        <f ca="1">Tablo6[[#This Row],[Giriş sayı]]-Tablo6[[#This Row],[Satılan sayı]]</f>
        <v>0</v>
      </c>
    </row>
    <row r="145" spans="4:19" ht="17.25">
      <c r="D145" s="256">
        <f t="shared" si="4"/>
        <v>45616</v>
      </c>
      <c r="E145" s="23" t="s">
        <v>1416</v>
      </c>
      <c r="F145" s="15"/>
      <c r="G145" s="15" t="s">
        <v>1237</v>
      </c>
      <c r="H145" s="259" t="s">
        <v>1419</v>
      </c>
      <c r="I145" s="259" t="str">
        <f>CONCATENATE(Tablo6[[#This Row],[Məhsul adı]]," ",Tablo6[[#This Row],[Rəng]])</f>
        <v>Horizontal Qulp Antrasit</v>
      </c>
      <c r="J145" s="23" t="str">
        <f>CONCATENATE(Tablo6[[#This Row],[Məhsul adı]]," ",Tablo6[[#This Row],[Tip]]," ",Tablo6[[#This Row],[Rəng]])</f>
        <v>Horizontal Qulp  Antrasit</v>
      </c>
      <c r="K145" s="247" t="s">
        <v>1235</v>
      </c>
      <c r="L145" s="270"/>
      <c r="M145" s="271"/>
      <c r="N145" s="271">
        <f>Tablo6[[#This Row],[Alış qiyməti]]*Tablo6[[#This Row],[Giriş sayı]]</f>
        <v>0</v>
      </c>
      <c r="O145" s="271"/>
      <c r="P145" s="272">
        <f ca="1">Tablo6[[#This Row],[Satılan sayı]]*Tablo6[[#This Row],[Satış qiyməti]]</f>
        <v>0</v>
      </c>
      <c r="Q145" s="272">
        <f ca="1">(Tablo6[[#This Row],[Satış qiyməti]]-Tablo6[[#This Row],[Alış qiyməti]])*Tablo6[[#This Row],[Satılan sayı]]</f>
        <v>0</v>
      </c>
      <c r="R145" s="273">
        <f ca="1">SUMIF(Sifarisler!$M:$AH,Tablo6[[#This Row],[Məhsul kodu]],Sifarisler!N:AH)</f>
        <v>0</v>
      </c>
      <c r="S145" s="274">
        <f ca="1">Tablo6[[#This Row],[Giriş sayı]]-Tablo6[[#This Row],[Satılan sayı]]</f>
        <v>0</v>
      </c>
    </row>
    <row r="146" spans="4:19" ht="17.25">
      <c r="D146" s="256">
        <f t="shared" si="4"/>
        <v>45616</v>
      </c>
      <c r="E146" s="23" t="s">
        <v>1416</v>
      </c>
      <c r="F146" s="15"/>
      <c r="G146" s="15" t="s">
        <v>1239</v>
      </c>
      <c r="H146" s="259" t="s">
        <v>1420</v>
      </c>
      <c r="I146" s="259" t="str">
        <f>CONCATENATE(Tablo6[[#This Row],[Məhsul adı]]," ",Tablo6[[#This Row],[Rəng]])</f>
        <v>Horizontal Qulp Açıq antrasit</v>
      </c>
      <c r="J146" s="23" t="str">
        <f>CONCATENATE(Tablo6[[#This Row],[Məhsul adı]]," ",Tablo6[[#This Row],[Tip]]," ",Tablo6[[#This Row],[Rəng]])</f>
        <v>Horizontal Qulp  Açıq antrasit</v>
      </c>
      <c r="K146" s="247" t="s">
        <v>1235</v>
      </c>
      <c r="L146" s="270"/>
      <c r="M146" s="271"/>
      <c r="N146" s="271">
        <f>Tablo6[[#This Row],[Alış qiyməti]]*Tablo6[[#This Row],[Giriş sayı]]</f>
        <v>0</v>
      </c>
      <c r="O146" s="271"/>
      <c r="P146" s="272">
        <f ca="1">Tablo6[[#This Row],[Satılan sayı]]*Tablo6[[#This Row],[Satış qiyməti]]</f>
        <v>0</v>
      </c>
      <c r="Q146" s="272">
        <f ca="1">(Tablo6[[#This Row],[Satış qiyməti]]-Tablo6[[#This Row],[Alış qiyməti]])*Tablo6[[#This Row],[Satılan sayı]]</f>
        <v>0</v>
      </c>
      <c r="R146" s="273">
        <f ca="1">SUMIF(Sifarisler!$M:$AH,Tablo6[[#This Row],[Məhsul kodu]],Sifarisler!N:AH)</f>
        <v>0</v>
      </c>
      <c r="S146" s="274">
        <f ca="1">Tablo6[[#This Row],[Giriş sayı]]-Tablo6[[#This Row],[Satılan sayı]]</f>
        <v>0</v>
      </c>
    </row>
    <row r="147" spans="4:19" ht="17.25">
      <c r="D147" s="256">
        <f t="shared" si="4"/>
        <v>45616</v>
      </c>
      <c r="E147" s="23" t="s">
        <v>1416</v>
      </c>
      <c r="F147" s="15"/>
      <c r="G147" s="15" t="s">
        <v>1241</v>
      </c>
      <c r="H147" s="259" t="s">
        <v>1421</v>
      </c>
      <c r="I147" s="259" t="str">
        <f>CONCATENATE(Tablo6[[#This Row],[Məhsul adı]]," ",Tablo6[[#This Row],[Rəng]])</f>
        <v>Horizontal Qulp Kofe</v>
      </c>
      <c r="J147" s="23" t="str">
        <f>CONCATENATE(Tablo6[[#This Row],[Məhsul adı]]," ",Tablo6[[#This Row],[Tip]]," ",Tablo6[[#This Row],[Rəng]])</f>
        <v>Horizontal Qulp  Kofe</v>
      </c>
      <c r="K147" s="247" t="s">
        <v>1235</v>
      </c>
      <c r="L147" s="270"/>
      <c r="M147" s="271"/>
      <c r="N147" s="271">
        <f>Tablo6[[#This Row],[Alış qiyməti]]*Tablo6[[#This Row],[Giriş sayı]]</f>
        <v>0</v>
      </c>
      <c r="O147" s="271"/>
      <c r="P147" s="272">
        <f ca="1">Tablo6[[#This Row],[Satılan sayı]]*Tablo6[[#This Row],[Satış qiyməti]]</f>
        <v>0</v>
      </c>
      <c r="Q147" s="272">
        <f ca="1">(Tablo6[[#This Row],[Satış qiyməti]]-Tablo6[[#This Row],[Alış qiyməti]])*Tablo6[[#This Row],[Satılan sayı]]</f>
        <v>0</v>
      </c>
      <c r="R147" s="273">
        <f ca="1">SUMIF(Sifarisler!$M:$AH,Tablo6[[#This Row],[Məhsul kodu]],Sifarisler!N:AH)</f>
        <v>0</v>
      </c>
      <c r="S147" s="274">
        <f ca="1">Tablo6[[#This Row],[Giriş sayı]]-Tablo6[[#This Row],[Satılan sayı]]</f>
        <v>0</v>
      </c>
    </row>
    <row r="148" spans="4:19" ht="17.25">
      <c r="D148" s="256">
        <f t="shared" si="4"/>
        <v>45616</v>
      </c>
      <c r="E148" s="23" t="s">
        <v>1422</v>
      </c>
      <c r="F148" s="15"/>
      <c r="G148" s="15" t="s">
        <v>257</v>
      </c>
      <c r="H148" s="259" t="s">
        <v>1423</v>
      </c>
      <c r="I148" s="259" t="str">
        <f>CONCATENATE(Tablo6[[#This Row],[Məhsul adı]]," ",Tablo6[[#This Row],[Rəng]])</f>
        <v>U Profil İşıqlı Qara</v>
      </c>
      <c r="J148" s="23" t="str">
        <f>CONCATENATE(Tablo6[[#This Row],[Məhsul adı]]," ",Tablo6[[#This Row],[Tip]]," ",Tablo6[[#This Row],[Rəng]])</f>
        <v>U Profil İşıqlı  Qara</v>
      </c>
      <c r="K148" s="247" t="s">
        <v>1235</v>
      </c>
      <c r="L148" s="270"/>
      <c r="M148" s="271"/>
      <c r="N148" s="271">
        <f>Tablo6[[#This Row],[Alış qiyməti]]*Tablo6[[#This Row],[Giriş sayı]]</f>
        <v>0</v>
      </c>
      <c r="O148" s="271"/>
      <c r="P148" s="272">
        <f ca="1">Tablo6[[#This Row],[Satılan sayı]]*Tablo6[[#This Row],[Satış qiyməti]]</f>
        <v>0</v>
      </c>
      <c r="Q148" s="272">
        <f ca="1">(Tablo6[[#This Row],[Satış qiyməti]]-Tablo6[[#This Row],[Alış qiyməti]])*Tablo6[[#This Row],[Satılan sayı]]</f>
        <v>0</v>
      </c>
      <c r="R148" s="273">
        <f ca="1">SUMIF(Sifarisler!$M:$AH,Tablo6[[#This Row],[Məhsul kodu]],Sifarisler!N:AH)</f>
        <v>0</v>
      </c>
      <c r="S148" s="274">
        <f ca="1">Tablo6[[#This Row],[Giriş sayı]]-Tablo6[[#This Row],[Satılan sayı]]</f>
        <v>0</v>
      </c>
    </row>
    <row r="149" spans="4:19" ht="17.25">
      <c r="D149" s="256">
        <f t="shared" si="4"/>
        <v>45616</v>
      </c>
      <c r="E149" s="23" t="s">
        <v>1422</v>
      </c>
      <c r="F149" s="15"/>
      <c r="G149" s="15" t="s">
        <v>1237</v>
      </c>
      <c r="H149" s="259" t="s">
        <v>1424</v>
      </c>
      <c r="I149" s="259" t="str">
        <f>CONCATENATE(Tablo6[[#This Row],[Məhsul adı]]," ",Tablo6[[#This Row],[Rəng]])</f>
        <v>U Profil İşıqlı Antrasit</v>
      </c>
      <c r="J149" s="23" t="str">
        <f>CONCATENATE(Tablo6[[#This Row],[Məhsul adı]]," ",Tablo6[[#This Row],[Tip]]," ",Tablo6[[#This Row],[Rəng]])</f>
        <v>U Profil İşıqlı  Antrasit</v>
      </c>
      <c r="K149" s="247" t="s">
        <v>1235</v>
      </c>
      <c r="L149" s="270"/>
      <c r="M149" s="271"/>
      <c r="N149" s="271">
        <f>Tablo6[[#This Row],[Alış qiyməti]]*Tablo6[[#This Row],[Giriş sayı]]</f>
        <v>0</v>
      </c>
      <c r="O149" s="271"/>
      <c r="P149" s="272">
        <f ca="1">Tablo6[[#This Row],[Satılan sayı]]*Tablo6[[#This Row],[Satış qiyməti]]</f>
        <v>0</v>
      </c>
      <c r="Q149" s="272">
        <f ca="1">(Tablo6[[#This Row],[Satış qiyməti]]-Tablo6[[#This Row],[Alış qiyməti]])*Tablo6[[#This Row],[Satılan sayı]]</f>
        <v>0</v>
      </c>
      <c r="R149" s="273">
        <f ca="1">SUMIF(Sifarisler!$M:$AH,Tablo6[[#This Row],[Məhsul kodu]],Sifarisler!N:AH)</f>
        <v>0</v>
      </c>
      <c r="S149" s="274">
        <f ca="1">Tablo6[[#This Row],[Giriş sayı]]-Tablo6[[#This Row],[Satılan sayı]]</f>
        <v>0</v>
      </c>
    </row>
    <row r="150" spans="4:19" ht="17.25">
      <c r="D150" s="256">
        <f t="shared" si="4"/>
        <v>45616</v>
      </c>
      <c r="E150" s="23" t="s">
        <v>1422</v>
      </c>
      <c r="F150" s="15"/>
      <c r="G150" s="15" t="s">
        <v>629</v>
      </c>
      <c r="H150" s="259" t="s">
        <v>1425</v>
      </c>
      <c r="I150" s="259" t="str">
        <f>CONCATENATE(Tablo6[[#This Row],[Məhsul adı]]," ",Tablo6[[#This Row],[Rəng]])</f>
        <v>U Profil İşıqlı Qızılı</v>
      </c>
      <c r="J150" s="23" t="str">
        <f>CONCATENATE(Tablo6[[#This Row],[Məhsul adı]]," ",Tablo6[[#This Row],[Tip]]," ",Tablo6[[#This Row],[Rəng]])</f>
        <v>U Profil İşıqlı  Qızılı</v>
      </c>
      <c r="K150" s="247" t="s">
        <v>1235</v>
      </c>
      <c r="L150" s="270"/>
      <c r="M150" s="271"/>
      <c r="N150" s="271">
        <f>Tablo6[[#This Row],[Alış qiyməti]]*Tablo6[[#This Row],[Giriş sayı]]</f>
        <v>0</v>
      </c>
      <c r="O150" s="271"/>
      <c r="P150" s="272">
        <f ca="1">Tablo6[[#This Row],[Satılan sayı]]*Tablo6[[#This Row],[Satış qiyməti]]</f>
        <v>0</v>
      </c>
      <c r="Q150" s="272">
        <f ca="1">(Tablo6[[#This Row],[Satış qiyməti]]-Tablo6[[#This Row],[Alış qiyməti]])*Tablo6[[#This Row],[Satılan sayı]]</f>
        <v>0</v>
      </c>
      <c r="R150" s="273">
        <f ca="1">SUMIF(Sifarisler!$M:$AH,Tablo6[[#This Row],[Məhsul kodu]],Sifarisler!N:AH)</f>
        <v>0</v>
      </c>
      <c r="S150" s="274">
        <f ca="1">Tablo6[[#This Row],[Giriş sayı]]-Tablo6[[#This Row],[Satılan sayı]]</f>
        <v>0</v>
      </c>
    </row>
    <row r="151" spans="4:19" ht="17.25">
      <c r="D151" s="256">
        <f t="shared" si="4"/>
        <v>45616</v>
      </c>
      <c r="E151" s="23" t="s">
        <v>1426</v>
      </c>
      <c r="F151" s="15"/>
      <c r="G151" s="15" t="s">
        <v>257</v>
      </c>
      <c r="H151" s="259" t="s">
        <v>1427</v>
      </c>
      <c r="I151" s="259" t="str">
        <f>CONCATENATE(Tablo6[[#This Row],[Məhsul adı]]," ",Tablo6[[#This Row],[Rəng]])</f>
        <v>U Profil işıqsız Qara</v>
      </c>
      <c r="J151" s="23" t="str">
        <f>CONCATENATE(Tablo6[[#This Row],[Məhsul adı]]," ",Tablo6[[#This Row],[Tip]]," ",Tablo6[[#This Row],[Rəng]])</f>
        <v>U Profil işıqsız  Qara</v>
      </c>
      <c r="K151" s="247" t="s">
        <v>1235</v>
      </c>
      <c r="L151" s="270"/>
      <c r="M151" s="271"/>
      <c r="N151" s="271">
        <f>Tablo6[[#This Row],[Alış qiyməti]]*Tablo6[[#This Row],[Giriş sayı]]</f>
        <v>0</v>
      </c>
      <c r="O151" s="271"/>
      <c r="P151" s="272">
        <f ca="1">Tablo6[[#This Row],[Satılan sayı]]*Tablo6[[#This Row],[Satış qiyməti]]</f>
        <v>0</v>
      </c>
      <c r="Q151" s="272">
        <f ca="1">(Tablo6[[#This Row],[Satış qiyməti]]-Tablo6[[#This Row],[Alış qiyməti]])*Tablo6[[#This Row],[Satılan sayı]]</f>
        <v>0</v>
      </c>
      <c r="R151" s="273">
        <f ca="1">SUMIF(Sifarisler!$M:$AH,Tablo6[[#This Row],[Məhsul kodu]],Sifarisler!N:AH)</f>
        <v>0</v>
      </c>
      <c r="S151" s="274">
        <f ca="1">Tablo6[[#This Row],[Giriş sayı]]-Tablo6[[#This Row],[Satılan sayı]]</f>
        <v>0</v>
      </c>
    </row>
    <row r="152" spans="4:19" ht="17.25">
      <c r="D152" s="256">
        <f t="shared" si="4"/>
        <v>45616</v>
      </c>
      <c r="E152" s="23" t="s">
        <v>1426</v>
      </c>
      <c r="F152" s="15"/>
      <c r="G152" s="15" t="s">
        <v>1237</v>
      </c>
      <c r="H152" s="259" t="s">
        <v>1428</v>
      </c>
      <c r="I152" s="259" t="str">
        <f>CONCATENATE(Tablo6[[#This Row],[Məhsul adı]]," ",Tablo6[[#This Row],[Rəng]])</f>
        <v>U Profil işıqsız Antrasit</v>
      </c>
      <c r="J152" s="23" t="str">
        <f>CONCATENATE(Tablo6[[#This Row],[Məhsul adı]]," ",Tablo6[[#This Row],[Tip]]," ",Tablo6[[#This Row],[Rəng]])</f>
        <v>U Profil işıqsız  Antrasit</v>
      </c>
      <c r="K152" s="247" t="s">
        <v>1235</v>
      </c>
      <c r="L152" s="270"/>
      <c r="M152" s="271"/>
      <c r="N152" s="271">
        <f>Tablo6[[#This Row],[Alış qiyməti]]*Tablo6[[#This Row],[Giriş sayı]]</f>
        <v>0</v>
      </c>
      <c r="O152" s="271"/>
      <c r="P152" s="272">
        <f ca="1">Tablo6[[#This Row],[Satılan sayı]]*Tablo6[[#This Row],[Satış qiyməti]]</f>
        <v>0</v>
      </c>
      <c r="Q152" s="272">
        <f ca="1">(Tablo6[[#This Row],[Satış qiyməti]]-Tablo6[[#This Row],[Alış qiyməti]])*Tablo6[[#This Row],[Satılan sayı]]</f>
        <v>0</v>
      </c>
      <c r="R152" s="273">
        <f ca="1">SUMIF(Sifarisler!$M:$AH,Tablo6[[#This Row],[Məhsul kodu]],Sifarisler!N:AH)</f>
        <v>0</v>
      </c>
      <c r="S152" s="274">
        <f ca="1">Tablo6[[#This Row],[Giriş sayı]]-Tablo6[[#This Row],[Satılan sayı]]</f>
        <v>0</v>
      </c>
    </row>
    <row r="153" spans="4:19" ht="17.25">
      <c r="D153" s="256">
        <f t="shared" si="4"/>
        <v>45616</v>
      </c>
      <c r="E153" s="23" t="s">
        <v>1426</v>
      </c>
      <c r="F153" s="15"/>
      <c r="G153" s="15" t="s">
        <v>629</v>
      </c>
      <c r="H153" s="259" t="s">
        <v>1429</v>
      </c>
      <c r="I153" s="259" t="str">
        <f>CONCATENATE(Tablo6[[#This Row],[Məhsul adı]]," ",Tablo6[[#This Row],[Rəng]])</f>
        <v>U Profil işıqsız Qızılı</v>
      </c>
      <c r="J153" s="23" t="str">
        <f>CONCATENATE(Tablo6[[#This Row],[Məhsul adı]]," ",Tablo6[[#This Row],[Tip]]," ",Tablo6[[#This Row],[Rəng]])</f>
        <v>U Profil işıqsız  Qızılı</v>
      </c>
      <c r="K153" s="247" t="s">
        <v>1235</v>
      </c>
      <c r="L153" s="270"/>
      <c r="M153" s="271"/>
      <c r="N153" s="271">
        <f>Tablo6[[#This Row],[Alış qiyməti]]*Tablo6[[#This Row],[Giriş sayı]]</f>
        <v>0</v>
      </c>
      <c r="O153" s="271"/>
      <c r="P153" s="272">
        <f ca="1">Tablo6[[#This Row],[Satılan sayı]]*Tablo6[[#This Row],[Satış qiyməti]]</f>
        <v>0</v>
      </c>
      <c r="Q153" s="272">
        <f ca="1">(Tablo6[[#This Row],[Satış qiyməti]]-Tablo6[[#This Row],[Alış qiyməti]])*Tablo6[[#This Row],[Satılan sayı]]</f>
        <v>0</v>
      </c>
      <c r="R153" s="273">
        <f ca="1">SUMIF(Sifarisler!$M:$AH,Tablo6[[#This Row],[Məhsul kodu]],Sifarisler!N:AH)</f>
        <v>0</v>
      </c>
      <c r="S153" s="274">
        <f ca="1">Tablo6[[#This Row],[Giriş sayı]]-Tablo6[[#This Row],[Satılan sayı]]</f>
        <v>0</v>
      </c>
    </row>
    <row r="154" spans="4:19" ht="17.25">
      <c r="D154" s="256">
        <f t="shared" si="4"/>
        <v>45616</v>
      </c>
      <c r="E154" s="23" t="s">
        <v>1430</v>
      </c>
      <c r="F154" s="15"/>
      <c r="G154" s="15" t="s">
        <v>257</v>
      </c>
      <c r="H154" s="259" t="s">
        <v>1431</v>
      </c>
      <c r="I154" s="259" t="str">
        <f>CONCATENATE(Tablo6[[#This Row],[Məhsul adı]]," ",Tablo6[[#This Row],[Rəng]])</f>
        <v>L Profil İşıqlı Qara</v>
      </c>
      <c r="J154" s="23" t="str">
        <f>CONCATENATE(Tablo6[[#This Row],[Məhsul adı]]," ",Tablo6[[#This Row],[Tip]]," ",Tablo6[[#This Row],[Rəng]])</f>
        <v>L Profil İşıqlı  Qara</v>
      </c>
      <c r="K154" s="247" t="s">
        <v>1235</v>
      </c>
      <c r="L154" s="270"/>
      <c r="M154" s="271"/>
      <c r="N154" s="271">
        <f>Tablo6[[#This Row],[Alış qiyməti]]*Tablo6[[#This Row],[Giriş sayı]]</f>
        <v>0</v>
      </c>
      <c r="O154" s="271"/>
      <c r="P154" s="272">
        <f ca="1">Tablo6[[#This Row],[Satılan sayı]]*Tablo6[[#This Row],[Satış qiyməti]]</f>
        <v>0</v>
      </c>
      <c r="Q154" s="272">
        <f ca="1">(Tablo6[[#This Row],[Satış qiyməti]]-Tablo6[[#This Row],[Alış qiyməti]])*Tablo6[[#This Row],[Satılan sayı]]</f>
        <v>0</v>
      </c>
      <c r="R154" s="273">
        <f ca="1">SUMIF(Sifarisler!$M:$AH,Tablo6[[#This Row],[Məhsul kodu]],Sifarisler!N:AH)</f>
        <v>0</v>
      </c>
      <c r="S154" s="274">
        <f ca="1">Tablo6[[#This Row],[Giriş sayı]]-Tablo6[[#This Row],[Satılan sayı]]</f>
        <v>0</v>
      </c>
    </row>
    <row r="155" spans="4:19" ht="17.25">
      <c r="D155" s="256">
        <f t="shared" si="4"/>
        <v>45616</v>
      </c>
      <c r="E155" s="23" t="s">
        <v>1430</v>
      </c>
      <c r="F155" s="15"/>
      <c r="G155" s="15" t="s">
        <v>1237</v>
      </c>
      <c r="H155" s="259" t="s">
        <v>1432</v>
      </c>
      <c r="I155" s="259" t="str">
        <f>CONCATENATE(Tablo6[[#This Row],[Məhsul adı]]," ",Tablo6[[#This Row],[Rəng]])</f>
        <v>L Profil İşıqlı Antrasit</v>
      </c>
      <c r="J155" s="23" t="str">
        <f>CONCATENATE(Tablo6[[#This Row],[Məhsul adı]]," ",Tablo6[[#This Row],[Tip]]," ",Tablo6[[#This Row],[Rəng]])</f>
        <v>L Profil İşıqlı  Antrasit</v>
      </c>
      <c r="K155" s="247" t="s">
        <v>1235</v>
      </c>
      <c r="L155" s="270"/>
      <c r="M155" s="271"/>
      <c r="N155" s="271">
        <f>Tablo6[[#This Row],[Alış qiyməti]]*Tablo6[[#This Row],[Giriş sayı]]</f>
        <v>0</v>
      </c>
      <c r="O155" s="271"/>
      <c r="P155" s="272">
        <f ca="1">Tablo6[[#This Row],[Satılan sayı]]*Tablo6[[#This Row],[Satış qiyməti]]</f>
        <v>0</v>
      </c>
      <c r="Q155" s="272">
        <f ca="1">(Tablo6[[#This Row],[Satış qiyməti]]-Tablo6[[#This Row],[Alış qiyməti]])*Tablo6[[#This Row],[Satılan sayı]]</f>
        <v>0</v>
      </c>
      <c r="R155" s="273">
        <f ca="1">SUMIF(Sifarisler!$M:$AH,Tablo6[[#This Row],[Məhsul kodu]],Sifarisler!N:AH)</f>
        <v>0</v>
      </c>
      <c r="S155" s="274">
        <f ca="1">Tablo6[[#This Row],[Giriş sayı]]-Tablo6[[#This Row],[Satılan sayı]]</f>
        <v>0</v>
      </c>
    </row>
    <row r="156" spans="4:19" ht="17.25">
      <c r="D156" s="256">
        <f t="shared" si="4"/>
        <v>45616</v>
      </c>
      <c r="E156" s="23" t="s">
        <v>1430</v>
      </c>
      <c r="F156" s="15"/>
      <c r="G156" s="15" t="s">
        <v>629</v>
      </c>
      <c r="H156" s="259" t="s">
        <v>1433</v>
      </c>
      <c r="I156" s="259" t="str">
        <f>CONCATENATE(Tablo6[[#This Row],[Məhsul adı]]," ",Tablo6[[#This Row],[Rəng]])</f>
        <v>L Profil İşıqlı Qızılı</v>
      </c>
      <c r="J156" s="23" t="str">
        <f>CONCATENATE(Tablo6[[#This Row],[Məhsul adı]]," ",Tablo6[[#This Row],[Tip]]," ",Tablo6[[#This Row],[Rəng]])</f>
        <v>L Profil İşıqlı  Qızılı</v>
      </c>
      <c r="K156" s="247" t="s">
        <v>1235</v>
      </c>
      <c r="L156" s="270"/>
      <c r="M156" s="271"/>
      <c r="N156" s="271">
        <f>Tablo6[[#This Row],[Alış qiyməti]]*Tablo6[[#This Row],[Giriş sayı]]</f>
        <v>0</v>
      </c>
      <c r="O156" s="271"/>
      <c r="P156" s="272">
        <f ca="1">Tablo6[[#This Row],[Satılan sayı]]*Tablo6[[#This Row],[Satış qiyməti]]</f>
        <v>0</v>
      </c>
      <c r="Q156" s="272">
        <f ca="1">(Tablo6[[#This Row],[Satış qiyməti]]-Tablo6[[#This Row],[Alış qiyməti]])*Tablo6[[#This Row],[Satılan sayı]]</f>
        <v>0</v>
      </c>
      <c r="R156" s="273">
        <f ca="1">SUMIF(Sifarisler!$M:$AH,Tablo6[[#This Row],[Məhsul kodu]],Sifarisler!N:AH)</f>
        <v>0</v>
      </c>
      <c r="S156" s="274">
        <f ca="1">Tablo6[[#This Row],[Giriş sayı]]-Tablo6[[#This Row],[Satılan sayı]]</f>
        <v>0</v>
      </c>
    </row>
    <row r="157" spans="4:19" ht="17.25">
      <c r="D157" s="256">
        <f t="shared" si="4"/>
        <v>45616</v>
      </c>
      <c r="E157" s="23" t="s">
        <v>1434</v>
      </c>
      <c r="F157" s="15"/>
      <c r="G157" s="15" t="s">
        <v>257</v>
      </c>
      <c r="H157" s="259" t="s">
        <v>1435</v>
      </c>
      <c r="I157" s="259" t="str">
        <f>CONCATENATE(Tablo6[[#This Row],[Məhsul adı]]," ",Tablo6[[#This Row],[Rəng]])</f>
        <v>L Profil İşıqsız Qara</v>
      </c>
      <c r="J157" s="23" t="str">
        <f>CONCATENATE(Tablo6[[#This Row],[Məhsul adı]]," ",Tablo6[[#This Row],[Tip]]," ",Tablo6[[#This Row],[Rəng]])</f>
        <v>L Profil İşıqsız  Qara</v>
      </c>
      <c r="K157" s="247" t="s">
        <v>1235</v>
      </c>
      <c r="L157" s="270"/>
      <c r="M157" s="271"/>
      <c r="N157" s="271">
        <f>Tablo6[[#This Row],[Alış qiyməti]]*Tablo6[[#This Row],[Giriş sayı]]</f>
        <v>0</v>
      </c>
      <c r="O157" s="271"/>
      <c r="P157" s="272">
        <f ca="1">Tablo6[[#This Row],[Satılan sayı]]*Tablo6[[#This Row],[Satış qiyməti]]</f>
        <v>0</v>
      </c>
      <c r="Q157" s="272">
        <f ca="1">(Tablo6[[#This Row],[Satış qiyməti]]-Tablo6[[#This Row],[Alış qiyməti]])*Tablo6[[#This Row],[Satılan sayı]]</f>
        <v>0</v>
      </c>
      <c r="R157" s="273">
        <f ca="1">SUMIF(Sifarisler!$M:$AH,Tablo6[[#This Row],[Məhsul kodu]],Sifarisler!N:AH)</f>
        <v>0</v>
      </c>
      <c r="S157" s="274">
        <f ca="1">Tablo6[[#This Row],[Giriş sayı]]-Tablo6[[#This Row],[Satılan sayı]]</f>
        <v>0</v>
      </c>
    </row>
    <row r="158" spans="4:19" ht="17.25">
      <c r="D158" s="256">
        <f t="shared" si="4"/>
        <v>45616</v>
      </c>
      <c r="E158" s="23" t="s">
        <v>1434</v>
      </c>
      <c r="F158" s="15"/>
      <c r="G158" s="15" t="s">
        <v>1237</v>
      </c>
      <c r="H158" s="259" t="s">
        <v>1436</v>
      </c>
      <c r="I158" s="259" t="str">
        <f>CONCATENATE(Tablo6[[#This Row],[Məhsul adı]]," ",Tablo6[[#This Row],[Rəng]])</f>
        <v>L Profil İşıqsız Antrasit</v>
      </c>
      <c r="J158" s="23" t="str">
        <f>CONCATENATE(Tablo6[[#This Row],[Məhsul adı]]," ",Tablo6[[#This Row],[Tip]]," ",Tablo6[[#This Row],[Rəng]])</f>
        <v>L Profil İşıqsız  Antrasit</v>
      </c>
      <c r="K158" s="247" t="s">
        <v>1235</v>
      </c>
      <c r="L158" s="270"/>
      <c r="M158" s="271"/>
      <c r="N158" s="271">
        <f>Tablo6[[#This Row],[Alış qiyməti]]*Tablo6[[#This Row],[Giriş sayı]]</f>
        <v>0</v>
      </c>
      <c r="O158" s="271"/>
      <c r="P158" s="272">
        <f ca="1">Tablo6[[#This Row],[Satılan sayı]]*Tablo6[[#This Row],[Satış qiyməti]]</f>
        <v>0</v>
      </c>
      <c r="Q158" s="272">
        <f ca="1">(Tablo6[[#This Row],[Satış qiyməti]]-Tablo6[[#This Row],[Alış qiyməti]])*Tablo6[[#This Row],[Satılan sayı]]</f>
        <v>0</v>
      </c>
      <c r="R158" s="273">
        <f ca="1">SUMIF(Sifarisler!$M:$AH,Tablo6[[#This Row],[Məhsul kodu]],Sifarisler!N:AH)</f>
        <v>0</v>
      </c>
      <c r="S158" s="274">
        <f ca="1">Tablo6[[#This Row],[Giriş sayı]]-Tablo6[[#This Row],[Satılan sayı]]</f>
        <v>0</v>
      </c>
    </row>
    <row r="159" spans="4:19" ht="17.25">
      <c r="D159" s="256">
        <f t="shared" si="4"/>
        <v>45616</v>
      </c>
      <c r="E159" s="23" t="s">
        <v>1434</v>
      </c>
      <c r="F159" s="15"/>
      <c r="G159" s="15" t="s">
        <v>629</v>
      </c>
      <c r="H159" s="259" t="s">
        <v>1437</v>
      </c>
      <c r="I159" s="259" t="str">
        <f>CONCATENATE(Tablo6[[#This Row],[Məhsul adı]]," ",Tablo6[[#This Row],[Rəng]])</f>
        <v>L Profil İşıqsız Qızılı</v>
      </c>
      <c r="J159" s="23" t="str">
        <f>CONCATENATE(Tablo6[[#This Row],[Məhsul adı]]," ",Tablo6[[#This Row],[Tip]]," ",Tablo6[[#This Row],[Rəng]])</f>
        <v>L Profil İşıqsız  Qızılı</v>
      </c>
      <c r="K159" s="247" t="s">
        <v>1235</v>
      </c>
      <c r="L159" s="270"/>
      <c r="M159" s="271"/>
      <c r="N159" s="271">
        <f>Tablo6[[#This Row],[Alış qiyməti]]*Tablo6[[#This Row],[Giriş sayı]]</f>
        <v>0</v>
      </c>
      <c r="O159" s="271"/>
      <c r="P159" s="272">
        <f ca="1">Tablo6[[#This Row],[Satılan sayı]]*Tablo6[[#This Row],[Satış qiyməti]]</f>
        <v>0</v>
      </c>
      <c r="Q159" s="272">
        <f ca="1">(Tablo6[[#This Row],[Satış qiyməti]]-Tablo6[[#This Row],[Alış qiyməti]])*Tablo6[[#This Row],[Satılan sayı]]</f>
        <v>0</v>
      </c>
      <c r="R159" s="273">
        <f ca="1">SUMIF(Sifarisler!$M:$AH,Tablo6[[#This Row],[Məhsul kodu]],Sifarisler!N:AH)</f>
        <v>0</v>
      </c>
      <c r="S159" s="274">
        <f ca="1">Tablo6[[#This Row],[Giriş sayı]]-Tablo6[[#This Row],[Satılan sayı]]</f>
        <v>0</v>
      </c>
    </row>
    <row r="160" spans="4:19" ht="17.25">
      <c r="D160" s="256">
        <f t="shared" si="4"/>
        <v>45616</v>
      </c>
      <c r="E160" s="23" t="s">
        <v>1438</v>
      </c>
      <c r="F160" s="15"/>
      <c r="G160" s="15" t="s">
        <v>257</v>
      </c>
      <c r="H160" s="259" t="s">
        <v>1439</v>
      </c>
      <c r="I160" s="259" t="str">
        <f>CONCATENATE(Tablo6[[#This Row],[Məhsul adı]]," ",Tablo6[[#This Row],[Rəng]])</f>
        <v>Mətbəx Üst Profil İşıqlı Qara</v>
      </c>
      <c r="J160" s="23" t="str">
        <f>CONCATENATE(Tablo6[[#This Row],[Məhsul adı]]," ",Tablo6[[#This Row],[Tip]]," ",Tablo6[[#This Row],[Rəng]])</f>
        <v>Mətbəx Üst Profil İşıqlı  Qara</v>
      </c>
      <c r="K160" s="247" t="s">
        <v>1235</v>
      </c>
      <c r="L160" s="270"/>
      <c r="M160" s="271"/>
      <c r="N160" s="271">
        <f>Tablo6[[#This Row],[Alış qiyməti]]*Tablo6[[#This Row],[Giriş sayı]]</f>
        <v>0</v>
      </c>
      <c r="O160" s="271"/>
      <c r="P160" s="272">
        <f ca="1">Tablo6[[#This Row],[Satılan sayı]]*Tablo6[[#This Row],[Satış qiyməti]]</f>
        <v>0</v>
      </c>
      <c r="Q160" s="272">
        <f ca="1">(Tablo6[[#This Row],[Satış qiyməti]]-Tablo6[[#This Row],[Alış qiyməti]])*Tablo6[[#This Row],[Satılan sayı]]</f>
        <v>0</v>
      </c>
      <c r="R160" s="273">
        <f ca="1">SUMIF(Sifarisler!$M:$AH,Tablo6[[#This Row],[Məhsul kodu]],Sifarisler!N:AH)</f>
        <v>0</v>
      </c>
      <c r="S160" s="274">
        <f ca="1">Tablo6[[#This Row],[Giriş sayı]]-Tablo6[[#This Row],[Satılan sayı]]</f>
        <v>0</v>
      </c>
    </row>
    <row r="161" spans="4:19" ht="17.25">
      <c r="D161" s="256">
        <f t="shared" si="4"/>
        <v>45616</v>
      </c>
      <c r="E161" s="23" t="s">
        <v>1438</v>
      </c>
      <c r="F161" s="15"/>
      <c r="G161" s="15" t="s">
        <v>1237</v>
      </c>
      <c r="H161" s="259" t="s">
        <v>1440</v>
      </c>
      <c r="I161" s="259" t="str">
        <f>CONCATENATE(Tablo6[[#This Row],[Məhsul adı]]," ",Tablo6[[#This Row],[Rəng]])</f>
        <v>Mətbəx Üst Profil İşıqlı Antrasit</v>
      </c>
      <c r="J161" s="23" t="str">
        <f>CONCATENATE(Tablo6[[#This Row],[Məhsul adı]]," ",Tablo6[[#This Row],[Tip]]," ",Tablo6[[#This Row],[Rəng]])</f>
        <v>Mətbəx Üst Profil İşıqlı  Antrasit</v>
      </c>
      <c r="K161" s="247" t="s">
        <v>1235</v>
      </c>
      <c r="L161" s="270"/>
      <c r="M161" s="271"/>
      <c r="N161" s="271">
        <f>Tablo6[[#This Row],[Alış qiyməti]]*Tablo6[[#This Row],[Giriş sayı]]</f>
        <v>0</v>
      </c>
      <c r="O161" s="271"/>
      <c r="P161" s="272">
        <f ca="1">Tablo6[[#This Row],[Satılan sayı]]*Tablo6[[#This Row],[Satış qiyməti]]</f>
        <v>0</v>
      </c>
      <c r="Q161" s="272">
        <f ca="1">(Tablo6[[#This Row],[Satış qiyməti]]-Tablo6[[#This Row],[Alış qiyməti]])*Tablo6[[#This Row],[Satılan sayı]]</f>
        <v>0</v>
      </c>
      <c r="R161" s="273">
        <f ca="1">SUMIF(Sifarisler!$M:$AH,Tablo6[[#This Row],[Məhsul kodu]],Sifarisler!N:AH)</f>
        <v>0</v>
      </c>
      <c r="S161" s="274">
        <f ca="1">Tablo6[[#This Row],[Giriş sayı]]-Tablo6[[#This Row],[Satılan sayı]]</f>
        <v>0</v>
      </c>
    </row>
    <row r="162" spans="4:19" ht="17.25">
      <c r="D162" s="256">
        <f t="shared" si="4"/>
        <v>45616</v>
      </c>
      <c r="E162" s="23" t="s">
        <v>1438</v>
      </c>
      <c r="F162" s="15"/>
      <c r="G162" s="15" t="s">
        <v>629</v>
      </c>
      <c r="H162" s="259" t="s">
        <v>1441</v>
      </c>
      <c r="I162" s="259" t="str">
        <f>CONCATENATE(Tablo6[[#This Row],[Məhsul adı]]," ",Tablo6[[#This Row],[Rəng]])</f>
        <v>Mətbəx Üst Profil İşıqlı Qızılı</v>
      </c>
      <c r="J162" s="23" t="str">
        <f>CONCATENATE(Tablo6[[#This Row],[Məhsul adı]]," ",Tablo6[[#This Row],[Tip]]," ",Tablo6[[#This Row],[Rəng]])</f>
        <v>Mətbəx Üst Profil İşıqlı  Qızılı</v>
      </c>
      <c r="K162" s="247" t="s">
        <v>1235</v>
      </c>
      <c r="L162" s="270"/>
      <c r="M162" s="271"/>
      <c r="N162" s="271">
        <f>Tablo6[[#This Row],[Alış qiyməti]]*Tablo6[[#This Row],[Giriş sayı]]</f>
        <v>0</v>
      </c>
      <c r="O162" s="271"/>
      <c r="P162" s="272">
        <f ca="1">Tablo6[[#This Row],[Satılan sayı]]*Tablo6[[#This Row],[Satış qiyməti]]</f>
        <v>0</v>
      </c>
      <c r="Q162" s="272">
        <f ca="1">(Tablo6[[#This Row],[Satış qiyməti]]-Tablo6[[#This Row],[Alış qiyməti]])*Tablo6[[#This Row],[Satılan sayı]]</f>
        <v>0</v>
      </c>
      <c r="R162" s="273">
        <f ca="1">SUMIF(Sifarisler!$M:$AH,Tablo6[[#This Row],[Məhsul kodu]],Sifarisler!N:AH)</f>
        <v>0</v>
      </c>
      <c r="S162" s="274">
        <f ca="1">Tablo6[[#This Row],[Giriş sayı]]-Tablo6[[#This Row],[Satılan sayı]]</f>
        <v>0</v>
      </c>
    </row>
    <row r="163" spans="4:19" ht="17.25">
      <c r="D163" s="256">
        <f t="shared" si="4"/>
        <v>45616</v>
      </c>
      <c r="E163" s="23" t="s">
        <v>1442</v>
      </c>
      <c r="F163" s="15"/>
      <c r="G163" s="15" t="s">
        <v>257</v>
      </c>
      <c r="H163" s="259" t="s">
        <v>1443</v>
      </c>
      <c r="I163" s="259" t="str">
        <f>CONCATENATE(Tablo6[[#This Row],[Məhsul adı]]," ",Tablo6[[#This Row],[Rəng]])</f>
        <v>Mətbəx Üst Profil İşıqsız Qara</v>
      </c>
      <c r="J163" s="23" t="str">
        <f>CONCATENATE(Tablo6[[#This Row],[Məhsul adı]]," ",Tablo6[[#This Row],[Tip]]," ",Tablo6[[#This Row],[Rəng]])</f>
        <v>Mətbəx Üst Profil İşıqsız  Qara</v>
      </c>
      <c r="K163" s="247" t="s">
        <v>1235</v>
      </c>
      <c r="L163" s="270"/>
      <c r="M163" s="271"/>
      <c r="N163" s="271">
        <f>Tablo6[[#This Row],[Alış qiyməti]]*Tablo6[[#This Row],[Giriş sayı]]</f>
        <v>0</v>
      </c>
      <c r="O163" s="271"/>
      <c r="P163" s="272">
        <f ca="1">Tablo6[[#This Row],[Satılan sayı]]*Tablo6[[#This Row],[Satış qiyməti]]</f>
        <v>0</v>
      </c>
      <c r="Q163" s="272">
        <f ca="1">(Tablo6[[#This Row],[Satış qiyməti]]-Tablo6[[#This Row],[Alış qiyməti]])*Tablo6[[#This Row],[Satılan sayı]]</f>
        <v>0</v>
      </c>
      <c r="R163" s="273">
        <f ca="1">SUMIF(Sifarisler!$M:$AH,Tablo6[[#This Row],[Məhsul kodu]],Sifarisler!N:AH)</f>
        <v>0</v>
      </c>
      <c r="S163" s="274">
        <f ca="1">Tablo6[[#This Row],[Giriş sayı]]-Tablo6[[#This Row],[Satılan sayı]]</f>
        <v>0</v>
      </c>
    </row>
    <row r="164" spans="4:19" ht="17.25">
      <c r="D164" s="256">
        <f t="shared" ref="D164:D184" si="5">DATE(2024,11,20)</f>
        <v>45616</v>
      </c>
      <c r="E164" s="23" t="s">
        <v>1442</v>
      </c>
      <c r="F164" s="15"/>
      <c r="G164" s="15" t="s">
        <v>1237</v>
      </c>
      <c r="H164" s="259" t="s">
        <v>1444</v>
      </c>
      <c r="I164" s="259" t="str">
        <f>CONCATENATE(Tablo6[[#This Row],[Məhsul adı]]," ",Tablo6[[#This Row],[Rəng]])</f>
        <v>Mətbəx Üst Profil İşıqsız Antrasit</v>
      </c>
      <c r="J164" s="23" t="str">
        <f>CONCATENATE(Tablo6[[#This Row],[Məhsul adı]]," ",Tablo6[[#This Row],[Tip]]," ",Tablo6[[#This Row],[Rəng]])</f>
        <v>Mətbəx Üst Profil İşıqsız  Antrasit</v>
      </c>
      <c r="K164" s="247" t="s">
        <v>1235</v>
      </c>
      <c r="L164" s="270"/>
      <c r="M164" s="271"/>
      <c r="N164" s="271">
        <f>Tablo6[[#This Row],[Alış qiyməti]]*Tablo6[[#This Row],[Giriş sayı]]</f>
        <v>0</v>
      </c>
      <c r="O164" s="271"/>
      <c r="P164" s="272">
        <f ca="1">Tablo6[[#This Row],[Satılan sayı]]*Tablo6[[#This Row],[Satış qiyməti]]</f>
        <v>0</v>
      </c>
      <c r="Q164" s="272">
        <f ca="1">(Tablo6[[#This Row],[Satış qiyməti]]-Tablo6[[#This Row],[Alış qiyməti]])*Tablo6[[#This Row],[Satılan sayı]]</f>
        <v>0</v>
      </c>
      <c r="R164" s="273">
        <f ca="1">SUMIF(Sifarisler!$M:$AH,Tablo6[[#This Row],[Məhsul kodu]],Sifarisler!N:AH)</f>
        <v>0</v>
      </c>
      <c r="S164" s="274">
        <f ca="1">Tablo6[[#This Row],[Giriş sayı]]-Tablo6[[#This Row],[Satılan sayı]]</f>
        <v>0</v>
      </c>
    </row>
    <row r="165" spans="4:19" ht="17.25">
      <c r="D165" s="256">
        <f t="shared" si="5"/>
        <v>45616</v>
      </c>
      <c r="E165" s="23" t="s">
        <v>1442</v>
      </c>
      <c r="F165" s="15"/>
      <c r="G165" s="15" t="s">
        <v>629</v>
      </c>
      <c r="H165" s="259" t="s">
        <v>1445</v>
      </c>
      <c r="I165" s="259" t="str">
        <f>CONCATENATE(Tablo6[[#This Row],[Məhsul adı]]," ",Tablo6[[#This Row],[Rəng]])</f>
        <v>Mətbəx Üst Profil İşıqsız Qızılı</v>
      </c>
      <c r="J165" s="23" t="str">
        <f>CONCATENATE(Tablo6[[#This Row],[Məhsul adı]]," ",Tablo6[[#This Row],[Tip]]," ",Tablo6[[#This Row],[Rəng]])</f>
        <v>Mətbəx Üst Profil İşıqsız  Qızılı</v>
      </c>
      <c r="K165" s="247" t="s">
        <v>1235</v>
      </c>
      <c r="L165" s="270"/>
      <c r="M165" s="271"/>
      <c r="N165" s="271">
        <f>Tablo6[[#This Row],[Alış qiyməti]]*Tablo6[[#This Row],[Giriş sayı]]</f>
        <v>0</v>
      </c>
      <c r="O165" s="271"/>
      <c r="P165" s="272">
        <f ca="1">Tablo6[[#This Row],[Satılan sayı]]*Tablo6[[#This Row],[Satış qiyməti]]</f>
        <v>0</v>
      </c>
      <c r="Q165" s="272">
        <f ca="1">(Tablo6[[#This Row],[Satış qiyməti]]-Tablo6[[#This Row],[Alış qiyməti]])*Tablo6[[#This Row],[Satılan sayı]]</f>
        <v>0</v>
      </c>
      <c r="R165" s="273">
        <f ca="1">SUMIF(Sifarisler!$M:$AH,Tablo6[[#This Row],[Məhsul kodu]],Sifarisler!N:AH)</f>
        <v>0</v>
      </c>
      <c r="S165" s="274">
        <f ca="1">Tablo6[[#This Row],[Giriş sayı]]-Tablo6[[#This Row],[Satılan sayı]]</f>
        <v>0</v>
      </c>
    </row>
    <row r="166" spans="4:19" ht="17.25">
      <c r="D166" s="256">
        <f t="shared" si="5"/>
        <v>45616</v>
      </c>
      <c r="E166" s="23" t="s">
        <v>1446</v>
      </c>
      <c r="F166" s="15" t="s">
        <v>1233</v>
      </c>
      <c r="G166" s="15" t="s">
        <v>257</v>
      </c>
      <c r="H166" s="259" t="s">
        <v>1447</v>
      </c>
      <c r="I166" s="259" t="str">
        <f>CONCATENATE(Tablo6[[#This Row],[Məhsul adı]]," ",Tablo6[[#This Row],[Rəng]])</f>
        <v>45 Profil  Türk Qara</v>
      </c>
      <c r="J166" s="23" t="str">
        <f>CONCATENATE(Tablo6[[#This Row],[Məhsul adı]]," ",Tablo6[[#This Row],[Tip]]," ",Tablo6[[#This Row],[Rəng]])</f>
        <v>45 Profil  Türk Yan Qara</v>
      </c>
      <c r="K166" s="247" t="s">
        <v>1235</v>
      </c>
      <c r="L166" s="270"/>
      <c r="M166" s="271"/>
      <c r="N166" s="271">
        <f>Tablo6[[#This Row],[Alış qiyməti]]*Tablo6[[#This Row],[Giriş sayı]]</f>
        <v>0</v>
      </c>
      <c r="O166" s="271"/>
      <c r="P166" s="272">
        <f ca="1">Tablo6[[#This Row],[Satılan sayı]]*Tablo6[[#This Row],[Satış qiyməti]]</f>
        <v>0</v>
      </c>
      <c r="Q166" s="272">
        <f ca="1">(Tablo6[[#This Row],[Satış qiyməti]]-Tablo6[[#This Row],[Alış qiyməti]])*Tablo6[[#This Row],[Satılan sayı]]</f>
        <v>0</v>
      </c>
      <c r="R166" s="273">
        <f ca="1">SUMIF(Sifarisler!$M:$AH,Tablo6[[#This Row],[Məhsul kodu]],Sifarisler!N:AH)</f>
        <v>0</v>
      </c>
      <c r="S166" s="274">
        <f ca="1">Tablo6[[#This Row],[Giriş sayı]]-Tablo6[[#This Row],[Satılan sayı]]</f>
        <v>0</v>
      </c>
    </row>
    <row r="167" spans="4:19" ht="17.25">
      <c r="D167" s="256">
        <f t="shared" si="5"/>
        <v>45616</v>
      </c>
      <c r="E167" s="23" t="s">
        <v>1446</v>
      </c>
      <c r="F167" s="15" t="s">
        <v>1233</v>
      </c>
      <c r="G167" s="15" t="s">
        <v>629</v>
      </c>
      <c r="H167" s="259" t="s">
        <v>1448</v>
      </c>
      <c r="I167" s="259" t="str">
        <f>CONCATENATE(Tablo6[[#This Row],[Məhsul adı]]," ",Tablo6[[#This Row],[Rəng]])</f>
        <v>45 Profil  Türk Qızılı</v>
      </c>
      <c r="J167" s="23" t="str">
        <f>CONCATENATE(Tablo6[[#This Row],[Məhsul adı]]," ",Tablo6[[#This Row],[Tip]]," ",Tablo6[[#This Row],[Rəng]])</f>
        <v>45 Profil  Türk Yan Qızılı</v>
      </c>
      <c r="K167" s="247" t="s">
        <v>1235</v>
      </c>
      <c r="L167" s="270"/>
      <c r="M167" s="271"/>
      <c r="N167" s="271">
        <f>Tablo6[[#This Row],[Alış qiyməti]]*Tablo6[[#This Row],[Giriş sayı]]</f>
        <v>0</v>
      </c>
      <c r="O167" s="271"/>
      <c r="P167" s="272">
        <f ca="1">Tablo6[[#This Row],[Satılan sayı]]*Tablo6[[#This Row],[Satış qiyməti]]</f>
        <v>0</v>
      </c>
      <c r="Q167" s="272">
        <f ca="1">(Tablo6[[#This Row],[Satış qiyməti]]-Tablo6[[#This Row],[Alış qiyməti]])*Tablo6[[#This Row],[Satılan sayı]]</f>
        <v>0</v>
      </c>
      <c r="R167" s="273">
        <f ca="1">SUMIF(Sifarisler!$M:$AH,Tablo6[[#This Row],[Məhsul kodu]],Sifarisler!N:AH)</f>
        <v>0</v>
      </c>
      <c r="S167" s="274">
        <f ca="1">Tablo6[[#This Row],[Giriş sayı]]-Tablo6[[#This Row],[Satılan sayı]]</f>
        <v>0</v>
      </c>
    </row>
    <row r="168" spans="4:19" ht="17.25">
      <c r="D168" s="256">
        <f t="shared" si="5"/>
        <v>45616</v>
      </c>
      <c r="E168" s="23" t="s">
        <v>1449</v>
      </c>
      <c r="F168" s="15" t="s">
        <v>1243</v>
      </c>
      <c r="G168" s="15" t="s">
        <v>257</v>
      </c>
      <c r="H168" s="259" t="s">
        <v>1450</v>
      </c>
      <c r="I168" s="259" t="str">
        <f>CONCATENATE(Tablo6[[#This Row],[Məhsul adı]]," ",Tablo6[[#This Row],[Rəng]])</f>
        <v>45 Profil Qulp Türk Qara</v>
      </c>
      <c r="J168" s="23" t="str">
        <f>CONCATENATE(Tablo6[[#This Row],[Məhsul adı]]," ",Tablo6[[#This Row],[Tip]]," ",Tablo6[[#This Row],[Rəng]])</f>
        <v>45 Profil Qulp Türk Boy Qulp Qara</v>
      </c>
      <c r="K168" s="247" t="s">
        <v>1235</v>
      </c>
      <c r="L168" s="270"/>
      <c r="M168" s="271"/>
      <c r="N168" s="271">
        <f>Tablo6[[#This Row],[Alış qiyməti]]*Tablo6[[#This Row],[Giriş sayı]]</f>
        <v>0</v>
      </c>
      <c r="O168" s="271"/>
      <c r="P168" s="272">
        <f ca="1">Tablo6[[#This Row],[Satılan sayı]]*Tablo6[[#This Row],[Satış qiyməti]]</f>
        <v>0</v>
      </c>
      <c r="Q168" s="272">
        <f ca="1">(Tablo6[[#This Row],[Satış qiyməti]]-Tablo6[[#This Row],[Alış qiyməti]])*Tablo6[[#This Row],[Satılan sayı]]</f>
        <v>0</v>
      </c>
      <c r="R168" s="273">
        <f ca="1">SUMIF(Sifarisler!$M:$AH,Tablo6[[#This Row],[Məhsul kodu]],Sifarisler!N:AH)</f>
        <v>0</v>
      </c>
      <c r="S168" s="274">
        <f ca="1">Tablo6[[#This Row],[Giriş sayı]]-Tablo6[[#This Row],[Satılan sayı]]</f>
        <v>0</v>
      </c>
    </row>
    <row r="169" spans="4:19" ht="17.25">
      <c r="D169" s="256">
        <f t="shared" si="5"/>
        <v>45616</v>
      </c>
      <c r="E169" s="23" t="s">
        <v>1449</v>
      </c>
      <c r="F169" s="15" t="s">
        <v>1243</v>
      </c>
      <c r="G169" s="15" t="s">
        <v>629</v>
      </c>
      <c r="H169" s="259" t="s">
        <v>1451</v>
      </c>
      <c r="I169" s="259" t="str">
        <f>CONCATENATE(Tablo6[[#This Row],[Məhsul adı]]," ",Tablo6[[#This Row],[Rəng]])</f>
        <v>45 Profil Qulp Türk Qızılı</v>
      </c>
      <c r="J169" s="23" t="str">
        <f>CONCATENATE(Tablo6[[#This Row],[Məhsul adı]]," ",Tablo6[[#This Row],[Tip]]," ",Tablo6[[#This Row],[Rəng]])</f>
        <v>45 Profil Qulp Türk Boy Qulp Qızılı</v>
      </c>
      <c r="K169" s="247" t="s">
        <v>1235</v>
      </c>
      <c r="L169" s="270"/>
      <c r="M169" s="271"/>
      <c r="N169" s="271">
        <f>Tablo6[[#This Row],[Alış qiyməti]]*Tablo6[[#This Row],[Giriş sayı]]</f>
        <v>0</v>
      </c>
      <c r="O169" s="271"/>
      <c r="P169" s="272">
        <f ca="1">Tablo6[[#This Row],[Satılan sayı]]*Tablo6[[#This Row],[Satış qiyməti]]</f>
        <v>0</v>
      </c>
      <c r="Q169" s="272">
        <f ca="1">(Tablo6[[#This Row],[Satış qiyməti]]-Tablo6[[#This Row],[Alış qiyməti]])*Tablo6[[#This Row],[Satılan sayı]]</f>
        <v>0</v>
      </c>
      <c r="R169" s="273">
        <f ca="1">SUMIF(Sifarisler!$M:$AH,Tablo6[[#This Row],[Məhsul kodu]],Sifarisler!N:AH)</f>
        <v>0</v>
      </c>
      <c r="S169" s="274">
        <f ca="1">Tablo6[[#This Row],[Giriş sayı]]-Tablo6[[#This Row],[Satılan sayı]]</f>
        <v>0</v>
      </c>
    </row>
    <row r="170" spans="4:19" ht="17.25">
      <c r="D170" s="256">
        <f t="shared" si="5"/>
        <v>45616</v>
      </c>
      <c r="E170" s="23" t="s">
        <v>1452</v>
      </c>
      <c r="F170" s="15"/>
      <c r="G170" s="15" t="s">
        <v>1453</v>
      </c>
      <c r="H170" s="260" t="s">
        <v>1454</v>
      </c>
      <c r="I170" s="259" t="str">
        <f>CONCATENATE(Tablo6[[#This Row],[Məhsul adı]]," ",Tablo6[[#This Row],[Rəng]])</f>
        <v>Asqılı Qapı Mexanizmi Albatur</v>
      </c>
      <c r="J170" s="23" t="str">
        <f>CONCATENATE(Tablo6[[#This Row],[Məhsul adı]]," ",Tablo6[[#This Row],[Tip]]," ",Tablo6[[#This Row],[Rəng]])</f>
        <v>Asqılı Qapı Mexanizmi  Albatur</v>
      </c>
      <c r="K170" s="247" t="s">
        <v>1235</v>
      </c>
      <c r="L170" s="270"/>
      <c r="M170" s="271"/>
      <c r="N170" s="271">
        <f>Tablo6[[#This Row],[Alış qiyməti]]*Tablo6[[#This Row],[Giriş sayı]]</f>
        <v>0</v>
      </c>
      <c r="O170" s="271"/>
      <c r="P170" s="272">
        <f ca="1">Tablo6[[#This Row],[Satılan sayı]]*Tablo6[[#This Row],[Satış qiyməti]]</f>
        <v>0</v>
      </c>
      <c r="Q170" s="272">
        <f ca="1">(Tablo6[[#This Row],[Satış qiyməti]]-Tablo6[[#This Row],[Alış qiyməti]])*Tablo6[[#This Row],[Satılan sayı]]</f>
        <v>0</v>
      </c>
      <c r="R170" s="273">
        <f ca="1">SUMIF(Sifarisler!$M:$AH,Tablo6[[#This Row],[Məhsul kodu]],Sifarisler!N:AH)</f>
        <v>0</v>
      </c>
      <c r="S170" s="274">
        <f ca="1">Tablo6[[#This Row],[Giriş sayı]]-Tablo6[[#This Row],[Satılan sayı]]</f>
        <v>0</v>
      </c>
    </row>
    <row r="171" spans="4:19" ht="17.25">
      <c r="D171" s="256">
        <f t="shared" si="5"/>
        <v>45616</v>
      </c>
      <c r="E171" s="23" t="s">
        <v>1455</v>
      </c>
      <c r="F171" s="15"/>
      <c r="G171" s="15" t="s">
        <v>1453</v>
      </c>
      <c r="H171" s="260" t="s">
        <v>1456</v>
      </c>
      <c r="I171" s="259" t="str">
        <f>CONCATENATE(Tablo6[[#This Row],[Məhsul adı]]," ",Tablo6[[#This Row],[Rəng]])</f>
        <v>Təkər Albatur</v>
      </c>
      <c r="J171" s="23" t="str">
        <f>CONCATENATE(Tablo6[[#This Row],[Məhsul adı]]," ",Tablo6[[#This Row],[Tip]]," ",Tablo6[[#This Row],[Rəng]])</f>
        <v>Təkər  Albatur</v>
      </c>
      <c r="K171" s="247" t="s">
        <v>1235</v>
      </c>
      <c r="L171" s="270"/>
      <c r="M171" s="271"/>
      <c r="N171" s="271">
        <f>Tablo6[[#This Row],[Alış qiyməti]]*Tablo6[[#This Row],[Giriş sayı]]</f>
        <v>0</v>
      </c>
      <c r="O171" s="271"/>
      <c r="P171" s="272">
        <f ca="1">Tablo6[[#This Row],[Satılan sayı]]*Tablo6[[#This Row],[Satış qiyməti]]</f>
        <v>0</v>
      </c>
      <c r="Q171" s="272">
        <f ca="1">(Tablo6[[#This Row],[Satış qiyməti]]-Tablo6[[#This Row],[Alış qiyməti]])*Tablo6[[#This Row],[Satılan sayı]]</f>
        <v>0</v>
      </c>
      <c r="R171" s="273">
        <f ca="1">SUMIF(Sifarisler!$M:$AH,Tablo6[[#This Row],[Məhsul kodu]],Sifarisler!N:AH)</f>
        <v>0</v>
      </c>
      <c r="S171" s="274">
        <f ca="1">Tablo6[[#This Row],[Giriş sayı]]-Tablo6[[#This Row],[Satılan sayı]]</f>
        <v>0</v>
      </c>
    </row>
    <row r="172" spans="4:19" ht="17.25">
      <c r="D172" s="256">
        <f t="shared" si="5"/>
        <v>45616</v>
      </c>
      <c r="E172" s="23" t="s">
        <v>1457</v>
      </c>
      <c r="F172" s="15"/>
      <c r="G172" s="15" t="s">
        <v>257</v>
      </c>
      <c r="H172" s="259" t="s">
        <v>1458</v>
      </c>
      <c r="I172" s="259" t="str">
        <f>CONCATENATE(Tablo6[[#This Row],[Məhsul adı]]," ",Tablo6[[#This Row],[Rəng]])</f>
        <v>Açıq Qarderob Profili Qara</v>
      </c>
      <c r="J172" s="23" t="str">
        <f>CONCATENATE(Tablo6[[#This Row],[Məhsul adı]]," ",Tablo6[[#This Row],[Tip]]," ",Tablo6[[#This Row],[Rəng]])</f>
        <v>Açıq Qarderob Profili  Qara</v>
      </c>
      <c r="K172" s="247" t="s">
        <v>1235</v>
      </c>
      <c r="L172" s="270"/>
      <c r="M172" s="271"/>
      <c r="N172" s="271">
        <f>Tablo6[[#This Row],[Alış qiyməti]]*Tablo6[[#This Row],[Giriş sayı]]</f>
        <v>0</v>
      </c>
      <c r="O172" s="271"/>
      <c r="P172" s="272">
        <f ca="1">Tablo6[[#This Row],[Satılan sayı]]*Tablo6[[#This Row],[Satış qiyməti]]</f>
        <v>0</v>
      </c>
      <c r="Q172" s="272">
        <f ca="1">(Tablo6[[#This Row],[Satış qiyməti]]-Tablo6[[#This Row],[Alış qiyməti]])*Tablo6[[#This Row],[Satılan sayı]]</f>
        <v>0</v>
      </c>
      <c r="R172" s="273">
        <f ca="1">SUMIF(Sifarisler!$M:$AH,Tablo6[[#This Row],[Məhsul kodu]],Sifarisler!N:AH)</f>
        <v>0</v>
      </c>
      <c r="S172" s="274">
        <f ca="1">Tablo6[[#This Row],[Giriş sayı]]-Tablo6[[#This Row],[Satılan sayı]]</f>
        <v>0</v>
      </c>
    </row>
    <row r="173" spans="4:19" ht="17.25">
      <c r="D173" s="256">
        <f t="shared" si="5"/>
        <v>45616</v>
      </c>
      <c r="E173" s="23" t="s">
        <v>1459</v>
      </c>
      <c r="F173" s="15"/>
      <c r="G173" s="15" t="s">
        <v>257</v>
      </c>
      <c r="H173" s="259" t="s">
        <v>1460</v>
      </c>
      <c r="I173" s="259" t="str">
        <f>CONCATENATE(Tablo6[[#This Row],[Məhsul adı]]," ",Tablo6[[#This Row],[Rəng]])</f>
        <v>Açıq Qarderob Turbası Qara</v>
      </c>
      <c r="J173" s="23" t="str">
        <f>CONCATENATE(Tablo6[[#This Row],[Məhsul adı]]," ",Tablo6[[#This Row],[Tip]]," ",Tablo6[[#This Row],[Rəng]])</f>
        <v>Açıq Qarderob Turbası  Qara</v>
      </c>
      <c r="K173" s="247" t="s">
        <v>1235</v>
      </c>
      <c r="L173" s="270"/>
      <c r="M173" s="271"/>
      <c r="N173" s="271">
        <f>Tablo6[[#This Row],[Alış qiyməti]]*Tablo6[[#This Row],[Giriş sayı]]</f>
        <v>0</v>
      </c>
      <c r="O173" s="271"/>
      <c r="P173" s="272">
        <f ca="1">Tablo6[[#This Row],[Satılan sayı]]*Tablo6[[#This Row],[Satış qiyməti]]</f>
        <v>0</v>
      </c>
      <c r="Q173" s="272">
        <f ca="1">(Tablo6[[#This Row],[Satış qiyməti]]-Tablo6[[#This Row],[Alış qiyməti]])*Tablo6[[#This Row],[Satılan sayı]]</f>
        <v>0</v>
      </c>
      <c r="R173" s="273">
        <f ca="1">SUMIF(Sifarisler!$M:$AH,Tablo6[[#This Row],[Məhsul kodu]],Sifarisler!N:AH)</f>
        <v>0</v>
      </c>
      <c r="S173" s="274">
        <f ca="1">Tablo6[[#This Row],[Giriş sayı]]-Tablo6[[#This Row],[Satılan sayı]]</f>
        <v>0</v>
      </c>
    </row>
    <row r="174" spans="4:19" ht="17.25">
      <c r="D174" s="256">
        <f t="shared" si="5"/>
        <v>45616</v>
      </c>
      <c r="E174" s="23" t="s">
        <v>1461</v>
      </c>
      <c r="F174" s="15"/>
      <c r="G174" s="15"/>
      <c r="H174" s="260" t="s">
        <v>1462</v>
      </c>
      <c r="I174" s="259" t="str">
        <f>CONCATENATE(Tablo6[[#This Row],[Məhsul adı]]," ",Tablo6[[#This Row],[Rəng]])</f>
        <v xml:space="preserve">Açıq Qarderob Plasmas Bağlantı </v>
      </c>
      <c r="J174" s="23" t="str">
        <f>CONCATENATE(Tablo6[[#This Row],[Məhsul adı]]," ",Tablo6[[#This Row],[Tip]]," ",Tablo6[[#This Row],[Rəng]])</f>
        <v xml:space="preserve">Açıq Qarderob Plasmas Bağlantı  </v>
      </c>
      <c r="K174" s="247" t="s">
        <v>1235</v>
      </c>
      <c r="L174" s="270"/>
      <c r="M174" s="271"/>
      <c r="N174" s="271">
        <f>Tablo6[[#This Row],[Alış qiyməti]]*Tablo6[[#This Row],[Giriş sayı]]</f>
        <v>0</v>
      </c>
      <c r="O174" s="271"/>
      <c r="P174" s="272">
        <f ca="1">Tablo6[[#This Row],[Satılan sayı]]*Tablo6[[#This Row],[Satış qiyməti]]</f>
        <v>0</v>
      </c>
      <c r="Q174" s="272">
        <f ca="1">(Tablo6[[#This Row],[Satış qiyməti]]-Tablo6[[#This Row],[Alış qiyməti]])*Tablo6[[#This Row],[Satılan sayı]]</f>
        <v>0</v>
      </c>
      <c r="R174" s="273">
        <f ca="1">SUMIF(Sifarisler!$M:$AH,Tablo6[[#This Row],[Məhsul kodu]],Sifarisler!N:AH)</f>
        <v>0</v>
      </c>
      <c r="S174" s="274">
        <f ca="1">Tablo6[[#This Row],[Giriş sayı]]-Tablo6[[#This Row],[Satılan sayı]]</f>
        <v>0</v>
      </c>
    </row>
    <row r="175" spans="4:19" ht="17.25">
      <c r="D175" s="256">
        <f t="shared" si="5"/>
        <v>45616</v>
      </c>
      <c r="E175" s="23" t="s">
        <v>1463</v>
      </c>
      <c r="F175" s="15"/>
      <c r="G175" s="15"/>
      <c r="H175" s="260" t="s">
        <v>1464</v>
      </c>
      <c r="I175" s="259" t="str">
        <f>CONCATENATE(Tablo6[[#This Row],[Məhsul adı]]," ",Tablo6[[#This Row],[Rəng]])</f>
        <v xml:space="preserve">Acıq Qarderob İşıq Knişka </v>
      </c>
      <c r="J175" s="23" t="str">
        <f>CONCATENATE(Tablo6[[#This Row],[Məhsul adı]]," ",Tablo6[[#This Row],[Tip]]," ",Tablo6[[#This Row],[Rəng]])</f>
        <v xml:space="preserve">Acıq Qarderob İşıq Knişka  </v>
      </c>
      <c r="K175" s="247" t="s">
        <v>1235</v>
      </c>
      <c r="L175" s="270"/>
      <c r="M175" s="271"/>
      <c r="N175" s="271">
        <f>Tablo6[[#This Row],[Alış qiyməti]]*Tablo6[[#This Row],[Giriş sayı]]</f>
        <v>0</v>
      </c>
      <c r="O175" s="271"/>
      <c r="P175" s="272">
        <f ca="1">Tablo6[[#This Row],[Satılan sayı]]*Tablo6[[#This Row],[Satış qiyməti]]</f>
        <v>0</v>
      </c>
      <c r="Q175" s="272">
        <f ca="1">(Tablo6[[#This Row],[Satış qiyməti]]-Tablo6[[#This Row],[Alış qiyməti]])*Tablo6[[#This Row],[Satılan sayı]]</f>
        <v>0</v>
      </c>
      <c r="R175" s="273">
        <f ca="1">SUMIF(Sifarisler!$M:$AH,Tablo6[[#This Row],[Məhsul kodu]],Sifarisler!N:AH)</f>
        <v>0</v>
      </c>
      <c r="S175" s="274">
        <f ca="1">Tablo6[[#This Row],[Giriş sayı]]-Tablo6[[#This Row],[Satılan sayı]]</f>
        <v>0</v>
      </c>
    </row>
    <row r="176" spans="4:19" ht="17.25">
      <c r="D176" s="256">
        <f t="shared" si="5"/>
        <v>45616</v>
      </c>
      <c r="E176" s="23" t="s">
        <v>1465</v>
      </c>
      <c r="F176" s="15"/>
      <c r="G176" s="15" t="s">
        <v>86</v>
      </c>
      <c r="H176" s="260" t="s">
        <v>1466</v>
      </c>
      <c r="I176" s="259" t="str">
        <f>CONCATENATE(Tablo6[[#This Row],[Məhsul adı]]," ",Tablo6[[#This Row],[Rəng]])</f>
        <v>OPK Mexanizm</v>
      </c>
      <c r="J176" s="23" t="str">
        <f>CONCATENATE(Tablo6[[#This Row],[Məhsul adı]]," ",Tablo6[[#This Row],[Tip]]," ",Tablo6[[#This Row],[Rəng]])</f>
        <v>OPK  Mexanizm</v>
      </c>
      <c r="K176" s="247" t="s">
        <v>1235</v>
      </c>
      <c r="L176" s="270"/>
      <c r="M176" s="271"/>
      <c r="N176" s="271">
        <f>Tablo6[[#This Row],[Alış qiyməti]]*Tablo6[[#This Row],[Giriş sayı]]</f>
        <v>0</v>
      </c>
      <c r="O176" s="271"/>
      <c r="P176" s="272">
        <f ca="1">Tablo6[[#This Row],[Satılan sayı]]*Tablo6[[#This Row],[Satış qiyməti]]</f>
        <v>0</v>
      </c>
      <c r="Q176" s="272">
        <f ca="1">(Tablo6[[#This Row],[Satış qiyməti]]-Tablo6[[#This Row],[Alış qiyməti]])*Tablo6[[#This Row],[Satılan sayı]]</f>
        <v>0</v>
      </c>
      <c r="R176" s="273">
        <f ca="1">SUMIF(Sifarisler!$M:$AH,Tablo6[[#This Row],[Məhsul kodu]],Sifarisler!N:AH)</f>
        <v>0</v>
      </c>
      <c r="S176" s="274">
        <f ca="1">Tablo6[[#This Row],[Giriş sayı]]-Tablo6[[#This Row],[Satılan sayı]]</f>
        <v>0</v>
      </c>
    </row>
    <row r="177" spans="4:19" ht="17.25">
      <c r="D177" s="256">
        <f t="shared" si="5"/>
        <v>45616</v>
      </c>
      <c r="E177" s="23" t="s">
        <v>1465</v>
      </c>
      <c r="F177" s="15"/>
      <c r="G177" s="15" t="s">
        <v>1455</v>
      </c>
      <c r="H177" s="260" t="s">
        <v>1467</v>
      </c>
      <c r="I177" s="259" t="str">
        <f>CONCATENATE(Tablo6[[#This Row],[Məhsul adı]]," ",Tablo6[[#This Row],[Rəng]])</f>
        <v>OPK Təkər</v>
      </c>
      <c r="J177" s="23" t="str">
        <f>CONCATENATE(Tablo6[[#This Row],[Məhsul adı]]," ",Tablo6[[#This Row],[Tip]]," ",Tablo6[[#This Row],[Rəng]])</f>
        <v>OPK  Təkər</v>
      </c>
      <c r="K177" s="247" t="s">
        <v>1235</v>
      </c>
      <c r="L177" s="270"/>
      <c r="M177" s="271"/>
      <c r="N177" s="271">
        <f>Tablo6[[#This Row],[Alış qiyməti]]*Tablo6[[#This Row],[Giriş sayı]]</f>
        <v>0</v>
      </c>
      <c r="O177" s="271"/>
      <c r="P177" s="272">
        <f ca="1">Tablo6[[#This Row],[Satılan sayı]]*Tablo6[[#This Row],[Satış qiyməti]]</f>
        <v>0</v>
      </c>
      <c r="Q177" s="272">
        <f ca="1">(Tablo6[[#This Row],[Satış qiyməti]]-Tablo6[[#This Row],[Alış qiyməti]])*Tablo6[[#This Row],[Satılan sayı]]</f>
        <v>0</v>
      </c>
      <c r="R177" s="273">
        <f ca="1">SUMIF(Sifarisler!$M:$AH,Tablo6[[#This Row],[Məhsul kodu]],Sifarisler!N:AH)</f>
        <v>0</v>
      </c>
      <c r="S177" s="274">
        <f ca="1">Tablo6[[#This Row],[Giriş sayı]]-Tablo6[[#This Row],[Satılan sayı]]</f>
        <v>0</v>
      </c>
    </row>
    <row r="178" spans="4:19" ht="17.25">
      <c r="D178" s="256">
        <f t="shared" si="5"/>
        <v>45616</v>
      </c>
      <c r="E178" s="23" t="s">
        <v>1453</v>
      </c>
      <c r="F178" s="15"/>
      <c r="G178" s="15" t="s">
        <v>1468</v>
      </c>
      <c r="H178" s="260" t="s">
        <v>1469</v>
      </c>
      <c r="I178" s="259" t="str">
        <f>CONCATENATE(Tablo6[[#This Row],[Məhsul adı]]," ",Tablo6[[#This Row],[Rəng]])</f>
        <v>Albatur Rels 2m</v>
      </c>
      <c r="J178" s="23" t="str">
        <f>CONCATENATE(Tablo6[[#This Row],[Məhsul adı]]," ",Tablo6[[#This Row],[Tip]]," ",Tablo6[[#This Row],[Rəng]])</f>
        <v>Albatur  Rels 2m</v>
      </c>
      <c r="K178" s="247" t="s">
        <v>1235</v>
      </c>
      <c r="L178" s="270"/>
      <c r="M178" s="271"/>
      <c r="N178" s="271">
        <f>Tablo6[[#This Row],[Alış qiyməti]]*Tablo6[[#This Row],[Giriş sayı]]</f>
        <v>0</v>
      </c>
      <c r="O178" s="271"/>
      <c r="P178" s="272">
        <f ca="1">Tablo6[[#This Row],[Satılan sayı]]*Tablo6[[#This Row],[Satış qiyməti]]</f>
        <v>0</v>
      </c>
      <c r="Q178" s="272">
        <f ca="1">(Tablo6[[#This Row],[Satış qiyməti]]-Tablo6[[#This Row],[Alış qiyməti]])*Tablo6[[#This Row],[Satılan sayı]]</f>
        <v>0</v>
      </c>
      <c r="R178" s="273">
        <f ca="1">SUMIF(Sifarisler!$M:$AH,Tablo6[[#This Row],[Məhsul kodu]],Sifarisler!N:AH)</f>
        <v>0</v>
      </c>
      <c r="S178" s="274">
        <f ca="1">Tablo6[[#This Row],[Giriş sayı]]-Tablo6[[#This Row],[Satılan sayı]]</f>
        <v>0</v>
      </c>
    </row>
    <row r="179" spans="4:19" ht="17.25">
      <c r="D179" s="256">
        <f t="shared" si="5"/>
        <v>45616</v>
      </c>
      <c r="E179" s="23" t="s">
        <v>1453</v>
      </c>
      <c r="F179" s="15"/>
      <c r="G179" s="15" t="s">
        <v>1470</v>
      </c>
      <c r="H179" s="260" t="s">
        <v>1471</v>
      </c>
      <c r="I179" s="259" t="str">
        <f>CONCATENATE(Tablo6[[#This Row],[Məhsul adı]]," ",Tablo6[[#This Row],[Rəng]])</f>
        <v>Albatur Veqa mexanizmi</v>
      </c>
      <c r="J179" s="23" t="str">
        <f>CONCATENATE(Tablo6[[#This Row],[Məhsul adı]]," ",Tablo6[[#This Row],[Tip]]," ",Tablo6[[#This Row],[Rəng]])</f>
        <v>Albatur  Veqa mexanizmi</v>
      </c>
      <c r="K179" s="247" t="s">
        <v>1235</v>
      </c>
      <c r="L179" s="270"/>
      <c r="M179" s="271"/>
      <c r="N179" s="271">
        <f>Tablo6[[#This Row],[Alış qiyməti]]*Tablo6[[#This Row],[Giriş sayı]]</f>
        <v>0</v>
      </c>
      <c r="O179" s="271"/>
      <c r="P179" s="272">
        <f ca="1">Tablo6[[#This Row],[Satılan sayı]]*Tablo6[[#This Row],[Satış qiyməti]]</f>
        <v>0</v>
      </c>
      <c r="Q179" s="272">
        <f ca="1">(Tablo6[[#This Row],[Satış qiyməti]]-Tablo6[[#This Row],[Alış qiyməti]])*Tablo6[[#This Row],[Satılan sayı]]</f>
        <v>0</v>
      </c>
      <c r="R179" s="273">
        <f ca="1">SUMIF(Sifarisler!$M:$AH,Tablo6[[#This Row],[Məhsul kodu]],Sifarisler!N:AH)</f>
        <v>0</v>
      </c>
      <c r="S179" s="274">
        <f ca="1">Tablo6[[#This Row],[Giriş sayı]]-Tablo6[[#This Row],[Satılan sayı]]</f>
        <v>0</v>
      </c>
    </row>
    <row r="180" spans="4:19" ht="17.25">
      <c r="D180" s="256">
        <f t="shared" si="5"/>
        <v>45616</v>
      </c>
      <c r="E180" s="23" t="s">
        <v>1472</v>
      </c>
      <c r="F180" s="15"/>
      <c r="G180" s="15" t="s">
        <v>1473</v>
      </c>
      <c r="H180" s="259" t="s">
        <v>1474</v>
      </c>
      <c r="I180" s="259" t="str">
        <f>CONCATENATE(Tablo6[[#This Row],[Məhsul adı]]," ",Tablo6[[#This Row],[Rəng]])</f>
        <v>İşıq Profili Qulaqlı  Ağ</v>
      </c>
      <c r="J180" s="23" t="str">
        <f>CONCATENATE(Tablo6[[#This Row],[Məhsul adı]]," ",Tablo6[[#This Row],[Tip]]," ",Tablo6[[#This Row],[Rəng]])</f>
        <v>İşıq Profili Qulaqlı   Ağ</v>
      </c>
      <c r="K180" s="247" t="s">
        <v>1235</v>
      </c>
      <c r="L180" s="270"/>
      <c r="M180" s="271"/>
      <c r="N180" s="271">
        <f>Tablo6[[#This Row],[Alış qiyməti]]*Tablo6[[#This Row],[Giriş sayı]]</f>
        <v>0</v>
      </c>
      <c r="O180" s="271"/>
      <c r="P180" s="272">
        <f ca="1">Tablo6[[#This Row],[Satılan sayı]]*Tablo6[[#This Row],[Satış qiyməti]]</f>
        <v>0</v>
      </c>
      <c r="Q180" s="272">
        <f ca="1">(Tablo6[[#This Row],[Satış qiyməti]]-Tablo6[[#This Row],[Alış qiyməti]])*Tablo6[[#This Row],[Satılan sayı]]</f>
        <v>0</v>
      </c>
      <c r="R180" s="273">
        <f ca="1">SUMIF(Sifarisler!$M:$AH,Tablo6[[#This Row],[Məhsul kodu]],Sifarisler!N:AH)</f>
        <v>0</v>
      </c>
      <c r="S180" s="274">
        <f ca="1">Tablo6[[#This Row],[Giriş sayı]]-Tablo6[[#This Row],[Satılan sayı]]</f>
        <v>0</v>
      </c>
    </row>
    <row r="181" spans="4:19" ht="17.25">
      <c r="D181" s="256">
        <f t="shared" si="5"/>
        <v>45616</v>
      </c>
      <c r="E181" s="23" t="s">
        <v>1472</v>
      </c>
      <c r="F181" s="15"/>
      <c r="G181" s="15" t="s">
        <v>257</v>
      </c>
      <c r="H181" s="259" t="s">
        <v>1475</v>
      </c>
      <c r="I181" s="259" t="str">
        <f>CONCATENATE(Tablo6[[#This Row],[Məhsul adı]]," ",Tablo6[[#This Row],[Rəng]])</f>
        <v>İşıq Profili Qulaqlı  Qara</v>
      </c>
      <c r="J181" s="23" t="str">
        <f>CONCATENATE(Tablo6[[#This Row],[Məhsul adı]]," ",Tablo6[[#This Row],[Tip]]," ",Tablo6[[#This Row],[Rəng]])</f>
        <v>İşıq Profili Qulaqlı   Qara</v>
      </c>
      <c r="K181" s="247" t="s">
        <v>1235</v>
      </c>
      <c r="L181" s="270"/>
      <c r="M181" s="271"/>
      <c r="N181" s="271">
        <f>Tablo6[[#This Row],[Alış qiyməti]]*Tablo6[[#This Row],[Giriş sayı]]</f>
        <v>0</v>
      </c>
      <c r="O181" s="271"/>
      <c r="P181" s="272">
        <f ca="1">Tablo6[[#This Row],[Satılan sayı]]*Tablo6[[#This Row],[Satış qiyməti]]</f>
        <v>0</v>
      </c>
      <c r="Q181" s="272">
        <f ca="1">(Tablo6[[#This Row],[Satış qiyməti]]-Tablo6[[#This Row],[Alış qiyməti]])*Tablo6[[#This Row],[Satılan sayı]]</f>
        <v>0</v>
      </c>
      <c r="R181" s="273">
        <f ca="1">SUMIF(Sifarisler!$M:$AH,Tablo6[[#This Row],[Məhsul kodu]],Sifarisler!N:AH)</f>
        <v>0</v>
      </c>
      <c r="S181" s="274">
        <f ca="1">Tablo6[[#This Row],[Giriş sayı]]-Tablo6[[#This Row],[Satılan sayı]]</f>
        <v>0</v>
      </c>
    </row>
    <row r="182" spans="4:19" ht="17.25">
      <c r="D182" s="256">
        <f t="shared" si="5"/>
        <v>45616</v>
      </c>
      <c r="E182" s="23" t="s">
        <v>1476</v>
      </c>
      <c r="F182" s="15"/>
      <c r="G182" s="15" t="s">
        <v>1473</v>
      </c>
      <c r="H182" s="259" t="s">
        <v>1477</v>
      </c>
      <c r="I182" s="259" t="str">
        <f>CONCATENATE(Tablo6[[#This Row],[Məhsul adı]]," ",Tablo6[[#This Row],[Rəng]])</f>
        <v>İşıq ProfiliQulaqsız Ağ</v>
      </c>
      <c r="J182" s="23" t="str">
        <f>CONCATENATE(Tablo6[[#This Row],[Məhsul adı]]," ",Tablo6[[#This Row],[Tip]]," ",Tablo6[[#This Row],[Rəng]])</f>
        <v>İşıq ProfiliQulaqsız  Ağ</v>
      </c>
      <c r="K182" s="247" t="s">
        <v>1235</v>
      </c>
      <c r="L182" s="270"/>
      <c r="M182" s="271"/>
      <c r="N182" s="271">
        <f>Tablo6[[#This Row],[Alış qiyməti]]*Tablo6[[#This Row],[Giriş sayı]]</f>
        <v>0</v>
      </c>
      <c r="O182" s="271"/>
      <c r="P182" s="272">
        <f ca="1">Tablo6[[#This Row],[Satılan sayı]]*Tablo6[[#This Row],[Satış qiyməti]]</f>
        <v>0</v>
      </c>
      <c r="Q182" s="272">
        <f ca="1">(Tablo6[[#This Row],[Satış qiyməti]]-Tablo6[[#This Row],[Alış qiyməti]])*Tablo6[[#This Row],[Satılan sayı]]</f>
        <v>0</v>
      </c>
      <c r="R182" s="273">
        <f ca="1">SUMIF(Sifarisler!$M:$AH,Tablo6[[#This Row],[Məhsul kodu]],Sifarisler!N:AH)</f>
        <v>0</v>
      </c>
      <c r="S182" s="274">
        <f ca="1">Tablo6[[#This Row],[Giriş sayı]]-Tablo6[[#This Row],[Satılan sayı]]</f>
        <v>0</v>
      </c>
    </row>
    <row r="183" spans="4:19" ht="17.25">
      <c r="D183" s="256">
        <f t="shared" si="5"/>
        <v>45616</v>
      </c>
      <c r="E183" s="23" t="s">
        <v>1476</v>
      </c>
      <c r="F183" s="15"/>
      <c r="G183" s="15" t="s">
        <v>257</v>
      </c>
      <c r="H183" s="259" t="s">
        <v>1478</v>
      </c>
      <c r="I183" s="259" t="str">
        <f>CONCATENATE(Tablo6[[#This Row],[Məhsul adı]]," ",Tablo6[[#This Row],[Rəng]])</f>
        <v>İşıq ProfiliQulaqsız Qara</v>
      </c>
      <c r="J183" s="23" t="str">
        <f>CONCATENATE(Tablo6[[#This Row],[Məhsul adı]]," ",Tablo6[[#This Row],[Tip]]," ",Tablo6[[#This Row],[Rəng]])</f>
        <v>İşıq ProfiliQulaqsız  Qara</v>
      </c>
      <c r="K183" s="247" t="s">
        <v>1235</v>
      </c>
      <c r="L183" s="270"/>
      <c r="M183" s="271"/>
      <c r="N183" s="271">
        <f>Tablo6[[#This Row],[Alış qiyməti]]*Tablo6[[#This Row],[Giriş sayı]]</f>
        <v>0</v>
      </c>
      <c r="O183" s="271"/>
      <c r="P183" s="272">
        <f ca="1">Tablo6[[#This Row],[Satılan sayı]]*Tablo6[[#This Row],[Satış qiyməti]]</f>
        <v>0</v>
      </c>
      <c r="Q183" s="272">
        <f ca="1">(Tablo6[[#This Row],[Satış qiyməti]]-Tablo6[[#This Row],[Alış qiyməti]])*Tablo6[[#This Row],[Satılan sayı]]</f>
        <v>0</v>
      </c>
      <c r="R183" s="273">
        <f ca="1">SUMIF(Sifarisler!$M:$AH,Tablo6[[#This Row],[Məhsul kodu]],Sifarisler!N:AH)</f>
        <v>0</v>
      </c>
      <c r="S183" s="274">
        <f ca="1">Tablo6[[#This Row],[Giriş sayı]]-Tablo6[[#This Row],[Satılan sayı]]</f>
        <v>0</v>
      </c>
    </row>
    <row r="184" spans="4:19" ht="17.25">
      <c r="D184" s="257">
        <f t="shared" si="5"/>
        <v>45616</v>
      </c>
      <c r="E184" s="179" t="s">
        <v>1479</v>
      </c>
      <c r="F184" s="15"/>
      <c r="G184" s="15" t="s">
        <v>1404</v>
      </c>
      <c r="H184" s="261" t="s">
        <v>1480</v>
      </c>
      <c r="I184" s="259" t="str">
        <f>CONCATENATE(Tablo6[[#This Row],[Məhsul adı]]," ",Tablo6[[#This Row],[Rəng]])</f>
        <v>Köşə Türk  Metallik</v>
      </c>
      <c r="J184" s="23" t="str">
        <f>CONCATENATE(Tablo6[[#This Row],[Məhsul adı]]," ",Tablo6[[#This Row],[Tip]]," ",Tablo6[[#This Row],[Rəng]])</f>
        <v>Köşə Türk   Metallik</v>
      </c>
      <c r="K184" s="247" t="s">
        <v>1235</v>
      </c>
      <c r="L184" s="270"/>
      <c r="M184" s="271"/>
      <c r="N184" s="271">
        <f>Tablo6[[#This Row],[Alış qiyməti]]*Tablo6[[#This Row],[Giriş sayı]]</f>
        <v>0</v>
      </c>
      <c r="O184" s="271"/>
      <c r="P184" s="272">
        <f ca="1">Tablo6[[#This Row],[Satılan sayı]]*Tablo6[[#This Row],[Satış qiyməti]]</f>
        <v>0</v>
      </c>
      <c r="Q184" s="272">
        <f ca="1">(Tablo6[[#This Row],[Satış qiyməti]]-Tablo6[[#This Row],[Alış qiyməti]])*Tablo6[[#This Row],[Satılan sayı]]</f>
        <v>0</v>
      </c>
      <c r="R184" s="273">
        <f ca="1">SUMIF(Sifarisler!$M:$AH,Tablo6[[#This Row],[Məhsul kodu]],Sifarisler!N:AH)</f>
        <v>0</v>
      </c>
      <c r="S184" s="274">
        <f ca="1">Tablo6[[#This Row],[Giriş sayı]]-Tablo6[[#This Row],[Satılan sayı]]</f>
        <v>0</v>
      </c>
    </row>
  </sheetData>
  <mergeCells count="1">
    <mergeCell ref="D1:S1"/>
  </mergeCells>
  <phoneticPr fontId="34" type="noConversion"/>
  <dataValidations disablePrompts="1" count="1">
    <dataValidation allowBlank="1" showInputMessage="1" sqref="E3:E184 H3:I184" xr:uid="{271E206A-F7D8-44EC-9A67-9DAC79CB4D9B}"/>
  </dataValidations>
  <pageMargins left="0.7" right="0.7" top="0.75" bottom="0.75" header="0.3" footer="0.3"/>
  <ignoredErrors>
    <ignoredError sqref="D3" calculatedColumn="1"/>
  </ignoredErrors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9C08C835-1D6A-4DB2-BE1D-59A26665E134}">
          <x14:formula1>
            <xm:f>Məlumatlar!$G$3:$G$14</xm:f>
          </x14:formula1>
          <xm:sqref>G180:G184 G4:G169 G172:G175</xm:sqref>
        </x14:dataValidation>
        <x14:dataValidation type="list" allowBlank="1" showInputMessage="1" showErrorMessage="1" xr:uid="{D27AF4BA-8274-4DBF-8568-657DEC30C87E}">
          <x14:formula1>
            <xm:f>Məlumatlar!$L$3:$L$14</xm:f>
          </x14:formula1>
          <xm:sqref>K3:K184</xm:sqref>
        </x14:dataValidation>
        <x14:dataValidation type="list" allowBlank="1" showInputMessage="1" xr:uid="{CC38A533-20B7-4BCD-B275-2E663F2EB221}">
          <x14:formula1>
            <xm:f>Məlumatlar!$G$3:$G$36</xm:f>
          </x14:formula1>
          <xm:sqref>G3:G184</xm:sqref>
        </x14:dataValidation>
        <x14:dataValidation type="list" allowBlank="1" showInputMessage="1" xr:uid="{140CC04D-D625-47D7-94C4-86F3A2C43995}">
          <x14:formula1>
            <xm:f>Məlumatlar!$G$3:$G$14</xm:f>
          </x14:formula1>
          <xm:sqref>G3 G176:G179 G170:G171</xm:sqref>
        </x14:dataValidation>
        <x14:dataValidation type="list" allowBlank="1" showInputMessage="1" xr:uid="{8835272D-BCC5-44D3-9F39-523F1A6DA71D}">
          <x14:formula1>
            <xm:f>Məlumatlar!$H$3:$H$36</xm:f>
          </x14:formula1>
          <xm:sqref>F3:F184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96CC1-ED5B-49CB-9C80-1D2F3450D02F}">
  <sheetPr codeName="Worksheet____11"/>
  <dimension ref="A1:B21"/>
  <sheetViews>
    <sheetView workbookViewId="0">
      <selection activeCell="F18" sqref="F18"/>
    </sheetView>
  </sheetViews>
  <sheetFormatPr defaultRowHeight="15"/>
  <cols>
    <col min="1" max="1" width="12" bestFit="1" customWidth="1"/>
  </cols>
  <sheetData>
    <row r="1" spans="1:2">
      <c r="A1" t="s">
        <v>1481</v>
      </c>
      <c r="B1" t="s">
        <v>1482</v>
      </c>
    </row>
    <row r="2" spans="1:2">
      <c r="A2" t="s">
        <v>1483</v>
      </c>
      <c r="B2">
        <f>COUNTIF(Ayarlar!$H$6:$H$26,data!A2)</f>
        <v>1</v>
      </c>
    </row>
    <row r="3" spans="1:2">
      <c r="A3" t="s">
        <v>1484</v>
      </c>
      <c r="B3">
        <f>COUNTIF(Ayarlar!$H$6:$H$26,data!A3)</f>
        <v>1</v>
      </c>
    </row>
    <row r="4" spans="1:2">
      <c r="A4" t="s">
        <v>1485</v>
      </c>
      <c r="B4">
        <f>COUNTIF(Ayarlar!$H$6:$H$26,data!A4)</f>
        <v>1</v>
      </c>
    </row>
    <row r="5" spans="1:2">
      <c r="A5" t="s">
        <v>78</v>
      </c>
      <c r="B5">
        <f>COUNTIF(Ayarlar!$H$6:$H$26,data!A5)</f>
        <v>1</v>
      </c>
    </row>
    <row r="6" spans="1:2">
      <c r="A6" t="s">
        <v>1486</v>
      </c>
      <c r="B6">
        <f>COUNTIF(Ayarlar!$H$6:$H$26,data!A6)</f>
        <v>1</v>
      </c>
    </row>
    <row r="7" spans="1:2">
      <c r="A7" t="s">
        <v>1487</v>
      </c>
      <c r="B7">
        <f>COUNTIF(Ayarlar!$H$6:$H$26,data!A7)</f>
        <v>0</v>
      </c>
    </row>
    <row r="8" spans="1:2">
      <c r="A8" t="s">
        <v>1488</v>
      </c>
      <c r="B8">
        <f>COUNTIF(Ayarlar!$H$6:$H$26,data!A8)</f>
        <v>0</v>
      </c>
    </row>
    <row r="9" spans="1:2">
      <c r="A9" t="s">
        <v>1489</v>
      </c>
      <c r="B9">
        <f>COUNTIF(Ayarlar!$H$6:$H$26,data!A9)</f>
        <v>1</v>
      </c>
    </row>
    <row r="10" spans="1:2">
      <c r="A10" t="s">
        <v>1490</v>
      </c>
      <c r="B10">
        <f>COUNTIF(Ayarlar!$H$6:$H$26,data!A10)</f>
        <v>0</v>
      </c>
    </row>
    <row r="11" spans="1:2">
      <c r="A11" t="s">
        <v>1491</v>
      </c>
      <c r="B11">
        <f>COUNTIF(Ayarlar!$H$6:$H$26,data!A11)</f>
        <v>0</v>
      </c>
    </row>
    <row r="12" spans="1:2">
      <c r="A12" t="s">
        <v>1492</v>
      </c>
      <c r="B12">
        <f>COUNTIF(Ayarlar!$H$6:$H$26,data!A12)</f>
        <v>0</v>
      </c>
    </row>
    <row r="13" spans="1:2">
      <c r="A13" t="s">
        <v>1493</v>
      </c>
      <c r="B13">
        <f>COUNTIF(Ayarlar!$H$6:$H$26,data!A13)</f>
        <v>0</v>
      </c>
    </row>
    <row r="14" spans="1:2">
      <c r="A14" t="s">
        <v>1494</v>
      </c>
      <c r="B14">
        <f>COUNTIF(Ayarlar!$H$6:$H$26,data!A14)</f>
        <v>0</v>
      </c>
    </row>
    <row r="15" spans="1:2">
      <c r="B15">
        <f>COUNTIF(Ayarlar!$H$6:$H$26,data!A15)</f>
        <v>0</v>
      </c>
    </row>
    <row r="16" spans="1:2">
      <c r="B16">
        <f>COUNTIF(Ayarlar!$H$6:$H$26,data!A16)</f>
        <v>0</v>
      </c>
    </row>
    <row r="17" spans="2:2">
      <c r="B17">
        <f>COUNTIF(Ayarlar!$H$6:$H$26,data!A17)</f>
        <v>0</v>
      </c>
    </row>
    <row r="18" spans="2:2">
      <c r="B18">
        <f>COUNTIF(Ayarlar!$H$6:$H$26,data!A18)</f>
        <v>0</v>
      </c>
    </row>
    <row r="19" spans="2:2">
      <c r="B19">
        <f>COUNTIF(Ayarlar!$H$6:$H$26,data!A19)</f>
        <v>0</v>
      </c>
    </row>
    <row r="20" spans="2:2">
      <c r="B20">
        <f>COUNTIF(Ayarlar!$H$6:$H$26,data!A20)</f>
        <v>0</v>
      </c>
    </row>
    <row r="21" spans="2:2">
      <c r="B21">
        <f>COUNTIF(Ayarlar!$H$6:$H$26,data!A21)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448D4-8E55-4DAB-A089-6D941220917D}">
  <sheetPr codeName="Sayfa14"/>
  <dimension ref="A1:U1"/>
  <sheetViews>
    <sheetView showGridLines="0" workbookViewId="0">
      <selection activeCell="T15" sqref="T15"/>
    </sheetView>
  </sheetViews>
  <sheetFormatPr defaultRowHeight="15"/>
  <cols>
    <col min="1" max="1" width="7.28515625" style="37" customWidth="1"/>
    <col min="2" max="2" width="23.28515625" style="33" hidden="1" customWidth="1"/>
    <col min="3" max="3" width="5.7109375" style="36" customWidth="1"/>
    <col min="4" max="4" width="16.42578125" customWidth="1"/>
    <col min="5" max="5" width="15.28515625" customWidth="1"/>
    <col min="6" max="6" width="18.28515625" customWidth="1"/>
    <col min="7" max="8" width="15.7109375" customWidth="1"/>
  </cols>
  <sheetData>
    <row r="1" spans="2:21" ht="49.5" customHeight="1">
      <c r="B1" s="25"/>
      <c r="C1" s="34"/>
      <c r="D1" s="347" t="s">
        <v>1495</v>
      </c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</row>
  </sheetData>
  <mergeCells count="1">
    <mergeCell ref="D1:U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80EC8-E95C-40C0-A13F-89880ADEB480}">
  <sheetPr codeName="Sayfa10"/>
  <dimension ref="A1:O79"/>
  <sheetViews>
    <sheetView topLeftCell="D1" workbookViewId="0">
      <selection activeCell="H16" sqref="H16"/>
    </sheetView>
  </sheetViews>
  <sheetFormatPr defaultRowHeight="15"/>
  <cols>
    <col min="1" max="1" width="7.28515625" style="37" customWidth="1"/>
    <col min="2" max="2" width="23.28515625" style="33" hidden="1" customWidth="1"/>
    <col min="3" max="3" width="5.7109375" style="36" customWidth="1"/>
    <col min="4" max="4" width="26.5703125" customWidth="1"/>
    <col min="5" max="5" width="16.85546875" customWidth="1"/>
    <col min="6" max="6" width="20" customWidth="1"/>
    <col min="7" max="7" width="14.85546875" customWidth="1"/>
    <col min="8" max="8" width="12.28515625" customWidth="1"/>
    <col min="9" max="9" width="16.42578125" customWidth="1"/>
    <col min="10" max="10" width="16" customWidth="1"/>
    <col min="11" max="11" width="15.42578125" customWidth="1"/>
    <col min="12" max="12" width="14.28515625" customWidth="1"/>
    <col min="13" max="13" width="31" customWidth="1"/>
    <col min="14" max="14" width="14" customWidth="1"/>
    <col min="15" max="15" width="23.5703125" customWidth="1"/>
  </cols>
  <sheetData>
    <row r="1" spans="2:15" ht="49.5" customHeight="1">
      <c r="B1" s="25"/>
      <c r="C1" s="34"/>
      <c r="D1" s="348" t="s">
        <v>1496</v>
      </c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</row>
    <row r="2" spans="2:15" ht="19.5" customHeight="1">
      <c r="D2" s="91" t="s">
        <v>78</v>
      </c>
      <c r="E2" s="100" t="s">
        <v>1497</v>
      </c>
      <c r="F2" s="100" t="s">
        <v>1498</v>
      </c>
      <c r="G2" s="91" t="s">
        <v>1499</v>
      </c>
      <c r="H2" s="92" t="s">
        <v>1500</v>
      </c>
      <c r="I2" s="92" t="s">
        <v>1501</v>
      </c>
      <c r="J2" s="92" t="s">
        <v>66</v>
      </c>
      <c r="K2" s="95" t="s">
        <v>75</v>
      </c>
      <c r="L2" s="97" t="s">
        <v>1227</v>
      </c>
      <c r="M2" s="99" t="s">
        <v>1502</v>
      </c>
      <c r="N2" s="93" t="s">
        <v>95</v>
      </c>
      <c r="O2" s="94" t="s">
        <v>1503</v>
      </c>
    </row>
    <row r="3" spans="2:15">
      <c r="D3" s="78" t="s">
        <v>36</v>
      </c>
      <c r="E3" s="79">
        <v>10</v>
      </c>
      <c r="F3" s="79">
        <v>25</v>
      </c>
      <c r="G3" s="80" t="s">
        <v>257</v>
      </c>
      <c r="H3" s="78" t="s">
        <v>30</v>
      </c>
      <c r="I3" s="78" t="s">
        <v>1504</v>
      </c>
      <c r="J3" s="78" t="s">
        <v>196</v>
      </c>
      <c r="K3" s="98">
        <v>4</v>
      </c>
      <c r="L3" s="96" t="s">
        <v>1505</v>
      </c>
      <c r="M3" s="78" t="s">
        <v>183</v>
      </c>
      <c r="N3" s="254">
        <v>0.1</v>
      </c>
      <c r="O3" s="81" t="s">
        <v>1506</v>
      </c>
    </row>
    <row r="4" spans="2:15">
      <c r="D4" s="78" t="s">
        <v>199</v>
      </c>
      <c r="E4" s="79">
        <v>9</v>
      </c>
      <c r="F4" s="79">
        <v>25</v>
      </c>
      <c r="G4" s="80" t="s">
        <v>629</v>
      </c>
      <c r="H4" s="78" t="s">
        <v>27</v>
      </c>
      <c r="I4" s="78" t="s">
        <v>1507</v>
      </c>
      <c r="J4" s="78" t="s">
        <v>691</v>
      </c>
      <c r="K4" s="98">
        <v>4</v>
      </c>
      <c r="L4" s="78" t="s">
        <v>1235</v>
      </c>
      <c r="M4" s="78" t="s">
        <v>1508</v>
      </c>
      <c r="N4" s="254">
        <v>0.1</v>
      </c>
      <c r="O4" s="78"/>
    </row>
    <row r="5" spans="2:15">
      <c r="D5" s="78" t="s">
        <v>387</v>
      </c>
      <c r="E5" s="79">
        <v>6</v>
      </c>
      <c r="F5" s="79">
        <v>20</v>
      </c>
      <c r="G5" s="80" t="s">
        <v>1237</v>
      </c>
      <c r="H5" s="78" t="s">
        <v>1266</v>
      </c>
      <c r="I5" s="78" t="s">
        <v>1509</v>
      </c>
      <c r="J5" s="78" t="s">
        <v>1510</v>
      </c>
      <c r="K5" s="98">
        <v>4</v>
      </c>
      <c r="L5" s="78" t="s">
        <v>1511</v>
      </c>
      <c r="M5" s="78" t="s">
        <v>405</v>
      </c>
      <c r="N5" s="254">
        <v>0.1</v>
      </c>
      <c r="O5" s="78"/>
    </row>
    <row r="6" spans="2:15">
      <c r="D6" s="78" t="s">
        <v>1219</v>
      </c>
      <c r="E6" s="79"/>
      <c r="F6" s="79"/>
      <c r="G6" s="80" t="s">
        <v>1239</v>
      </c>
      <c r="H6" s="78" t="s">
        <v>1260</v>
      </c>
      <c r="I6" s="78" t="s">
        <v>1512</v>
      </c>
      <c r="J6" s="78" t="s">
        <v>1513</v>
      </c>
      <c r="K6" s="98">
        <v>65</v>
      </c>
      <c r="L6" s="78" t="s">
        <v>1514</v>
      </c>
      <c r="M6" s="78" t="s">
        <v>234</v>
      </c>
      <c r="N6" s="254">
        <v>0.1</v>
      </c>
      <c r="O6" s="78"/>
    </row>
    <row r="7" spans="2:15">
      <c r="D7" s="78" t="s">
        <v>406</v>
      </c>
      <c r="E7" s="79">
        <v>15.5</v>
      </c>
      <c r="F7" s="79">
        <v>35</v>
      </c>
      <c r="G7" s="80" t="s">
        <v>1241</v>
      </c>
      <c r="H7" s="78" t="s">
        <v>1278</v>
      </c>
      <c r="I7" s="78" t="s">
        <v>1515</v>
      </c>
      <c r="J7" s="78" t="s">
        <v>1516</v>
      </c>
      <c r="K7" s="98">
        <v>65</v>
      </c>
      <c r="L7" s="78" t="s">
        <v>1517</v>
      </c>
      <c r="M7" s="78" t="s">
        <v>189</v>
      </c>
      <c r="N7" s="254">
        <v>0.1</v>
      </c>
      <c r="O7" s="78"/>
    </row>
    <row r="8" spans="2:15">
      <c r="D8" s="78" t="s">
        <v>505</v>
      </c>
      <c r="E8" s="79">
        <v>13.6</v>
      </c>
      <c r="F8" s="79">
        <v>35</v>
      </c>
      <c r="G8" s="80" t="s">
        <v>1473</v>
      </c>
      <c r="H8" s="78" t="s">
        <v>1272</v>
      </c>
      <c r="I8" s="78" t="s">
        <v>1518</v>
      </c>
      <c r="J8" s="78" t="s">
        <v>318</v>
      </c>
      <c r="K8" s="98">
        <v>10</v>
      </c>
      <c r="L8" s="78" t="s">
        <v>1519</v>
      </c>
      <c r="M8" s="78" t="s">
        <v>194</v>
      </c>
      <c r="N8" s="78"/>
      <c r="O8" s="78"/>
    </row>
    <row r="9" spans="2:15">
      <c r="D9" s="78" t="s">
        <v>419</v>
      </c>
      <c r="E9" s="79">
        <v>80</v>
      </c>
      <c r="F9" s="79">
        <v>250</v>
      </c>
      <c r="G9" s="80" t="s">
        <v>1404</v>
      </c>
      <c r="H9" s="78" t="s">
        <v>1323</v>
      </c>
      <c r="I9" s="78" t="s">
        <v>16</v>
      </c>
      <c r="J9" s="78"/>
      <c r="K9" s="98"/>
      <c r="L9" s="78" t="s">
        <v>1520</v>
      </c>
      <c r="M9" s="78" t="s">
        <v>278</v>
      </c>
      <c r="N9" s="78"/>
      <c r="O9" s="78"/>
    </row>
    <row r="10" spans="2:15">
      <c r="D10" s="78" t="s">
        <v>232</v>
      </c>
      <c r="E10" s="79">
        <v>80</v>
      </c>
      <c r="F10" s="79">
        <v>250</v>
      </c>
      <c r="G10" s="80" t="s">
        <v>1387</v>
      </c>
      <c r="H10" s="78" t="s">
        <v>1521</v>
      </c>
      <c r="I10" s="78" t="s">
        <v>18</v>
      </c>
      <c r="J10" s="78"/>
      <c r="K10" s="98"/>
      <c r="L10" s="78" t="s">
        <v>1522</v>
      </c>
      <c r="M10" s="78" t="s">
        <v>767</v>
      </c>
      <c r="N10" s="78"/>
      <c r="O10" s="78"/>
    </row>
    <row r="11" spans="2:15">
      <c r="D11" s="78" t="s">
        <v>473</v>
      </c>
      <c r="E11" s="79">
        <v>80</v>
      </c>
      <c r="F11" s="79">
        <v>250</v>
      </c>
      <c r="G11" s="80"/>
      <c r="H11" s="78" t="s">
        <v>1523</v>
      </c>
      <c r="I11" s="78"/>
      <c r="J11" s="78"/>
      <c r="K11" s="98"/>
      <c r="L11" s="78"/>
      <c r="M11" s="78" t="s">
        <v>260</v>
      </c>
      <c r="N11" s="78"/>
      <c r="O11" s="78"/>
    </row>
    <row r="12" spans="2:15">
      <c r="D12" s="78" t="s">
        <v>276</v>
      </c>
      <c r="E12" s="79">
        <v>13</v>
      </c>
      <c r="F12" s="79">
        <v>35</v>
      </c>
      <c r="G12" s="80"/>
      <c r="H12" s="82" t="s">
        <v>1329</v>
      </c>
      <c r="I12" s="82"/>
      <c r="J12" s="82"/>
      <c r="K12" s="98"/>
      <c r="L12" s="82"/>
      <c r="M12" s="78" t="s">
        <v>226</v>
      </c>
      <c r="N12" s="82"/>
      <c r="O12" s="82"/>
    </row>
    <row r="13" spans="2:15">
      <c r="D13" s="78" t="s">
        <v>709</v>
      </c>
      <c r="E13" s="79"/>
      <c r="F13" s="79"/>
      <c r="G13" s="80"/>
      <c r="H13" s="82" t="s">
        <v>1524</v>
      </c>
      <c r="I13" s="82"/>
      <c r="J13" s="82"/>
      <c r="K13" s="98"/>
      <c r="L13" s="82"/>
      <c r="M13" s="78" t="s">
        <v>1525</v>
      </c>
      <c r="N13" s="82"/>
      <c r="O13" s="82"/>
    </row>
    <row r="14" spans="2:15">
      <c r="D14" s="78" t="s">
        <v>1221</v>
      </c>
      <c r="E14" s="79"/>
      <c r="F14" s="79"/>
      <c r="G14" s="80"/>
      <c r="H14" s="263" t="s">
        <v>1233</v>
      </c>
      <c r="I14" s="82"/>
      <c r="J14" s="82"/>
      <c r="K14" s="98"/>
      <c r="L14" s="82"/>
      <c r="M14" s="78" t="s">
        <v>1526</v>
      </c>
      <c r="N14" s="82"/>
      <c r="O14" s="82"/>
    </row>
    <row r="15" spans="2:15">
      <c r="D15" s="83" t="s">
        <v>490</v>
      </c>
      <c r="E15" s="79">
        <v>19</v>
      </c>
      <c r="F15" s="79">
        <v>30</v>
      </c>
      <c r="G15" s="82"/>
      <c r="H15" s="82" t="s">
        <v>1243</v>
      </c>
      <c r="I15" s="82"/>
      <c r="J15" s="82"/>
      <c r="K15" s="98"/>
      <c r="L15" s="82"/>
      <c r="M15" s="78" t="s">
        <v>1527</v>
      </c>
      <c r="N15" s="82"/>
      <c r="O15" s="82"/>
    </row>
    <row r="16" spans="2:15">
      <c r="D16" s="78" t="s">
        <v>325</v>
      </c>
      <c r="E16" s="79">
        <v>29</v>
      </c>
      <c r="F16" s="79">
        <v>35</v>
      </c>
      <c r="G16" s="82"/>
      <c r="H16" s="82"/>
      <c r="I16" s="82"/>
      <c r="J16" s="82"/>
      <c r="K16" s="98"/>
      <c r="L16" s="82"/>
      <c r="M16" s="78" t="s">
        <v>1528</v>
      </c>
      <c r="N16" s="82"/>
      <c r="O16" s="82"/>
    </row>
    <row r="17" spans="4:15">
      <c r="D17" s="83" t="s">
        <v>203</v>
      </c>
      <c r="E17" s="79">
        <v>29</v>
      </c>
      <c r="F17" s="79">
        <v>35</v>
      </c>
      <c r="G17" s="82"/>
      <c r="H17" s="82"/>
      <c r="I17" s="82"/>
      <c r="J17" s="82"/>
      <c r="K17" s="98"/>
      <c r="L17" s="82"/>
      <c r="M17" s="78" t="s">
        <v>826</v>
      </c>
      <c r="N17" s="82"/>
      <c r="O17" s="82"/>
    </row>
    <row r="18" spans="4:15">
      <c r="D18" s="82"/>
      <c r="E18" s="82"/>
      <c r="F18" s="82"/>
      <c r="G18" s="82"/>
      <c r="H18" s="82"/>
      <c r="I18" s="82"/>
      <c r="J18" s="82"/>
      <c r="K18" s="82"/>
      <c r="L18" s="82"/>
      <c r="M18" s="78" t="s">
        <v>1529</v>
      </c>
      <c r="N18" s="82"/>
      <c r="O18" s="82"/>
    </row>
    <row r="19" spans="4:15">
      <c r="D19" s="46"/>
      <c r="E19" s="46"/>
      <c r="F19" s="46"/>
      <c r="G19" s="46"/>
      <c r="H19" s="46"/>
      <c r="I19" s="46"/>
      <c r="J19" s="46"/>
      <c r="K19" s="46"/>
      <c r="L19" s="46"/>
      <c r="M19" s="78" t="s">
        <v>1530</v>
      </c>
      <c r="N19" s="46"/>
      <c r="O19" s="46"/>
    </row>
    <row r="20" spans="4:15">
      <c r="D20" s="46"/>
      <c r="E20" s="46"/>
      <c r="F20" s="46"/>
      <c r="G20" s="46"/>
      <c r="H20" s="46"/>
      <c r="I20" s="46"/>
      <c r="J20" s="46"/>
      <c r="K20" s="46"/>
      <c r="L20" s="46"/>
      <c r="M20" s="78" t="s">
        <v>1531</v>
      </c>
      <c r="N20" s="46"/>
      <c r="O20" s="46"/>
    </row>
    <row r="21" spans="4:15">
      <c r="D21" s="46"/>
      <c r="E21" s="46"/>
      <c r="F21" s="46"/>
      <c r="G21" s="46"/>
      <c r="H21" s="46"/>
      <c r="I21" s="46"/>
      <c r="J21" s="46"/>
      <c r="K21" s="46"/>
      <c r="L21" s="46"/>
      <c r="M21" s="78" t="s">
        <v>1532</v>
      </c>
      <c r="N21" s="46"/>
      <c r="O21" s="46"/>
    </row>
    <row r="22" spans="4:15">
      <c r="D22" s="46"/>
      <c r="E22" s="46"/>
      <c r="F22" s="46"/>
      <c r="G22" s="46"/>
      <c r="H22" s="46"/>
      <c r="I22" s="46"/>
      <c r="J22" s="46"/>
      <c r="K22" s="46"/>
      <c r="L22" s="46"/>
      <c r="M22" s="78" t="s">
        <v>826</v>
      </c>
      <c r="N22" s="46"/>
      <c r="O22" s="46"/>
    </row>
    <row r="23" spans="4:15">
      <c r="D23" s="46"/>
      <c r="E23" s="46"/>
      <c r="F23" s="46"/>
      <c r="G23" s="46"/>
      <c r="H23" s="46"/>
      <c r="I23" s="46"/>
      <c r="J23" s="46"/>
      <c r="K23" s="46"/>
      <c r="L23" s="46"/>
      <c r="M23" s="78" t="s">
        <v>1533</v>
      </c>
      <c r="N23" s="46"/>
      <c r="O23" s="46"/>
    </row>
    <row r="24" spans="4:15">
      <c r="D24" s="46"/>
      <c r="E24" s="46"/>
      <c r="F24" s="46"/>
      <c r="G24" s="46"/>
      <c r="H24" s="46"/>
      <c r="I24" s="46"/>
      <c r="J24" s="46"/>
      <c r="K24" s="46"/>
      <c r="L24" s="46"/>
      <c r="M24" s="78" t="s">
        <v>470</v>
      </c>
      <c r="N24" s="46"/>
      <c r="O24" s="46"/>
    </row>
    <row r="25" spans="4:15">
      <c r="D25" s="46"/>
      <c r="E25" s="46"/>
      <c r="F25" s="46"/>
      <c r="G25" s="46"/>
      <c r="H25" s="46"/>
      <c r="I25" s="46"/>
      <c r="J25" s="46"/>
      <c r="K25" s="46"/>
      <c r="L25" s="46"/>
      <c r="M25" s="78" t="s">
        <v>715</v>
      </c>
      <c r="N25" s="46"/>
      <c r="O25" s="46"/>
    </row>
    <row r="26" spans="4:15">
      <c r="D26" s="46"/>
      <c r="E26" s="46"/>
      <c r="F26" s="46"/>
      <c r="G26" s="46"/>
      <c r="H26" s="46"/>
      <c r="I26" s="46"/>
      <c r="J26" s="46"/>
      <c r="K26" s="46"/>
      <c r="L26" s="46"/>
      <c r="M26" s="78" t="s">
        <v>1534</v>
      </c>
      <c r="N26" s="46"/>
      <c r="O26" s="46"/>
    </row>
    <row r="27" spans="4:15">
      <c r="D27" s="46"/>
      <c r="E27" s="46"/>
      <c r="F27" s="46"/>
      <c r="G27" s="46"/>
      <c r="H27" s="46"/>
      <c r="I27" s="46"/>
      <c r="J27" s="46"/>
      <c r="K27" s="46"/>
      <c r="L27" s="46"/>
      <c r="M27" s="78" t="s">
        <v>816</v>
      </c>
      <c r="N27" s="46"/>
      <c r="O27" s="46"/>
    </row>
    <row r="28" spans="4:15">
      <c r="D28" s="46"/>
      <c r="E28" s="46"/>
      <c r="F28" s="46"/>
      <c r="G28" s="46"/>
      <c r="H28" s="46"/>
      <c r="I28" s="46"/>
      <c r="J28" s="46"/>
      <c r="K28" s="46"/>
      <c r="L28" s="46"/>
      <c r="M28" s="78" t="s">
        <v>1535</v>
      </c>
      <c r="N28" s="46"/>
      <c r="O28" s="46"/>
    </row>
    <row r="29" spans="4:15">
      <c r="D29" s="46"/>
      <c r="E29" s="46"/>
      <c r="F29" s="46"/>
      <c r="G29" s="46"/>
      <c r="H29" s="46"/>
      <c r="I29" s="46"/>
      <c r="J29" s="46"/>
      <c r="K29" s="46"/>
      <c r="L29" s="46"/>
      <c r="M29" s="78" t="s">
        <v>1536</v>
      </c>
      <c r="N29" s="46"/>
      <c r="O29" s="46"/>
    </row>
    <row r="30" spans="4:15">
      <c r="D30" s="46"/>
      <c r="E30" s="46"/>
      <c r="F30" s="46"/>
      <c r="G30" s="46"/>
      <c r="H30" s="46"/>
      <c r="I30" s="46"/>
      <c r="J30" s="46"/>
      <c r="K30" s="46"/>
      <c r="L30" s="46"/>
      <c r="M30" s="78" t="s">
        <v>1537</v>
      </c>
      <c r="N30" s="46"/>
      <c r="O30" s="46"/>
    </row>
    <row r="31" spans="4:15">
      <c r="D31" s="46"/>
      <c r="E31" s="46"/>
      <c r="F31" s="46"/>
      <c r="G31" s="46"/>
      <c r="H31" s="46"/>
      <c r="I31" s="46"/>
      <c r="J31" s="46"/>
      <c r="K31" s="46"/>
      <c r="L31" s="46"/>
      <c r="M31" s="78" t="s">
        <v>1538</v>
      </c>
      <c r="N31" s="46"/>
      <c r="O31" s="46"/>
    </row>
    <row r="32" spans="4:15">
      <c r="D32" s="46"/>
      <c r="E32" s="46"/>
      <c r="F32" s="46"/>
      <c r="G32" s="46"/>
      <c r="H32" s="46"/>
      <c r="I32" s="46"/>
      <c r="J32" s="46"/>
      <c r="K32" s="46"/>
      <c r="L32" s="46"/>
      <c r="M32" s="78" t="s">
        <v>1539</v>
      </c>
      <c r="N32" s="46"/>
      <c r="O32" s="46"/>
    </row>
    <row r="33" spans="4:15">
      <c r="D33" s="46"/>
      <c r="E33" s="46"/>
      <c r="F33" s="46"/>
      <c r="G33" s="46"/>
      <c r="H33" s="46"/>
      <c r="I33" s="46"/>
      <c r="J33" s="46"/>
      <c r="K33" s="46"/>
      <c r="L33" s="46"/>
      <c r="M33" s="78" t="s">
        <v>1540</v>
      </c>
      <c r="N33" s="46"/>
      <c r="O33" s="46"/>
    </row>
    <row r="34" spans="4:15">
      <c r="D34" s="46"/>
      <c r="E34" s="46"/>
      <c r="F34" s="46"/>
      <c r="G34" s="46"/>
      <c r="H34" s="46"/>
      <c r="I34" s="46"/>
      <c r="J34" s="46"/>
      <c r="K34" s="46"/>
      <c r="L34" s="46"/>
      <c r="M34" s="78" t="s">
        <v>1541</v>
      </c>
      <c r="N34" s="46"/>
      <c r="O34" s="46"/>
    </row>
    <row r="35" spans="4:15">
      <c r="D35" s="46"/>
      <c r="E35" s="46"/>
      <c r="F35" s="46"/>
      <c r="G35" s="46"/>
      <c r="H35" s="46"/>
      <c r="I35" s="46"/>
      <c r="J35" s="46"/>
      <c r="K35" s="46"/>
      <c r="L35" s="46"/>
      <c r="M35" s="78" t="s">
        <v>1542</v>
      </c>
      <c r="N35" s="46"/>
      <c r="O35" s="46"/>
    </row>
    <row r="36" spans="4:15">
      <c r="D36" s="46"/>
      <c r="E36" s="46"/>
      <c r="F36" s="46"/>
      <c r="G36" s="46"/>
      <c r="H36" s="46"/>
      <c r="I36" s="46"/>
      <c r="J36" s="46"/>
      <c r="K36" s="46"/>
      <c r="L36" s="46"/>
      <c r="M36" s="78" t="s">
        <v>1543</v>
      </c>
      <c r="N36" s="46"/>
      <c r="O36" s="46"/>
    </row>
    <row r="37" spans="4:15">
      <c r="M37" s="78" t="s">
        <v>1539</v>
      </c>
    </row>
    <row r="38" spans="4:15">
      <c r="M38" s="78" t="s">
        <v>1544</v>
      </c>
    </row>
    <row r="39" spans="4:15">
      <c r="M39" s="78" t="s">
        <v>1545</v>
      </c>
    </row>
    <row r="40" spans="4:15">
      <c r="M40" s="78" t="s">
        <v>1546</v>
      </c>
    </row>
    <row r="41" spans="4:15">
      <c r="M41" s="78" t="s">
        <v>1547</v>
      </c>
    </row>
    <row r="42" spans="4:15">
      <c r="M42" s="78" t="s">
        <v>581</v>
      </c>
    </row>
    <row r="43" spans="4:15">
      <c r="M43" s="78" t="s">
        <v>1548</v>
      </c>
    </row>
    <row r="44" spans="4:15">
      <c r="M44" s="78" t="s">
        <v>270</v>
      </c>
    </row>
    <row r="45" spans="4:15">
      <c r="M45" s="78" t="s">
        <v>429</v>
      </c>
    </row>
    <row r="46" spans="4:15">
      <c r="M46" s="78" t="s">
        <v>1549</v>
      </c>
    </row>
    <row r="47" spans="4:15">
      <c r="M47" s="78" t="s">
        <v>1550</v>
      </c>
    </row>
    <row r="48" spans="4:15">
      <c r="M48" s="78" t="s">
        <v>1551</v>
      </c>
    </row>
    <row r="49" spans="13:13">
      <c r="M49" s="78" t="s">
        <v>1345</v>
      </c>
    </row>
    <row r="50" spans="13:13">
      <c r="M50" s="78" t="s">
        <v>1552</v>
      </c>
    </row>
    <row r="51" spans="13:13">
      <c r="M51" s="78" t="s">
        <v>1553</v>
      </c>
    </row>
    <row r="52" spans="13:13">
      <c r="M52" s="78" t="s">
        <v>266</v>
      </c>
    </row>
    <row r="53" spans="13:13">
      <c r="M53" s="78" t="s">
        <v>758</v>
      </c>
    </row>
    <row r="54" spans="13:13">
      <c r="M54" s="78" t="s">
        <v>1554</v>
      </c>
    </row>
    <row r="55" spans="13:13">
      <c r="M55" s="78" t="s">
        <v>258</v>
      </c>
    </row>
    <row r="56" spans="13:13">
      <c r="M56" s="78" t="s">
        <v>1555</v>
      </c>
    </row>
    <row r="57" spans="13:13">
      <c r="M57" s="78" t="s">
        <v>1556</v>
      </c>
    </row>
    <row r="58" spans="13:13">
      <c r="M58" s="78" t="s">
        <v>1557</v>
      </c>
    </row>
    <row r="59" spans="13:13">
      <c r="M59" s="78" t="s">
        <v>299</v>
      </c>
    </row>
    <row r="60" spans="13:13">
      <c r="M60" s="78" t="s">
        <v>302</v>
      </c>
    </row>
    <row r="61" spans="13:13">
      <c r="M61" s="78" t="s">
        <v>1558</v>
      </c>
    </row>
    <row r="62" spans="13:13">
      <c r="M62" s="78" t="s">
        <v>1559</v>
      </c>
    </row>
    <row r="63" spans="13:13">
      <c r="M63" s="78" t="s">
        <v>1560</v>
      </c>
    </row>
    <row r="64" spans="13:13">
      <c r="M64" s="78" t="s">
        <v>1561</v>
      </c>
    </row>
    <row r="65" spans="13:13">
      <c r="M65" s="78" t="s">
        <v>1562</v>
      </c>
    </row>
    <row r="66" spans="13:13">
      <c r="M66" s="78" t="s">
        <v>1563</v>
      </c>
    </row>
    <row r="67" spans="13:13">
      <c r="M67" s="78" t="s">
        <v>1564</v>
      </c>
    </row>
    <row r="68" spans="13:13">
      <c r="M68" s="78" t="s">
        <v>1565</v>
      </c>
    </row>
    <row r="69" spans="13:13">
      <c r="M69" s="216" t="s">
        <v>835</v>
      </c>
    </row>
    <row r="70" spans="13:13">
      <c r="M70" s="216" t="s">
        <v>417</v>
      </c>
    </row>
    <row r="71" spans="13:13">
      <c r="M71" s="216" t="s">
        <v>410</v>
      </c>
    </row>
    <row r="72" spans="13:13">
      <c r="M72" s="216" t="s">
        <v>317</v>
      </c>
    </row>
    <row r="73" spans="13:13">
      <c r="M73" s="216" t="s">
        <v>275</v>
      </c>
    </row>
    <row r="74" spans="13:13">
      <c r="M74" s="216" t="s">
        <v>223</v>
      </c>
    </row>
    <row r="75" spans="13:13">
      <c r="M75" s="216"/>
    </row>
    <row r="76" spans="13:13">
      <c r="M76" s="216"/>
    </row>
    <row r="77" spans="13:13">
      <c r="M77" s="216"/>
    </row>
    <row r="78" spans="13:13">
      <c r="M78" s="216"/>
    </row>
    <row r="79" spans="13:13">
      <c r="M79" s="216"/>
    </row>
  </sheetData>
  <mergeCells count="1">
    <mergeCell ref="D1:O1"/>
  </mergeCells>
  <phoneticPr fontId="34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2F436-D33F-4C50-A482-E989C202F7A7}">
  <sheetPr codeName="Sayfa13"/>
  <dimension ref="A1:M7"/>
  <sheetViews>
    <sheetView workbookViewId="0">
      <selection activeCell="F13" sqref="F13"/>
    </sheetView>
  </sheetViews>
  <sheetFormatPr defaultRowHeight="15"/>
  <cols>
    <col min="1" max="1" width="7.28515625" style="37" customWidth="1"/>
    <col min="2" max="2" width="23.28515625" style="33" hidden="1" customWidth="1"/>
    <col min="3" max="3" width="5.7109375" style="36" customWidth="1"/>
    <col min="4" max="4" width="16.42578125" customWidth="1"/>
    <col min="5" max="5" width="15.28515625" customWidth="1"/>
    <col min="6" max="6" width="18.28515625" customWidth="1"/>
    <col min="7" max="7" width="26" customWidth="1"/>
    <col min="8" max="8" width="15.7109375" customWidth="1"/>
    <col min="10" max="12" width="18.28515625" customWidth="1"/>
    <col min="13" max="13" width="18.140625" customWidth="1"/>
  </cols>
  <sheetData>
    <row r="1" spans="2:13" ht="49.5" customHeight="1">
      <c r="B1" s="25"/>
      <c r="C1" s="34"/>
      <c r="D1" s="347" t="s">
        <v>1566</v>
      </c>
      <c r="E1" s="350"/>
      <c r="F1" s="350"/>
      <c r="G1" s="350"/>
      <c r="H1" s="350"/>
      <c r="J1" s="351" t="s">
        <v>1567</v>
      </c>
      <c r="K1" s="351"/>
      <c r="L1" s="351"/>
    </row>
    <row r="2" spans="2:13" ht="19.5">
      <c r="C2" s="35"/>
      <c r="D2" s="26" t="s">
        <v>1568</v>
      </c>
      <c r="E2" s="26" t="s">
        <v>1569</v>
      </c>
      <c r="F2" s="27" t="s">
        <v>1570</v>
      </c>
      <c r="G2" s="27" t="s">
        <v>1571</v>
      </c>
      <c r="H2" s="28" t="s">
        <v>1501</v>
      </c>
      <c r="J2" s="61" t="s">
        <v>1572</v>
      </c>
      <c r="K2" s="61" t="s">
        <v>1222</v>
      </c>
      <c r="L2" s="61" t="s">
        <v>1573</v>
      </c>
    </row>
    <row r="3" spans="2:13" ht="21.75">
      <c r="D3" s="38" t="s">
        <v>114</v>
      </c>
      <c r="E3" s="38" t="s">
        <v>1574</v>
      </c>
      <c r="F3" s="39" t="s">
        <v>1575</v>
      </c>
      <c r="G3" s="39" t="s">
        <v>1576</v>
      </c>
      <c r="H3" s="40" t="s">
        <v>1577</v>
      </c>
      <c r="J3" s="62" t="s">
        <v>114</v>
      </c>
      <c r="K3" s="63">
        <v>45874</v>
      </c>
      <c r="L3" s="109">
        <v>0.55197916666666669</v>
      </c>
      <c r="M3" s="60">
        <f ca="1">NOW()</f>
        <v>45884.651621180557</v>
      </c>
    </row>
    <row r="4" spans="2:13" ht="21.75">
      <c r="D4" s="38" t="s">
        <v>1578</v>
      </c>
      <c r="E4" s="38" t="s">
        <v>1579</v>
      </c>
      <c r="F4" s="39" t="s">
        <v>1580</v>
      </c>
      <c r="G4" s="39" t="s">
        <v>1576</v>
      </c>
      <c r="H4" s="40" t="s">
        <v>1577</v>
      </c>
    </row>
    <row r="5" spans="2:13" ht="21.75">
      <c r="D5" s="38" t="s">
        <v>118</v>
      </c>
      <c r="E5" s="38" t="s">
        <v>1581</v>
      </c>
      <c r="F5" s="39" t="s">
        <v>1582</v>
      </c>
      <c r="G5" s="39" t="s">
        <v>1583</v>
      </c>
      <c r="H5" s="40" t="s">
        <v>1577</v>
      </c>
    </row>
    <row r="6" spans="2:13" ht="21.75">
      <c r="D6" s="38" t="s">
        <v>1584</v>
      </c>
      <c r="E6" s="51" t="s">
        <v>1585</v>
      </c>
      <c r="F6" s="39" t="s">
        <v>1586</v>
      </c>
      <c r="G6" s="39" t="s">
        <v>1587</v>
      </c>
      <c r="H6" s="40" t="s">
        <v>1588</v>
      </c>
    </row>
    <row r="7" spans="2:13" ht="21.75">
      <c r="D7" s="38" t="s">
        <v>339</v>
      </c>
      <c r="E7" s="38" t="s">
        <v>1589</v>
      </c>
      <c r="F7" s="39" t="s">
        <v>1590</v>
      </c>
      <c r="G7" s="39" t="s">
        <v>1587</v>
      </c>
      <c r="H7" s="40" t="s">
        <v>1588</v>
      </c>
    </row>
  </sheetData>
  <mergeCells count="2">
    <mergeCell ref="D1:H1"/>
    <mergeCell ref="J1:L1"/>
  </mergeCells>
  <dataValidations count="1">
    <dataValidation type="list" allowBlank="1" showInputMessage="1" showErrorMessage="1" sqref="H3:H7" xr:uid="{C7989AB7-BBE0-45D2-8BEA-CDC12C925F20}">
      <formula1>"Admin,Satici"</formula1>
    </dataValidation>
  </dataValidations>
  <hyperlinks>
    <hyperlink ref="E6" r:id="rId1" xr:uid="{1AE4767F-30E4-4FE8-9223-3FFFF2EDFC58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C3EDF-3BBD-4345-BE9B-E6E181A9346F}">
  <sheetPr codeName="Sayfa15"/>
  <dimension ref="A1:H8"/>
  <sheetViews>
    <sheetView workbookViewId="0">
      <selection activeCell="G14" sqref="G14"/>
    </sheetView>
  </sheetViews>
  <sheetFormatPr defaultRowHeight="15"/>
  <cols>
    <col min="1" max="1" width="7.28515625" style="37" customWidth="1"/>
    <col min="2" max="2" width="23.28515625" style="33" hidden="1" customWidth="1"/>
    <col min="3" max="3" width="5.7109375" style="36" customWidth="1"/>
    <col min="4" max="4" width="21.140625" customWidth="1"/>
    <col min="5" max="5" width="20.7109375" customWidth="1"/>
    <col min="6" max="6" width="18.28515625" customWidth="1"/>
    <col min="7" max="7" width="22.5703125" customWidth="1"/>
    <col min="8" max="8" width="19.7109375" customWidth="1"/>
    <col min="9" max="9" width="9.140625" customWidth="1"/>
    <col min="11" max="11" width="9.140625" customWidth="1"/>
  </cols>
  <sheetData>
    <row r="1" spans="2:8" ht="49.5" customHeight="1">
      <c r="B1" s="25"/>
      <c r="C1" s="34"/>
      <c r="D1" s="347" t="s">
        <v>1591</v>
      </c>
      <c r="E1" s="350"/>
      <c r="F1" s="350"/>
      <c r="G1" s="350"/>
      <c r="H1" s="350"/>
    </row>
    <row r="2" spans="2:8">
      <c r="C2" s="35"/>
    </row>
    <row r="3" spans="2:8" ht="17.25">
      <c r="D3" s="352" t="s">
        <v>105</v>
      </c>
      <c r="E3" s="352"/>
      <c r="F3" s="46"/>
      <c r="G3" s="352" t="s">
        <v>106</v>
      </c>
      <c r="H3" s="352"/>
    </row>
    <row r="4" spans="2:8" ht="17.25">
      <c r="D4" s="56" t="s">
        <v>37</v>
      </c>
      <c r="E4" s="56" t="s">
        <v>1592</v>
      </c>
      <c r="F4" s="57"/>
      <c r="G4" s="56" t="s">
        <v>37</v>
      </c>
      <c r="H4" s="56" t="s">
        <v>1592</v>
      </c>
    </row>
    <row r="5" spans="2:8">
      <c r="D5" s="59">
        <v>45621</v>
      </c>
      <c r="E5" s="58" t="s">
        <v>1593</v>
      </c>
      <c r="G5" s="60">
        <v>45623.744386574072</v>
      </c>
      <c r="H5" t="s">
        <v>1594</v>
      </c>
    </row>
    <row r="6" spans="2:8">
      <c r="D6" s="60">
        <v>45621.963564814818</v>
      </c>
      <c r="E6" s="58" t="s">
        <v>1595</v>
      </c>
    </row>
    <row r="7" spans="2:8">
      <c r="D7" s="60">
        <v>45621.96429398148</v>
      </c>
      <c r="E7" s="58" t="s">
        <v>1596</v>
      </c>
    </row>
    <row r="8" spans="2:8">
      <c r="D8" s="60">
        <v>45621.982766203706</v>
      </c>
      <c r="E8" s="58" t="s">
        <v>1597</v>
      </c>
    </row>
  </sheetData>
  <mergeCells count="3">
    <mergeCell ref="D1:H1"/>
    <mergeCell ref="D3:E3"/>
    <mergeCell ref="G3:H3"/>
  </mergeCells>
  <phoneticPr fontId="34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8FC89-F714-441A-ABDE-987E4700A9A3}">
  <sheetPr codeName="Sayfa1"/>
  <dimension ref="B16:U23"/>
  <sheetViews>
    <sheetView topLeftCell="C13" workbookViewId="0">
      <selection activeCell="V40" sqref="V40"/>
    </sheetView>
  </sheetViews>
  <sheetFormatPr defaultRowHeight="15"/>
  <cols>
    <col min="2" max="2" width="16.28515625" bestFit="1" customWidth="1"/>
    <col min="3" max="3" width="22" bestFit="1" customWidth="1"/>
    <col min="12" max="12" width="17.42578125" bestFit="1" customWidth="1"/>
    <col min="13" max="13" width="22" bestFit="1" customWidth="1"/>
    <col min="20" max="20" width="20" bestFit="1" customWidth="1"/>
    <col min="21" max="22" width="12.7109375" bestFit="1" customWidth="1"/>
  </cols>
  <sheetData>
    <row r="16" spans="12:21">
      <c r="L16" s="48" t="s">
        <v>1598</v>
      </c>
      <c r="M16" t="s">
        <v>1599</v>
      </c>
      <c r="T16" s="48" t="s">
        <v>1598</v>
      </c>
      <c r="U16" t="s">
        <v>1600</v>
      </c>
    </row>
    <row r="17" spans="2:21">
      <c r="B17" s="48" t="s">
        <v>1598</v>
      </c>
      <c r="C17" t="s">
        <v>1599</v>
      </c>
      <c r="L17" s="49" t="s">
        <v>1601</v>
      </c>
      <c r="M17">
        <v>7531</v>
      </c>
      <c r="T17" s="49" t="s">
        <v>123</v>
      </c>
      <c r="U17">
        <v>7970</v>
      </c>
    </row>
    <row r="18" spans="2:21">
      <c r="B18" s="49" t="s">
        <v>585</v>
      </c>
      <c r="C18">
        <v>7547</v>
      </c>
      <c r="L18" s="49" t="s">
        <v>41</v>
      </c>
      <c r="M18">
        <v>9799</v>
      </c>
      <c r="T18" s="49" t="s">
        <v>158</v>
      </c>
      <c r="U18">
        <v>13047</v>
      </c>
    </row>
    <row r="19" spans="2:21">
      <c r="B19" s="49" t="s">
        <v>174</v>
      </c>
      <c r="C19">
        <v>6009</v>
      </c>
      <c r="L19" s="49" t="s">
        <v>123</v>
      </c>
      <c r="M19">
        <v>11138</v>
      </c>
      <c r="T19" s="49" t="s">
        <v>10</v>
      </c>
      <c r="U19">
        <v>5929</v>
      </c>
    </row>
    <row r="20" spans="2:21">
      <c r="B20" s="49" t="s">
        <v>6</v>
      </c>
      <c r="C20">
        <v>29791.5</v>
      </c>
      <c r="L20" s="49" t="s">
        <v>158</v>
      </c>
      <c r="M20">
        <v>15047</v>
      </c>
      <c r="T20" s="49" t="s">
        <v>373</v>
      </c>
      <c r="U20">
        <v>6359</v>
      </c>
    </row>
    <row r="21" spans="2:21">
      <c r="B21" s="49" t="s">
        <v>323</v>
      </c>
      <c r="C21">
        <v>54209</v>
      </c>
      <c r="L21" s="49" t="s">
        <v>376</v>
      </c>
      <c r="M21">
        <v>8819</v>
      </c>
      <c r="T21" s="49" t="s">
        <v>376</v>
      </c>
      <c r="U21">
        <v>7741</v>
      </c>
    </row>
    <row r="22" spans="2:21">
      <c r="B22" s="49" t="s">
        <v>1601</v>
      </c>
      <c r="C22">
        <v>7531</v>
      </c>
      <c r="L22" s="49" t="s">
        <v>1602</v>
      </c>
      <c r="M22" s="50">
        <v>52334</v>
      </c>
      <c r="T22" s="49" t="s">
        <v>1602</v>
      </c>
      <c r="U22" s="50">
        <v>41046</v>
      </c>
    </row>
    <row r="23" spans="2:21">
      <c r="B23" s="49" t="s">
        <v>1602</v>
      </c>
      <c r="C23" s="50">
        <v>105087.5</v>
      </c>
    </row>
  </sheetData>
  <pageMargins left="0.7" right="0.7" top="0.75" bottom="0.75" header="0.3" footer="0.3"/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6556F-71C1-44ED-A286-5932F93F0F21}">
  <sheetPr codeName="Sayfa16"/>
  <dimension ref="A1:H83"/>
  <sheetViews>
    <sheetView topLeftCell="A70" workbookViewId="0">
      <selection activeCell="D35" sqref="D35"/>
    </sheetView>
  </sheetViews>
  <sheetFormatPr defaultRowHeight="15"/>
  <cols>
    <col min="1" max="1" width="7.28515625" style="37" customWidth="1"/>
    <col min="2" max="2" width="23.28515625" style="33" hidden="1" customWidth="1"/>
    <col min="3" max="3" width="5.7109375" style="36" customWidth="1"/>
    <col min="4" max="4" width="16.42578125" customWidth="1"/>
    <col min="5" max="5" width="15.28515625" customWidth="1"/>
    <col min="6" max="6" width="18.28515625" customWidth="1"/>
    <col min="7" max="7" width="15.7109375" customWidth="1"/>
    <col min="8" max="8" width="32" customWidth="1"/>
    <col min="10" max="11" width="18.42578125" customWidth="1"/>
    <col min="12" max="13" width="18.28515625" customWidth="1"/>
  </cols>
  <sheetData>
    <row r="1" spans="2:8" ht="49.5" customHeight="1">
      <c r="B1" s="25"/>
      <c r="C1" s="34"/>
      <c r="D1" s="347" t="s">
        <v>1603</v>
      </c>
      <c r="E1" s="350"/>
      <c r="F1" s="350"/>
      <c r="G1" s="350"/>
      <c r="H1" s="350"/>
    </row>
    <row r="2" spans="2:8" ht="19.5">
      <c r="C2" s="35"/>
      <c r="D2" s="26" t="s">
        <v>1568</v>
      </c>
      <c r="E2" s="26" t="s">
        <v>1569</v>
      </c>
      <c r="F2" s="27" t="s">
        <v>1222</v>
      </c>
      <c r="G2" s="27" t="s">
        <v>1573</v>
      </c>
      <c r="H2" s="28" t="s">
        <v>1604</v>
      </c>
    </row>
    <row r="3" spans="2:8" ht="19.5">
      <c r="D3" s="104" t="s">
        <v>114</v>
      </c>
      <c r="E3" s="104" t="s">
        <v>1574</v>
      </c>
      <c r="F3" s="105">
        <v>45623</v>
      </c>
      <c r="G3" s="110">
        <v>0.47228009259259257</v>
      </c>
      <c r="H3" s="111">
        <f>Таблица223[[#This Row],[Giriş tarixi]]+Таблица223[[#This Row],[Giriş saatı]]</f>
        <v>45623.472280092596</v>
      </c>
    </row>
    <row r="4" spans="2:8" ht="19.5">
      <c r="D4" s="104" t="s">
        <v>114</v>
      </c>
      <c r="E4" s="104" t="s">
        <v>1574</v>
      </c>
      <c r="F4" s="105">
        <v>45623</v>
      </c>
      <c r="G4" s="110">
        <v>0.47255787037037039</v>
      </c>
      <c r="H4" s="111">
        <f>Таблица223[[#This Row],[Giriş tarixi]]+Таблица223[[#This Row],[Giriş saatı]]</f>
        <v>45623.472557870373</v>
      </c>
    </row>
    <row r="5" spans="2:8" ht="19.5">
      <c r="D5" s="104" t="s">
        <v>114</v>
      </c>
      <c r="E5" s="104" t="s">
        <v>1574</v>
      </c>
      <c r="F5" s="105">
        <v>45623</v>
      </c>
      <c r="G5" s="110">
        <v>0.47734953703703703</v>
      </c>
      <c r="H5" s="111">
        <f>Таблица223[[#This Row],[Giriş tarixi]]+Таблица223[[#This Row],[Giriş saatı]]</f>
        <v>45623.477349537039</v>
      </c>
    </row>
    <row r="6" spans="2:8" ht="19.5">
      <c r="D6" s="104" t="s">
        <v>1578</v>
      </c>
      <c r="E6" s="104" t="s">
        <v>1579</v>
      </c>
      <c r="F6" s="105">
        <v>45623</v>
      </c>
      <c r="G6" s="110">
        <v>0.56847222222222227</v>
      </c>
      <c r="H6" s="111">
        <f>Таблица223[[#This Row],[Giriş tarixi]]+Таблица223[[#This Row],[Giriş saatı]]</f>
        <v>45623.568472222221</v>
      </c>
    </row>
    <row r="7" spans="2:8" ht="19.5">
      <c r="D7" s="104" t="s">
        <v>114</v>
      </c>
      <c r="E7" s="104" t="s">
        <v>1574</v>
      </c>
      <c r="F7" s="105">
        <v>45623</v>
      </c>
      <c r="G7" s="110">
        <v>0.6852893518518518</v>
      </c>
      <c r="H7" s="111">
        <f>Таблица223[[#This Row],[Giriş tarixi]]+Таблица223[[#This Row],[Giriş saatı]]</f>
        <v>45623.685289351852</v>
      </c>
    </row>
    <row r="8" spans="2:8" ht="19.5">
      <c r="D8" s="104" t="s">
        <v>1578</v>
      </c>
      <c r="E8" s="104" t="s">
        <v>1579</v>
      </c>
      <c r="F8" s="105">
        <v>45623</v>
      </c>
      <c r="G8" s="110">
        <v>0.74075231481481485</v>
      </c>
      <c r="H8" s="111">
        <f>Таблица223[[#This Row],[Giriş tarixi]]+Таблица223[[#This Row],[Giriş saatı]]</f>
        <v>45623.740752314814</v>
      </c>
    </row>
    <row r="9" spans="2:8" ht="19.5">
      <c r="D9" s="104" t="s">
        <v>114</v>
      </c>
      <c r="E9" s="104" t="s">
        <v>1574</v>
      </c>
      <c r="F9" s="105">
        <v>45623</v>
      </c>
      <c r="G9" s="110">
        <v>0.87162037037037032</v>
      </c>
      <c r="H9" s="111">
        <f>Таблица223[[#This Row],[Giriş tarixi]]+Таблица223[[#This Row],[Giriş saatı]]</f>
        <v>45623.871620370373</v>
      </c>
    </row>
    <row r="10" spans="2:8" ht="19.5">
      <c r="D10" s="104" t="s">
        <v>114</v>
      </c>
      <c r="E10" s="104" t="s">
        <v>1574</v>
      </c>
      <c r="F10" s="105">
        <v>45624</v>
      </c>
      <c r="G10" s="110">
        <v>0.54146990740740741</v>
      </c>
      <c r="H10" s="111">
        <f>Таблица223[[#This Row],[Giriş tarixi]]+Таблица223[[#This Row],[Giriş saatı]]</f>
        <v>45624.54146990741</v>
      </c>
    </row>
    <row r="11" spans="2:8" ht="19.5">
      <c r="D11" s="104" t="s">
        <v>114</v>
      </c>
      <c r="E11" s="104" t="s">
        <v>1574</v>
      </c>
      <c r="F11" s="105">
        <v>45625</v>
      </c>
      <c r="G11" s="110">
        <v>0.51980324074074069</v>
      </c>
      <c r="H11" s="111">
        <f>Таблица223[[#This Row],[Giriş tarixi]]+Таблица223[[#This Row],[Giriş saatı]]</f>
        <v>45625.519803240742</v>
      </c>
    </row>
    <row r="12" spans="2:8" ht="19.5">
      <c r="D12" s="104" t="s">
        <v>1578</v>
      </c>
      <c r="E12" s="104" t="s">
        <v>1579</v>
      </c>
      <c r="F12" s="105">
        <v>45625</v>
      </c>
      <c r="G12" s="110">
        <v>0.52958333333333329</v>
      </c>
      <c r="H12" s="111">
        <f>Таблица223[[#This Row],[Giriş tarixi]]+Таблица223[[#This Row],[Giriş saatı]]</f>
        <v>45625.529583333337</v>
      </c>
    </row>
    <row r="13" spans="2:8" ht="19.5">
      <c r="D13" s="104" t="s">
        <v>114</v>
      </c>
      <c r="E13" s="104" t="s">
        <v>1574</v>
      </c>
      <c r="F13" s="105">
        <v>45625</v>
      </c>
      <c r="G13" s="110">
        <v>0.58833333333333337</v>
      </c>
      <c r="H13" s="111">
        <f>Таблица223[[#This Row],[Giriş tarixi]]+Таблица223[[#This Row],[Giriş saatı]]</f>
        <v>45625.588333333333</v>
      </c>
    </row>
    <row r="14" spans="2:8" ht="19.5">
      <c r="D14" s="104" t="s">
        <v>1578</v>
      </c>
      <c r="E14" s="104" t="s">
        <v>1579</v>
      </c>
      <c r="F14" s="105">
        <v>45625</v>
      </c>
      <c r="G14" s="110">
        <v>0.61171296296296296</v>
      </c>
      <c r="H14" s="111">
        <f>Таблица223[[#This Row],[Giriş tarixi]]+Таблица223[[#This Row],[Giriş saatı]]</f>
        <v>45625.611712962964</v>
      </c>
    </row>
    <row r="15" spans="2:8" ht="19.5">
      <c r="D15" s="104" t="s">
        <v>114</v>
      </c>
      <c r="E15" s="104" t="s">
        <v>1574</v>
      </c>
      <c r="F15" s="105">
        <v>45625</v>
      </c>
      <c r="G15" s="110">
        <v>0.66459490740740745</v>
      </c>
      <c r="H15" s="111">
        <f>Таблица223[[#This Row],[Giriş tarixi]]+Таблица223[[#This Row],[Giriş saatı]]</f>
        <v>45625.664594907408</v>
      </c>
    </row>
    <row r="16" spans="2:8" ht="19.5">
      <c r="D16" s="104" t="s">
        <v>114</v>
      </c>
      <c r="E16" s="104" t="s">
        <v>1574</v>
      </c>
      <c r="F16" s="105">
        <v>45625</v>
      </c>
      <c r="G16" s="110">
        <v>0.94579861111111108</v>
      </c>
      <c r="H16" s="111">
        <f>Таблица223[[#This Row],[Giriş tarixi]]+Таблица223[[#This Row],[Giriş saatı]]</f>
        <v>45625.945798611108</v>
      </c>
    </row>
    <row r="17" spans="4:8" ht="19.5">
      <c r="D17" s="104" t="s">
        <v>114</v>
      </c>
      <c r="E17" s="104" t="s">
        <v>1574</v>
      </c>
      <c r="F17" s="105">
        <v>45626</v>
      </c>
      <c r="G17" s="110">
        <v>0.39908564814814818</v>
      </c>
      <c r="H17" s="111">
        <f>Таблица223[[#This Row],[Giriş tarixi]]+Таблица223[[#This Row],[Giriş saatı]]</f>
        <v>45626.399085648147</v>
      </c>
    </row>
    <row r="18" spans="4:8" ht="19.5">
      <c r="D18" s="104" t="s">
        <v>1578</v>
      </c>
      <c r="E18" s="104" t="s">
        <v>1579</v>
      </c>
      <c r="F18" s="105">
        <v>45626</v>
      </c>
      <c r="G18" s="110">
        <v>0.40290509259259261</v>
      </c>
      <c r="H18" s="111">
        <f>Таблица223[[#This Row],[Giriş tarixi]]+Таблица223[[#This Row],[Giriş saatı]]</f>
        <v>45626.402905092589</v>
      </c>
    </row>
    <row r="19" spans="4:8" ht="19.5">
      <c r="D19" s="104" t="s">
        <v>114</v>
      </c>
      <c r="E19" s="104" t="s">
        <v>1574</v>
      </c>
      <c r="F19" s="105">
        <v>45626</v>
      </c>
      <c r="G19" s="110">
        <v>0.4064814814814815</v>
      </c>
      <c r="H19" s="111">
        <f>Таблица223[[#This Row],[Giriş tarixi]]+Таблица223[[#This Row],[Giriş saatı]]</f>
        <v>45626.406481481485</v>
      </c>
    </row>
    <row r="20" spans="4:8" ht="19.5">
      <c r="D20" s="104" t="s">
        <v>1578</v>
      </c>
      <c r="E20" s="104" t="s">
        <v>1579</v>
      </c>
      <c r="F20" s="105">
        <v>45626</v>
      </c>
      <c r="G20" s="110">
        <v>0.6419097222222222</v>
      </c>
      <c r="H20" s="111">
        <f>Таблица223[[#This Row],[Giriş tarixi]]+Таблица223[[#This Row],[Giriş saatı]]</f>
        <v>45626.641909722224</v>
      </c>
    </row>
    <row r="21" spans="4:8" ht="19.5">
      <c r="D21" s="104" t="s">
        <v>114</v>
      </c>
      <c r="E21" s="104" t="s">
        <v>1574</v>
      </c>
      <c r="F21" s="105">
        <v>45626</v>
      </c>
      <c r="G21" s="110">
        <v>0.64776620370370375</v>
      </c>
      <c r="H21" s="111">
        <f>Таблица223[[#This Row],[Giriş tarixi]]+Таблица223[[#This Row],[Giriş saatı]]</f>
        <v>45626.647766203707</v>
      </c>
    </row>
    <row r="22" spans="4:8" ht="19.5">
      <c r="D22" s="104" t="s">
        <v>114</v>
      </c>
      <c r="E22" s="104" t="s">
        <v>1574</v>
      </c>
      <c r="F22" s="105">
        <v>45626</v>
      </c>
      <c r="G22" s="110">
        <v>0.74546296296296299</v>
      </c>
      <c r="H22" s="111">
        <f>Таблица223[[#This Row],[Giriş tarixi]]+Таблица223[[#This Row],[Giriş saatı]]</f>
        <v>45626.745462962965</v>
      </c>
    </row>
    <row r="23" spans="4:8" ht="19.5">
      <c r="D23" s="104" t="s">
        <v>114</v>
      </c>
      <c r="E23" s="104" t="s">
        <v>1574</v>
      </c>
      <c r="F23" s="105">
        <v>45626</v>
      </c>
      <c r="G23" s="110">
        <v>0.75414351851851846</v>
      </c>
      <c r="H23" s="111">
        <f>Таблица223[[#This Row],[Giriş tarixi]]+Таблица223[[#This Row],[Giriş saatı]]</f>
        <v>45626.754143518519</v>
      </c>
    </row>
    <row r="24" spans="4:8" ht="19.5">
      <c r="D24" s="104" t="s">
        <v>114</v>
      </c>
      <c r="E24" s="104" t="s">
        <v>1574</v>
      </c>
      <c r="F24" s="105">
        <v>45628</v>
      </c>
      <c r="G24" s="110">
        <v>0.66005787037037034</v>
      </c>
      <c r="H24" s="111">
        <f>Таблица223[[#This Row],[Giriş tarixi]]+Таблица223[[#This Row],[Giriş saatı]]</f>
        <v>45628.660057870373</v>
      </c>
    </row>
    <row r="25" spans="4:8" ht="19.5">
      <c r="D25" s="104" t="s">
        <v>114</v>
      </c>
      <c r="E25" s="104" t="s">
        <v>1574</v>
      </c>
      <c r="F25" s="105">
        <v>45628</v>
      </c>
      <c r="G25" s="110">
        <v>0.66600694444444442</v>
      </c>
      <c r="H25" s="111">
        <f>Таблица223[[#This Row],[Giriş tarixi]]+Таблица223[[#This Row],[Giriş saatı]]</f>
        <v>45628.666006944448</v>
      </c>
    </row>
    <row r="26" spans="4:8" ht="19.5">
      <c r="D26" s="104" t="s">
        <v>114</v>
      </c>
      <c r="E26" s="104" t="s">
        <v>1574</v>
      </c>
      <c r="F26" s="105">
        <v>45628</v>
      </c>
      <c r="G26" s="110">
        <v>0.66692129629629626</v>
      </c>
      <c r="H26" s="111">
        <f>Таблица223[[#This Row],[Giriş tarixi]]+Таблица223[[#This Row],[Giriş saatı]]</f>
        <v>45628.666921296295</v>
      </c>
    </row>
    <row r="27" spans="4:8" ht="19.5">
      <c r="D27" s="104" t="s">
        <v>114</v>
      </c>
      <c r="E27" s="104" t="s">
        <v>1574</v>
      </c>
      <c r="F27" s="105">
        <v>45628</v>
      </c>
      <c r="G27" s="110">
        <v>0.66744212962962968</v>
      </c>
      <c r="H27" s="111">
        <f>Таблица223[[#This Row],[Giriş tarixi]]+Таблица223[[#This Row],[Giriş saatı]]</f>
        <v>45628.667442129627</v>
      </c>
    </row>
    <row r="28" spans="4:8" ht="19.5">
      <c r="D28" s="104" t="s">
        <v>114</v>
      </c>
      <c r="E28" s="104" t="s">
        <v>1574</v>
      </c>
      <c r="F28" s="105">
        <v>45628</v>
      </c>
      <c r="G28" s="110">
        <v>0.6681597222222222</v>
      </c>
      <c r="H28" s="111">
        <f>Таблица223[[#This Row],[Giriş tarixi]]+Таблица223[[#This Row],[Giriş saatı]]</f>
        <v>45628.66815972222</v>
      </c>
    </row>
    <row r="29" spans="4:8" ht="19.5">
      <c r="D29" s="104" t="s">
        <v>339</v>
      </c>
      <c r="E29" s="104" t="s">
        <v>1589</v>
      </c>
      <c r="F29" s="105">
        <v>45628</v>
      </c>
      <c r="G29" s="110">
        <v>0.66866898148148146</v>
      </c>
      <c r="H29" s="111">
        <f>Таблица223[[#This Row],[Giriş tarixi]]+Таблица223[[#This Row],[Giriş saatı]]</f>
        <v>45628.668668981481</v>
      </c>
    </row>
    <row r="30" spans="4:8" ht="19.5">
      <c r="D30" s="104" t="s">
        <v>114</v>
      </c>
      <c r="E30" s="104" t="s">
        <v>1574</v>
      </c>
      <c r="F30" s="105">
        <v>45628</v>
      </c>
      <c r="G30" s="110">
        <v>0.66920138888888892</v>
      </c>
      <c r="H30" s="111">
        <f>Таблица223[[#This Row],[Giriş tarixi]]+Таблица223[[#This Row],[Giriş saatı]]</f>
        <v>45628.66920138889</v>
      </c>
    </row>
    <row r="31" spans="4:8" ht="19.5">
      <c r="D31" s="104" t="s">
        <v>114</v>
      </c>
      <c r="E31" s="104" t="s">
        <v>1574</v>
      </c>
      <c r="F31" s="105">
        <v>45631</v>
      </c>
      <c r="G31" s="110">
        <v>0.39693287037037039</v>
      </c>
      <c r="H31" s="111">
        <f>Таблица223[[#This Row],[Giriş tarixi]]+Таблица223[[#This Row],[Giriş saatı]]</f>
        <v>45631.396932870368</v>
      </c>
    </row>
    <row r="32" spans="4:8" ht="19.5">
      <c r="D32" s="104" t="s">
        <v>114</v>
      </c>
      <c r="E32" s="104" t="s">
        <v>1574</v>
      </c>
      <c r="F32" s="105">
        <v>45631</v>
      </c>
      <c r="G32" s="110">
        <v>0.91645833333333337</v>
      </c>
      <c r="H32" s="111">
        <f>Таблица223[[#This Row],[Giriş tarixi]]+Таблица223[[#This Row],[Giriş saatı]]</f>
        <v>45631.916458333333</v>
      </c>
    </row>
    <row r="33" spans="4:8" ht="21.75">
      <c r="D33" s="39" t="s">
        <v>114</v>
      </c>
      <c r="E33" s="39" t="s">
        <v>1574</v>
      </c>
      <c r="F33" s="117">
        <v>45631</v>
      </c>
      <c r="G33" s="195">
        <v>0.94674768518518515</v>
      </c>
      <c r="H33" s="118">
        <f>Таблица223[[#This Row],[Giriş tarixi]]+Таблица223[[#This Row],[Giriş saatı]]</f>
        <v>45631.946747685186</v>
      </c>
    </row>
    <row r="34" spans="4:8" ht="21.75">
      <c r="D34" s="39" t="s">
        <v>114</v>
      </c>
      <c r="E34" s="39" t="s">
        <v>1574</v>
      </c>
      <c r="F34" s="117">
        <v>45632</v>
      </c>
      <c r="G34" s="195">
        <v>0.48863425925925924</v>
      </c>
      <c r="H34" s="118">
        <f>Таблица223[[#This Row],[Giriş tarixi]]+Таблица223[[#This Row],[Giriş saatı]]</f>
        <v>45632.488634259258</v>
      </c>
    </row>
    <row r="35" spans="4:8" ht="21.75">
      <c r="D35" s="39" t="s">
        <v>114</v>
      </c>
      <c r="E35" s="39" t="s">
        <v>1574</v>
      </c>
      <c r="F35" s="117">
        <v>45635</v>
      </c>
      <c r="G35" s="195">
        <v>0.916412037037037</v>
      </c>
      <c r="H35" s="118">
        <f>Таблица223[[#This Row],[Giriş tarixi]]+Таблица223[[#This Row],[Giriş saatı]]</f>
        <v>45635.916412037041</v>
      </c>
    </row>
    <row r="36" spans="4:8" ht="21.75">
      <c r="D36" s="39" t="s">
        <v>114</v>
      </c>
      <c r="E36" s="39" t="s">
        <v>1574</v>
      </c>
      <c r="F36" s="117">
        <v>45636</v>
      </c>
      <c r="G36" s="195">
        <v>0.42907407407407405</v>
      </c>
      <c r="H36" s="118">
        <f>Таблица223[[#This Row],[Giriş tarixi]]+Таблица223[[#This Row],[Giriş saatı]]</f>
        <v>45636.429074074076</v>
      </c>
    </row>
    <row r="37" spans="4:8" ht="21.75">
      <c r="D37" s="39" t="s">
        <v>339</v>
      </c>
      <c r="E37" s="39" t="s">
        <v>1589</v>
      </c>
      <c r="F37" s="117">
        <v>45636</v>
      </c>
      <c r="G37" s="195">
        <v>0.43116898148148147</v>
      </c>
      <c r="H37" s="118">
        <f>Таблица223[[#This Row],[Giriş tarixi]]+Таблица223[[#This Row],[Giriş saatı]]</f>
        <v>45636.431168981479</v>
      </c>
    </row>
    <row r="38" spans="4:8" ht="21.75">
      <c r="D38" s="39" t="s">
        <v>114</v>
      </c>
      <c r="E38" s="39" t="s">
        <v>1574</v>
      </c>
      <c r="F38" s="117">
        <v>45636</v>
      </c>
      <c r="G38" s="195">
        <v>0.58348379629629632</v>
      </c>
      <c r="H38" s="118">
        <f>Таблица223[[#This Row],[Giriş tarixi]]+Таблица223[[#This Row],[Giriş saatı]]</f>
        <v>45636.583483796298</v>
      </c>
    </row>
    <row r="39" spans="4:8" ht="21.75">
      <c r="D39" s="39" t="s">
        <v>114</v>
      </c>
      <c r="E39" s="39" t="s">
        <v>1574</v>
      </c>
      <c r="F39" s="117">
        <v>45636</v>
      </c>
      <c r="G39" s="195">
        <v>0.89173611111111106</v>
      </c>
      <c r="H39" s="118">
        <f>Таблица223[[#This Row],[Giriş tarixi]]+Таблица223[[#This Row],[Giriş saatı]]</f>
        <v>45636.891736111109</v>
      </c>
    </row>
    <row r="40" spans="4:8" ht="21.75">
      <c r="D40" s="39" t="s">
        <v>114</v>
      </c>
      <c r="E40" s="39" t="s">
        <v>1574</v>
      </c>
      <c r="F40" s="117">
        <v>45637</v>
      </c>
      <c r="G40" s="195">
        <v>0.4075462962962963</v>
      </c>
      <c r="H40" s="118">
        <f>Таблица223[[#This Row],[Giriş tarixi]]+Таблица223[[#This Row],[Giriş saatı]]</f>
        <v>45637.407546296294</v>
      </c>
    </row>
    <row r="41" spans="4:8" ht="21.75">
      <c r="D41" s="39" t="s">
        <v>114</v>
      </c>
      <c r="E41" s="39" t="s">
        <v>1574</v>
      </c>
      <c r="F41" s="117">
        <v>45637</v>
      </c>
      <c r="G41" s="195">
        <v>0.78402777777777777</v>
      </c>
      <c r="H41" s="118">
        <f>Таблица223[[#This Row],[Giriş tarixi]]+Таблица223[[#This Row],[Giriş saatı]]</f>
        <v>45637.78402777778</v>
      </c>
    </row>
    <row r="42" spans="4:8" ht="21.75">
      <c r="D42" s="39" t="s">
        <v>114</v>
      </c>
      <c r="E42" s="39" t="s">
        <v>1574</v>
      </c>
      <c r="F42" s="117">
        <v>45643</v>
      </c>
      <c r="G42" s="195">
        <v>0.46578703703703705</v>
      </c>
      <c r="H42" s="118">
        <f>Таблица223[[#This Row],[Giriş tarixi]]+Таблица223[[#This Row],[Giriş saatı]]</f>
        <v>45643.465787037036</v>
      </c>
    </row>
    <row r="43" spans="4:8" ht="21.75">
      <c r="D43" s="39" t="s">
        <v>114</v>
      </c>
      <c r="E43" s="39" t="s">
        <v>1574</v>
      </c>
      <c r="F43" s="117">
        <v>45643</v>
      </c>
      <c r="G43" s="195">
        <v>0.49563657407407408</v>
      </c>
      <c r="H43" s="118">
        <f>Таблица223[[#This Row],[Giriş tarixi]]+Таблица223[[#This Row],[Giriş saatı]]</f>
        <v>45643.495636574073</v>
      </c>
    </row>
    <row r="44" spans="4:8" ht="21.75">
      <c r="D44" s="39" t="s">
        <v>339</v>
      </c>
      <c r="E44" s="39" t="s">
        <v>1589</v>
      </c>
      <c r="F44" s="117">
        <v>45643</v>
      </c>
      <c r="G44" s="195">
        <v>0.51774305555555555</v>
      </c>
      <c r="H44" s="118">
        <f>Таблица223[[#This Row],[Giriş tarixi]]+Таблица223[[#This Row],[Giriş saatı]]</f>
        <v>45643.517743055556</v>
      </c>
    </row>
    <row r="45" spans="4:8" ht="21.75">
      <c r="D45" s="39" t="s">
        <v>339</v>
      </c>
      <c r="E45" s="39" t="s">
        <v>1589</v>
      </c>
      <c r="F45" s="117">
        <v>45643</v>
      </c>
      <c r="G45" s="195">
        <v>0.53207175925925931</v>
      </c>
      <c r="H45" s="118">
        <f>Таблица223[[#This Row],[Giriş tarixi]]+Таблица223[[#This Row],[Giriş saatı]]</f>
        <v>45643.532071759262</v>
      </c>
    </row>
    <row r="46" spans="4:8" ht="21.75">
      <c r="D46" s="39" t="s">
        <v>114</v>
      </c>
      <c r="E46" s="39" t="s">
        <v>1574</v>
      </c>
      <c r="F46" s="117">
        <v>45643</v>
      </c>
      <c r="G46" s="195">
        <v>0.57873842592592595</v>
      </c>
      <c r="H46" s="118">
        <f>Таблица223[[#This Row],[Giriş tarixi]]+Таблица223[[#This Row],[Giriş saatı]]</f>
        <v>45643.578738425924</v>
      </c>
    </row>
    <row r="47" spans="4:8" ht="21.75">
      <c r="D47" s="39" t="s">
        <v>339</v>
      </c>
      <c r="E47" s="39" t="s">
        <v>1589</v>
      </c>
      <c r="F47" s="117">
        <v>45644</v>
      </c>
      <c r="G47" s="195">
        <v>0.49144675925925924</v>
      </c>
      <c r="H47" s="118">
        <f>Таблица223[[#This Row],[Giriş tarixi]]+Таблица223[[#This Row],[Giriş saatı]]</f>
        <v>45644.491446759261</v>
      </c>
    </row>
    <row r="48" spans="4:8" ht="21.75">
      <c r="D48" s="39" t="s">
        <v>339</v>
      </c>
      <c r="E48" s="39" t="s">
        <v>1589</v>
      </c>
      <c r="F48" s="117">
        <v>45645</v>
      </c>
      <c r="G48" s="195">
        <v>0.78820601851851857</v>
      </c>
      <c r="H48" s="118">
        <f>Таблица223[[#This Row],[Giriş tarixi]]+Таблица223[[#This Row],[Giriş saatı]]</f>
        <v>45645.788206018522</v>
      </c>
    </row>
    <row r="49" spans="4:8" ht="21.75">
      <c r="D49" s="39" t="s">
        <v>339</v>
      </c>
      <c r="E49" s="39" t="s">
        <v>1589</v>
      </c>
      <c r="F49" s="117">
        <v>45649</v>
      </c>
      <c r="G49" s="195">
        <v>0.43234953703703705</v>
      </c>
      <c r="H49" s="118">
        <f>Таблица223[[#This Row],[Giriş tarixi]]+Таблица223[[#This Row],[Giriş saatı]]</f>
        <v>45649.432349537034</v>
      </c>
    </row>
    <row r="50" spans="4:8" ht="21.75">
      <c r="D50" s="39" t="s">
        <v>339</v>
      </c>
      <c r="E50" s="39" t="s">
        <v>1589</v>
      </c>
      <c r="F50" s="117">
        <v>45649</v>
      </c>
      <c r="G50" s="195">
        <v>0.48593750000000002</v>
      </c>
      <c r="H50" s="118">
        <f>Таблица223[[#This Row],[Giriş tarixi]]+Таблица223[[#This Row],[Giriş saatı]]</f>
        <v>45649.485937500001</v>
      </c>
    </row>
    <row r="51" spans="4:8" ht="21.75">
      <c r="D51" s="39" t="s">
        <v>339</v>
      </c>
      <c r="E51" s="39" t="s">
        <v>1589</v>
      </c>
      <c r="F51" s="117">
        <v>45653</v>
      </c>
      <c r="G51" s="195">
        <v>0.43722222222222223</v>
      </c>
      <c r="H51" s="118">
        <f>Таблица223[[#This Row],[Giriş tarixi]]+Таблица223[[#This Row],[Giriş saatı]]</f>
        <v>45653.437222222223</v>
      </c>
    </row>
    <row r="52" spans="4:8" ht="21.75">
      <c r="D52" s="39" t="s">
        <v>118</v>
      </c>
      <c r="E52" s="39" t="s">
        <v>1581</v>
      </c>
      <c r="F52" s="117">
        <v>45654</v>
      </c>
      <c r="G52" s="195">
        <v>0.44315972222222222</v>
      </c>
      <c r="H52" s="118">
        <f>Таблица223[[#This Row],[Giriş tarixi]]+Таблица223[[#This Row],[Giriş saatı]]</f>
        <v>45654.443159722221</v>
      </c>
    </row>
    <row r="53" spans="4:8" ht="21.75">
      <c r="D53" s="39" t="s">
        <v>339</v>
      </c>
      <c r="E53" s="39" t="s">
        <v>1589</v>
      </c>
      <c r="F53" s="117">
        <v>45654</v>
      </c>
      <c r="G53" s="195">
        <v>0.52254629629629634</v>
      </c>
      <c r="H53" s="118">
        <f>Таблица223[[#This Row],[Giriş tarixi]]+Таблица223[[#This Row],[Giriş saatı]]</f>
        <v>45654.522546296299</v>
      </c>
    </row>
    <row r="54" spans="4:8" ht="21.75">
      <c r="D54" s="39" t="s">
        <v>118</v>
      </c>
      <c r="E54" s="39" t="s">
        <v>1581</v>
      </c>
      <c r="F54" s="117">
        <v>45655</v>
      </c>
      <c r="G54" s="195">
        <v>0.57097222222222221</v>
      </c>
      <c r="H54" s="118">
        <f>Таблица223[[#This Row],[Giriş tarixi]]+Таблица223[[#This Row],[Giriş saatı]]</f>
        <v>45655.570972222224</v>
      </c>
    </row>
    <row r="55" spans="4:8" ht="21.75">
      <c r="D55" s="39" t="s">
        <v>118</v>
      </c>
      <c r="E55" s="39" t="s">
        <v>1581</v>
      </c>
      <c r="F55" s="117">
        <v>45660</v>
      </c>
      <c r="G55" s="195">
        <v>0.44502314814814814</v>
      </c>
      <c r="H55" s="118">
        <f>Таблица223[[#This Row],[Giriş tarixi]]+Таблица223[[#This Row],[Giriş saatı]]</f>
        <v>45660.445023148146</v>
      </c>
    </row>
    <row r="56" spans="4:8" ht="21.75">
      <c r="D56" s="39" t="s">
        <v>118</v>
      </c>
      <c r="E56" s="39" t="s">
        <v>1581</v>
      </c>
      <c r="F56" s="117">
        <v>45661</v>
      </c>
      <c r="G56" s="195">
        <v>0.41892361111111109</v>
      </c>
      <c r="H56" s="118">
        <f>Таблица223[[#This Row],[Giriş tarixi]]+Таблица223[[#This Row],[Giriş saatı]]</f>
        <v>45661.418923611112</v>
      </c>
    </row>
    <row r="57" spans="4:8" ht="21.75">
      <c r="D57" s="39" t="s">
        <v>118</v>
      </c>
      <c r="E57" s="39" t="s">
        <v>1581</v>
      </c>
      <c r="F57" s="117">
        <v>45665</v>
      </c>
      <c r="G57" s="195">
        <v>0.77353009259259264</v>
      </c>
      <c r="H57" s="118">
        <f>Таблица223[[#This Row],[Giriş tarixi]]+Таблица223[[#This Row],[Giriş saatı]]</f>
        <v>45665.773530092592</v>
      </c>
    </row>
    <row r="58" spans="4:8" ht="21.75">
      <c r="D58" s="39" t="s">
        <v>118</v>
      </c>
      <c r="E58" s="39" t="s">
        <v>1581</v>
      </c>
      <c r="F58" s="117">
        <v>45666</v>
      </c>
      <c r="G58" s="195">
        <v>0.5084143518518518</v>
      </c>
      <c r="H58" s="118">
        <f>Таблица223[[#This Row],[Giriş tarixi]]+Таблица223[[#This Row],[Giriş saatı]]</f>
        <v>45666.508414351854</v>
      </c>
    </row>
    <row r="59" spans="4:8" ht="21.75">
      <c r="D59" s="39" t="s">
        <v>118</v>
      </c>
      <c r="E59" s="39" t="s">
        <v>1581</v>
      </c>
      <c r="F59" s="117">
        <v>45667</v>
      </c>
      <c r="G59" s="195">
        <v>0.47548611111111111</v>
      </c>
      <c r="H59" s="118">
        <f>Таблица223[[#This Row],[Giriş tarixi]]+Таблица223[[#This Row],[Giriş saatı]]</f>
        <v>45667.475486111114</v>
      </c>
    </row>
    <row r="60" spans="4:8" ht="21.75">
      <c r="D60" s="39" t="s">
        <v>118</v>
      </c>
      <c r="E60" s="39" t="s">
        <v>1581</v>
      </c>
      <c r="F60" s="117">
        <v>45667</v>
      </c>
      <c r="G60" s="195">
        <v>0.59282407407407411</v>
      </c>
      <c r="H60" s="118">
        <f>Таблица223[[#This Row],[Giriş tarixi]]+Таблица223[[#This Row],[Giriş saatı]]</f>
        <v>45667.592824074076</v>
      </c>
    </row>
    <row r="61" spans="4:8" ht="21.75">
      <c r="D61" s="39" t="s">
        <v>118</v>
      </c>
      <c r="E61" s="39" t="s">
        <v>1581</v>
      </c>
      <c r="F61" s="117">
        <v>45668</v>
      </c>
      <c r="G61" s="195">
        <v>0.76168981481481479</v>
      </c>
      <c r="H61" s="118">
        <f>Таблица223[[#This Row],[Giriş tarixi]]+Таблица223[[#This Row],[Giriş saatı]]</f>
        <v>45668.761689814812</v>
      </c>
    </row>
    <row r="62" spans="4:8" ht="21.75">
      <c r="D62" s="39" t="s">
        <v>118</v>
      </c>
      <c r="E62" s="39" t="s">
        <v>1581</v>
      </c>
      <c r="F62" s="117">
        <v>45670</v>
      </c>
      <c r="G62" s="195">
        <v>0.5799305555555555</v>
      </c>
      <c r="H62" s="118">
        <f>Таблица223[[#This Row],[Giriş tarixi]]+Таблица223[[#This Row],[Giriş saatı]]</f>
        <v>45670.579930555556</v>
      </c>
    </row>
    <row r="63" spans="4:8" ht="21.75">
      <c r="D63" s="39" t="s">
        <v>118</v>
      </c>
      <c r="E63" s="39" t="s">
        <v>1581</v>
      </c>
      <c r="F63" s="117">
        <v>45671</v>
      </c>
      <c r="G63" s="195">
        <v>0.53489583333333335</v>
      </c>
      <c r="H63" s="118">
        <f>Таблица223[[#This Row],[Giriş tarixi]]+Таблица223[[#This Row],[Giriş saatı]]</f>
        <v>45671.534895833334</v>
      </c>
    </row>
    <row r="64" spans="4:8" ht="21.75">
      <c r="D64" s="39" t="s">
        <v>118</v>
      </c>
      <c r="E64" s="39" t="s">
        <v>1581</v>
      </c>
      <c r="F64" s="117">
        <v>45672</v>
      </c>
      <c r="G64" s="195">
        <v>0.42446759259259259</v>
      </c>
      <c r="H64" s="118">
        <f>Таблица223[[#This Row],[Giriş tarixi]]+Таблица223[[#This Row],[Giriş saatı]]</f>
        <v>45672.424467592595</v>
      </c>
    </row>
    <row r="65" spans="4:8" ht="21.75">
      <c r="D65" s="39" t="s">
        <v>114</v>
      </c>
      <c r="E65" s="39" t="s">
        <v>1574</v>
      </c>
      <c r="F65" s="117">
        <v>45673</v>
      </c>
      <c r="G65" s="195">
        <v>0.72174768518518517</v>
      </c>
      <c r="H65" s="118">
        <f>Таблица223[[#This Row],[Giriş tarixi]]+Таблица223[[#This Row],[Giriş saatı]]</f>
        <v>45673.721747685187</v>
      </c>
    </row>
    <row r="66" spans="4:8" ht="21.75">
      <c r="D66" s="39" t="s">
        <v>114</v>
      </c>
      <c r="E66" s="39" t="s">
        <v>1574</v>
      </c>
      <c r="F66" s="117">
        <v>45674</v>
      </c>
      <c r="G66" s="195">
        <v>0.42412037037037037</v>
      </c>
      <c r="H66" s="118">
        <f>Таблица223[[#This Row],[Giriş tarixi]]+Таблица223[[#This Row],[Giriş saatı]]</f>
        <v>45674.424120370371</v>
      </c>
    </row>
    <row r="67" spans="4:8" ht="21.75">
      <c r="D67" s="39" t="s">
        <v>114</v>
      </c>
      <c r="E67" s="39" t="s">
        <v>1574</v>
      </c>
      <c r="F67" s="117">
        <v>45675</v>
      </c>
      <c r="G67" s="195">
        <v>0.64653935185185185</v>
      </c>
      <c r="H67" s="118">
        <f>Таблица223[[#This Row],[Giriş tarixi]]+Таблица223[[#This Row],[Giriş saatı]]</f>
        <v>45675.646539351852</v>
      </c>
    </row>
    <row r="68" spans="4:8" ht="21.75">
      <c r="D68" s="39" t="s">
        <v>114</v>
      </c>
      <c r="E68" s="39" t="s">
        <v>1574</v>
      </c>
      <c r="F68" s="117">
        <v>45675</v>
      </c>
      <c r="G68" s="195">
        <v>0.75967592592592592</v>
      </c>
      <c r="H68" s="118">
        <f>Таблица223[[#This Row],[Giriş tarixi]]+Таблица223[[#This Row],[Giriş saatı]]</f>
        <v>45675.759675925925</v>
      </c>
    </row>
    <row r="69" spans="4:8" ht="21.75">
      <c r="D69" s="39" t="s">
        <v>114</v>
      </c>
      <c r="E69" s="39" t="s">
        <v>1574</v>
      </c>
      <c r="F69" s="117">
        <v>45677</v>
      </c>
      <c r="G69" s="195">
        <v>0.66753472222222221</v>
      </c>
      <c r="H69" s="118">
        <f>Таблица223[[#This Row],[Giriş tarixi]]+Таблица223[[#This Row],[Giriş saatı]]</f>
        <v>45677.667534722219</v>
      </c>
    </row>
    <row r="70" spans="4:8" ht="21.75">
      <c r="D70" s="39" t="s">
        <v>114</v>
      </c>
      <c r="E70" s="39" t="s">
        <v>1574</v>
      </c>
      <c r="F70" s="117">
        <v>45679</v>
      </c>
      <c r="G70" s="195">
        <v>0.64048611111111109</v>
      </c>
      <c r="H70" s="118">
        <f>Таблица223[[#This Row],[Giriş tarixi]]+Таблица223[[#This Row],[Giriş saatı]]</f>
        <v>45679.640486111108</v>
      </c>
    </row>
    <row r="71" spans="4:8" ht="21.75">
      <c r="D71" s="39" t="s">
        <v>114</v>
      </c>
      <c r="E71" s="39" t="s">
        <v>1574</v>
      </c>
      <c r="F71" s="117">
        <v>45680</v>
      </c>
      <c r="G71" s="195">
        <v>0.7146527777777778</v>
      </c>
      <c r="H71" s="118">
        <f>Таблица223[[#This Row],[Giriş tarixi]]+Таблица223[[#This Row],[Giriş saatı]]</f>
        <v>45680.71465277778</v>
      </c>
    </row>
    <row r="72" spans="4:8" ht="21.75">
      <c r="D72" s="39" t="s">
        <v>114</v>
      </c>
      <c r="E72" s="39" t="s">
        <v>1574</v>
      </c>
      <c r="F72" s="117">
        <v>45680</v>
      </c>
      <c r="G72" s="195">
        <v>0.75258101851851855</v>
      </c>
      <c r="H72" s="118">
        <f>Таблица223[[#This Row],[Giriş tarixi]]+Таблица223[[#This Row],[Giriş saatı]]</f>
        <v>45680.752581018518</v>
      </c>
    </row>
    <row r="73" spans="4:8" ht="21.75">
      <c r="D73" s="39" t="s">
        <v>114</v>
      </c>
      <c r="E73" s="39" t="s">
        <v>1574</v>
      </c>
      <c r="F73" s="117">
        <v>45681</v>
      </c>
      <c r="G73" s="195">
        <v>0.51709490740740738</v>
      </c>
      <c r="H73" s="118">
        <f>Таблица223[[#This Row],[Giriş tarixi]]+Таблица223[[#This Row],[Giriş saatı]]</f>
        <v>45681.517094907409</v>
      </c>
    </row>
    <row r="74" spans="4:8" ht="21.75">
      <c r="D74" s="39" t="s">
        <v>114</v>
      </c>
      <c r="E74" s="39" t="s">
        <v>1574</v>
      </c>
      <c r="F74" s="117">
        <v>45681</v>
      </c>
      <c r="G74" s="195">
        <v>0.51774305555555555</v>
      </c>
      <c r="H74" s="118">
        <f>Таблица223[[#This Row],[Giriş tarixi]]+Таблица223[[#This Row],[Giriş saatı]]</f>
        <v>45681.517743055556</v>
      </c>
    </row>
    <row r="75" spans="4:8" ht="21.75">
      <c r="D75" s="39" t="s">
        <v>114</v>
      </c>
      <c r="E75" s="39" t="s">
        <v>1574</v>
      </c>
      <c r="F75" s="117">
        <v>45688</v>
      </c>
      <c r="G75" s="195">
        <v>0.46201388888888889</v>
      </c>
      <c r="H75" s="118">
        <f>Таблица223[[#This Row],[Giriş tarixi]]+Таблица223[[#This Row],[Giriş saatı]]</f>
        <v>45688.462013888886</v>
      </c>
    </row>
    <row r="76" spans="4:8" ht="21.75">
      <c r="D76" s="39" t="s">
        <v>114</v>
      </c>
      <c r="E76" s="39" t="s">
        <v>1574</v>
      </c>
      <c r="F76" s="117">
        <v>45716</v>
      </c>
      <c r="G76" s="195">
        <v>0.40725694444444444</v>
      </c>
      <c r="H76" s="118">
        <f>Таблица223[[#This Row],[Giriş tarixi]]+Таблица223[[#This Row],[Giriş saatı]]</f>
        <v>45716.407256944447</v>
      </c>
    </row>
    <row r="77" spans="4:8" ht="21.75">
      <c r="D77" s="39" t="s">
        <v>118</v>
      </c>
      <c r="E77" s="39" t="s">
        <v>1581</v>
      </c>
      <c r="F77" s="117">
        <v>45716</v>
      </c>
      <c r="G77" s="195">
        <v>0.41281250000000003</v>
      </c>
      <c r="H77" s="118">
        <f>Таблица223[[#This Row],[Giriş tarixi]]+Таблица223[[#This Row],[Giriş saatı]]</f>
        <v>45716.412812499999</v>
      </c>
    </row>
    <row r="78" spans="4:8" ht="21.75">
      <c r="D78" s="39" t="s">
        <v>339</v>
      </c>
      <c r="E78" s="39" t="s">
        <v>1589</v>
      </c>
      <c r="F78" s="117">
        <v>45716</v>
      </c>
      <c r="G78" s="195">
        <v>0.44890046296296299</v>
      </c>
      <c r="H78" s="118">
        <f>Таблица223[[#This Row],[Giriş tarixi]]+Таблица223[[#This Row],[Giriş saatı]]</f>
        <v>45716.448900462965</v>
      </c>
    </row>
    <row r="79" spans="4:8" ht="21.75">
      <c r="D79" s="39" t="s">
        <v>114</v>
      </c>
      <c r="E79" s="39" t="s">
        <v>1574</v>
      </c>
      <c r="F79" s="117">
        <v>45716</v>
      </c>
      <c r="G79" s="195">
        <v>0.45189814814814816</v>
      </c>
      <c r="H79" s="118">
        <f>Таблица223[[#This Row],[Giriş tarixi]]+Таблица223[[#This Row],[Giriş saatı]]</f>
        <v>45716.451898148145</v>
      </c>
    </row>
    <row r="80" spans="4:8" ht="21.75">
      <c r="D80" s="39" t="s">
        <v>339</v>
      </c>
      <c r="E80" s="39" t="s">
        <v>1589</v>
      </c>
      <c r="F80" s="117">
        <v>45716</v>
      </c>
      <c r="G80" s="195">
        <v>0.47075231481481483</v>
      </c>
      <c r="H80" s="118">
        <f>Таблица223[[#This Row],[Giriş tarixi]]+Таблица223[[#This Row],[Giriş saatı]]</f>
        <v>45716.470752314817</v>
      </c>
    </row>
    <row r="81" spans="4:8" ht="21.75">
      <c r="D81" s="39" t="s">
        <v>339</v>
      </c>
      <c r="E81" s="39" t="s">
        <v>1589</v>
      </c>
      <c r="F81" s="117">
        <v>45723</v>
      </c>
      <c r="G81" s="195">
        <v>0.72241898148148154</v>
      </c>
      <c r="H81" s="118">
        <f>Таблица223[[#This Row],[Giriş tarixi]]+Таблица223[[#This Row],[Giriş saatı]]</f>
        <v>45723.722418981481</v>
      </c>
    </row>
    <row r="82" spans="4:8" ht="21.75">
      <c r="D82" s="39" t="s">
        <v>114</v>
      </c>
      <c r="E82" s="39" t="s">
        <v>1574</v>
      </c>
      <c r="F82" s="117">
        <v>45724</v>
      </c>
      <c r="G82" s="195">
        <v>0.62487268518518524</v>
      </c>
      <c r="H82" s="118">
        <f>Таблица223[[#This Row],[Giriş tarixi]]+Таблица223[[#This Row],[Giriş saatı]]</f>
        <v>45724.624872685185</v>
      </c>
    </row>
    <row r="83" spans="4:8" ht="21.75">
      <c r="D83" s="39" t="s">
        <v>114</v>
      </c>
      <c r="E83" s="39" t="s">
        <v>1574</v>
      </c>
      <c r="F83" s="117">
        <v>45874</v>
      </c>
      <c r="G83" s="195">
        <v>0.55197916666666669</v>
      </c>
      <c r="H83" s="118">
        <f>Таблица223[[#This Row],[Giriş tarixi]]+Таблица223[[#This Row],[Giriş saatı]]</f>
        <v>45874.551979166667</v>
      </c>
    </row>
  </sheetData>
  <mergeCells count="1">
    <mergeCell ref="D1:H1"/>
  </mergeCells>
  <phoneticPr fontId="34" type="noConversion"/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AA954-EFF9-4AC6-B101-D7CB2DC0386B}">
  <sheetPr codeName="Worksheet____1"/>
  <dimension ref="A4:H26"/>
  <sheetViews>
    <sheetView showGridLines="0" workbookViewId="0">
      <selection activeCell="J17" sqref="J17"/>
    </sheetView>
  </sheetViews>
  <sheetFormatPr defaultRowHeight="15"/>
  <cols>
    <col min="1" max="1" width="7.85546875" style="37" customWidth="1"/>
    <col min="2" max="2" width="22.85546875" style="37" hidden="1" customWidth="1"/>
    <col min="3" max="3" width="5.140625" style="55" customWidth="1"/>
    <col min="7" max="7" width="7.7109375" customWidth="1"/>
    <col min="8" max="8" width="33.85546875" customWidth="1"/>
  </cols>
  <sheetData>
    <row r="4" spans="8:8" ht="15.75" thickBot="1">
      <c r="H4" s="1" t="s">
        <v>1605</v>
      </c>
    </row>
    <row r="5" spans="8:8" ht="15.75" thickBot="1">
      <c r="H5" s="3" t="s">
        <v>1606</v>
      </c>
    </row>
    <row r="6" spans="8:8">
      <c r="H6" s="2" t="s">
        <v>1483</v>
      </c>
    </row>
    <row r="7" spans="8:8">
      <c r="H7" s="2" t="s">
        <v>1484</v>
      </c>
    </row>
    <row r="8" spans="8:8">
      <c r="H8" s="2" t="s">
        <v>1485</v>
      </c>
    </row>
    <row r="9" spans="8:8">
      <c r="H9" s="2" t="s">
        <v>78</v>
      </c>
    </row>
    <row r="10" spans="8:8">
      <c r="H10" s="2" t="s">
        <v>1489</v>
      </c>
    </row>
    <row r="11" spans="8:8">
      <c r="H11" s="2" t="s">
        <v>1486</v>
      </c>
    </row>
    <row r="12" spans="8:8">
      <c r="H12" s="2"/>
    </row>
    <row r="13" spans="8:8">
      <c r="H13" s="2"/>
    </row>
    <row r="14" spans="8:8">
      <c r="H14" s="2"/>
    </row>
    <row r="15" spans="8:8">
      <c r="H15" s="2"/>
    </row>
    <row r="16" spans="8:8">
      <c r="H16" s="2"/>
    </row>
    <row r="17" spans="8:8">
      <c r="H17" s="2"/>
    </row>
    <row r="18" spans="8:8">
      <c r="H18" s="2"/>
    </row>
    <row r="19" spans="8:8">
      <c r="H19" s="2"/>
    </row>
    <row r="20" spans="8:8">
      <c r="H20" s="2"/>
    </row>
    <row r="21" spans="8:8">
      <c r="H21" s="2"/>
    </row>
    <row r="22" spans="8:8">
      <c r="H22" s="2"/>
    </row>
    <row r="23" spans="8:8">
      <c r="H23" s="2"/>
    </row>
    <row r="24" spans="8:8">
      <c r="H24" s="2"/>
    </row>
    <row r="25" spans="8:8">
      <c r="H25" s="2"/>
    </row>
    <row r="26" spans="8:8">
      <c r="H26" s="2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A6D40C-3BD9-44BE-97EF-DD28F59CA151}">
          <x14:formula1>
            <xm:f>data!$A$2:$A$28</xm:f>
          </x14:formula1>
          <xm:sqref>H6:H26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57118973DED8646B230F3BD76EB6460" ma:contentTypeVersion="5" ma:contentTypeDescription="新しいドキュメントを作成します。" ma:contentTypeScope="" ma:versionID="51b00be64a07463d59ea4d898d2ca0e7">
  <xsd:schema xmlns:xsd="http://www.w3.org/2001/XMLSchema" xmlns:xs="http://www.w3.org/2001/XMLSchema" xmlns:p="http://schemas.microsoft.com/office/2006/metadata/properties" xmlns:ns3="fa6af385-2773-4ddf-9cdf-18708bf81e16" targetNamespace="http://schemas.microsoft.com/office/2006/metadata/properties" ma:root="true" ma:fieldsID="e36b017574d689a0f0f9ee94660cd19e" ns3:_="">
    <xsd:import namespace="fa6af385-2773-4ddf-9cdf-18708bf81e1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6af385-2773-4ddf-9cdf-18708bf81e16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37A1E82-4E8F-40F3-96BE-D4CD800AC1B2}"/>
</file>

<file path=customXml/itemProps2.xml><?xml version="1.0" encoding="utf-8"?>
<ds:datastoreItem xmlns:ds="http://schemas.openxmlformats.org/officeDocument/2006/customXml" ds:itemID="{09A1647B-0BF4-4BEB-9CD0-83BCC120FF25}"/>
</file>

<file path=customXml/itemProps3.xml><?xml version="1.0" encoding="utf-8"?>
<ds:datastoreItem xmlns:ds="http://schemas.openxmlformats.org/officeDocument/2006/customXml" ds:itemID="{1FEA8AD1-DBE3-433E-8581-B4CCD06981A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Semed Ezizov</dc:creator>
  <cp:keywords/>
  <dc:description/>
  <cp:lastModifiedBy/>
  <cp:revision/>
  <dcterms:created xsi:type="dcterms:W3CDTF">2024-11-04T06:59:59Z</dcterms:created>
  <dcterms:modified xsi:type="dcterms:W3CDTF">2025-08-15T11:38:51Z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0x010100857118973DED8646B230F3BD76EB6460</vt:lpwstr>
  </property>
</Properties>
</file>